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ocuments\GitHub\Research\H-drive-umn\julia-solver\"/>
    </mc:Choice>
  </mc:AlternateContent>
  <xr:revisionPtr revIDLastSave="0" documentId="13_ncr:1_{F7E5F4A2-F08B-4A92-8E4F-FACFDC832ECA}" xr6:coauthVersionLast="47" xr6:coauthVersionMax="47" xr10:uidLastSave="{00000000-0000-0000-0000-000000000000}"/>
  <bookViews>
    <workbookView xWindow="-120" yWindow="-120" windowWidth="24240" windowHeight="13020" xr2:uid="{46EE2FBE-930C-4D34-9E80-D775E373CF73}"/>
  </bookViews>
  <sheets>
    <sheet name="comparison" sheetId="1" r:id="rId1"/>
    <sheet name="DGE_p" sheetId="2" r:id="rId2"/>
    <sheet name="MIMIC_p" sheetId="3" r:id="rId3"/>
    <sheet name="own_cal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E4" i="1"/>
  <c r="F4" i="1"/>
  <c r="E5" i="1"/>
  <c r="F5" i="1"/>
  <c r="E6" i="1"/>
  <c r="F6" i="1"/>
  <c r="J2" i="1" s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F2" i="1"/>
  <c r="E2" i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2" i="1"/>
  <c r="D2" i="4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0" i="1"/>
  <c r="H21" i="1"/>
  <c r="H22" i="1"/>
  <c r="H23" i="1"/>
  <c r="H24" i="1"/>
  <c r="H25" i="1"/>
  <c r="H26" i="1"/>
  <c r="H27" i="1"/>
  <c r="H28" i="1"/>
  <c r="H29" i="1"/>
  <c r="H30" i="1"/>
  <c r="H31" i="1"/>
  <c r="H33" i="1"/>
  <c r="H34" i="1"/>
  <c r="H35" i="1"/>
  <c r="H2" i="1"/>
  <c r="AG159" i="3"/>
  <c r="AG158" i="3"/>
  <c r="AG157" i="3"/>
  <c r="AG156" i="3"/>
  <c r="AG155" i="3"/>
  <c r="AG154" i="3"/>
  <c r="AG153" i="3"/>
  <c r="AG152" i="3"/>
  <c r="AG151" i="3"/>
  <c r="AG150" i="3"/>
  <c r="AG149" i="3"/>
  <c r="AG148" i="3"/>
  <c r="AG147" i="3"/>
  <c r="AG146" i="3"/>
  <c r="AG145" i="3"/>
  <c r="AG144" i="3"/>
  <c r="AG143" i="3"/>
  <c r="AG142" i="3"/>
  <c r="AG141" i="3"/>
  <c r="AG140" i="3"/>
  <c r="AG139" i="3"/>
  <c r="AG138" i="3"/>
  <c r="AG137" i="3"/>
  <c r="AG136" i="3"/>
  <c r="AG135" i="3"/>
  <c r="AG134" i="3"/>
  <c r="AG133" i="3"/>
  <c r="AG132" i="3"/>
  <c r="AG131" i="3"/>
  <c r="AG130" i="3"/>
  <c r="AG129" i="3"/>
  <c r="AG128" i="3"/>
  <c r="AG127" i="3"/>
  <c r="AG126" i="3"/>
  <c r="AG125" i="3"/>
  <c r="AG124" i="3"/>
  <c r="AG123" i="3"/>
  <c r="AG122" i="3"/>
  <c r="AG121" i="3"/>
  <c r="AG120" i="3"/>
  <c r="AG119" i="3"/>
  <c r="AG118" i="3"/>
  <c r="AG117" i="3"/>
  <c r="AG116" i="3"/>
  <c r="AG115" i="3"/>
  <c r="AG114" i="3"/>
  <c r="AG113" i="3"/>
  <c r="AG112" i="3"/>
  <c r="AG111" i="3"/>
  <c r="AG110" i="3"/>
  <c r="AG109" i="3"/>
  <c r="AG108" i="3"/>
  <c r="AG107" i="3"/>
  <c r="AG106" i="3"/>
  <c r="AG105" i="3"/>
  <c r="AG104" i="3"/>
  <c r="AG103" i="3"/>
  <c r="AG102" i="3"/>
  <c r="AG101" i="3"/>
  <c r="AG100" i="3"/>
  <c r="AG99" i="3"/>
  <c r="AG98" i="3"/>
  <c r="AG97" i="3"/>
  <c r="AG96" i="3"/>
  <c r="AG95" i="3"/>
  <c r="AG94" i="3"/>
  <c r="AG93" i="3"/>
  <c r="AG92" i="3"/>
  <c r="AG91" i="3"/>
  <c r="AG90" i="3"/>
  <c r="AG89" i="3"/>
  <c r="AG88" i="3"/>
  <c r="AG87" i="3"/>
  <c r="AG86" i="3"/>
  <c r="AG85" i="3"/>
  <c r="AG84" i="3"/>
  <c r="AG83" i="3"/>
  <c r="AG82" i="3"/>
  <c r="AG81" i="3"/>
  <c r="AG80" i="3"/>
  <c r="AG79" i="3"/>
  <c r="AG78" i="3"/>
  <c r="AG77" i="3"/>
  <c r="AG76" i="3"/>
  <c r="AG75" i="3"/>
  <c r="AG74" i="3"/>
  <c r="AG73" i="3"/>
  <c r="AG72" i="3"/>
  <c r="AG71" i="3"/>
  <c r="AG70" i="3"/>
  <c r="AG69" i="3"/>
  <c r="AG68" i="3"/>
  <c r="AG67" i="3"/>
  <c r="AG66" i="3"/>
  <c r="AG65" i="3"/>
  <c r="AG64" i="3"/>
  <c r="AG63" i="3"/>
  <c r="AG62" i="3"/>
  <c r="AG61" i="3"/>
  <c r="AG60" i="3"/>
  <c r="AG59" i="3"/>
  <c r="AG58" i="3"/>
  <c r="AG57" i="3"/>
  <c r="AG56" i="3"/>
  <c r="AG55" i="3"/>
  <c r="AG54" i="3"/>
  <c r="AG53" i="3"/>
  <c r="AG52" i="3"/>
  <c r="AG51" i="3"/>
  <c r="AG50" i="3"/>
  <c r="AG49" i="3"/>
  <c r="AG48" i="3"/>
  <c r="AG47" i="3"/>
  <c r="AG46" i="3"/>
  <c r="AG45" i="3"/>
  <c r="AG44" i="3"/>
  <c r="AG43" i="3"/>
  <c r="AG42" i="3"/>
  <c r="AG41" i="3"/>
  <c r="AG40" i="3"/>
  <c r="AG39" i="3"/>
  <c r="AG38" i="3"/>
  <c r="AG37" i="3"/>
  <c r="AG36" i="3"/>
  <c r="AG35" i="3"/>
  <c r="AG34" i="3"/>
  <c r="AG33" i="3"/>
  <c r="AG32" i="3"/>
  <c r="AG31" i="3"/>
  <c r="AG30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G6" i="3"/>
  <c r="AG5" i="3"/>
  <c r="AG4" i="3"/>
  <c r="AG3" i="3"/>
  <c r="AG2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  <c r="AG157" i="2"/>
  <c r="AG156" i="2"/>
  <c r="AG155" i="2"/>
  <c r="AG154" i="2"/>
  <c r="AG153" i="2"/>
  <c r="AG152" i="2"/>
  <c r="AG151" i="2"/>
  <c r="AG150" i="2"/>
  <c r="AG149" i="2"/>
  <c r="AG148" i="2"/>
  <c r="AG147" i="2"/>
  <c r="AG146" i="2"/>
  <c r="AG145" i="2"/>
  <c r="AG144" i="2"/>
  <c r="AG143" i="2"/>
  <c r="AG142" i="2"/>
  <c r="AG141" i="2"/>
  <c r="AG140" i="2"/>
  <c r="AG139" i="2"/>
  <c r="AG138" i="2"/>
  <c r="AG137" i="2"/>
  <c r="AG136" i="2"/>
  <c r="AG135" i="2"/>
  <c r="AG134" i="2"/>
  <c r="AG133" i="2"/>
  <c r="AG132" i="2"/>
  <c r="AG131" i="2"/>
  <c r="AG130" i="2"/>
  <c r="AG129" i="2"/>
  <c r="AG128" i="2"/>
  <c r="AG127" i="2"/>
  <c r="AG126" i="2"/>
  <c r="AG125" i="2"/>
  <c r="AG124" i="2"/>
  <c r="AG123" i="2"/>
  <c r="AG122" i="2"/>
  <c r="AG121" i="2"/>
  <c r="AG120" i="2"/>
  <c r="AG119" i="2"/>
  <c r="AG118" i="2"/>
  <c r="AG117" i="2"/>
  <c r="AG116" i="2"/>
  <c r="AG115" i="2"/>
  <c r="AG114" i="2"/>
  <c r="AG113" i="2"/>
  <c r="AG112" i="2"/>
  <c r="AG111" i="2"/>
  <c r="AG110" i="2"/>
  <c r="AG109" i="2"/>
  <c r="AG108" i="2"/>
  <c r="AG107" i="2"/>
  <c r="AG106" i="2"/>
  <c r="AG105" i="2"/>
  <c r="AG104" i="2"/>
  <c r="AG103" i="2"/>
  <c r="AG102" i="2"/>
  <c r="AG101" i="2"/>
  <c r="AG100" i="2"/>
  <c r="AG99" i="2"/>
  <c r="AG98" i="2"/>
  <c r="AG97" i="2"/>
  <c r="AG96" i="2"/>
  <c r="AG95" i="2"/>
  <c r="AG94" i="2"/>
  <c r="AG93" i="2"/>
  <c r="AG92" i="2"/>
  <c r="AG91" i="2"/>
  <c r="AG90" i="2"/>
  <c r="AG89" i="2"/>
  <c r="AG88" i="2"/>
  <c r="AG87" i="2"/>
  <c r="AG86" i="2"/>
  <c r="AG85" i="2"/>
  <c r="AG84" i="2"/>
  <c r="AG83" i="2"/>
  <c r="AG82" i="2"/>
  <c r="AG81" i="2"/>
  <c r="AG80" i="2"/>
  <c r="AG79" i="2"/>
  <c r="AG78" i="2"/>
  <c r="AG77" i="2"/>
  <c r="AG76" i="2"/>
  <c r="AG75" i="2"/>
  <c r="AG74" i="2"/>
  <c r="AG73" i="2"/>
  <c r="AG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AG3" i="2"/>
  <c r="AG2" i="2"/>
  <c r="I2" i="1" l="1"/>
  <c r="L2" i="1"/>
  <c r="K2" i="1"/>
</calcChain>
</file>

<file path=xl/sharedStrings.xml><?xml version="1.0" encoding="utf-8"?>
<sst xmlns="http://schemas.openxmlformats.org/spreadsheetml/2006/main" count="1385" uniqueCount="376">
  <si>
    <t>country</t>
  </si>
  <si>
    <t>Angola</t>
  </si>
  <si>
    <t>Argentina</t>
  </si>
  <si>
    <t>Bangladesh</t>
  </si>
  <si>
    <t>Botswana</t>
  </si>
  <si>
    <t>Burkina Faso</t>
  </si>
  <si>
    <t>Cambodia</t>
  </si>
  <si>
    <t>Cameroon</t>
  </si>
  <si>
    <t>Cape Verde</t>
  </si>
  <si>
    <t>Cote d'Ivoire</t>
  </si>
  <si>
    <t>Egypt</t>
  </si>
  <si>
    <t>Ghana</t>
  </si>
  <si>
    <t>Guatemala</t>
  </si>
  <si>
    <t>India</t>
  </si>
  <si>
    <t>Indonesia</t>
  </si>
  <si>
    <t>Iraq</t>
  </si>
  <si>
    <t>Kenya</t>
  </si>
  <si>
    <t>Lao, People's Democratic Republic</t>
  </si>
  <si>
    <t>Madagascar</t>
  </si>
  <si>
    <t>Mali</t>
  </si>
  <si>
    <t>Mauritius</t>
  </si>
  <si>
    <t>Mozambique</t>
  </si>
  <si>
    <t>Myanmar</t>
  </si>
  <si>
    <t>Nepal</t>
  </si>
  <si>
    <t>Niger</t>
  </si>
  <si>
    <t>Peru</t>
  </si>
  <si>
    <t>Rwanda</t>
  </si>
  <si>
    <t>Sudan</t>
  </si>
  <si>
    <t>Tanzania, United Republic of</t>
  </si>
  <si>
    <t>Zambia</t>
  </si>
  <si>
    <t>Zimbabwe</t>
  </si>
  <si>
    <t>countrycode</t>
  </si>
  <si>
    <t>year</t>
  </si>
  <si>
    <t>AGO</t>
  </si>
  <si>
    <t>ARG</t>
  </si>
  <si>
    <t>BGD</t>
  </si>
  <si>
    <t>BWA</t>
  </si>
  <si>
    <t>BFA</t>
  </si>
  <si>
    <t>KHM</t>
  </si>
  <si>
    <t>CMR</t>
  </si>
  <si>
    <t>CPV</t>
  </si>
  <si>
    <t>COD</t>
  </si>
  <si>
    <t>CIV</t>
  </si>
  <si>
    <t>EGY</t>
  </si>
  <si>
    <t>GHA</t>
  </si>
  <si>
    <t>GTM</t>
  </si>
  <si>
    <t>IND</t>
  </si>
  <si>
    <t>IDN</t>
  </si>
  <si>
    <t>IRQ</t>
  </si>
  <si>
    <t>KEN</t>
  </si>
  <si>
    <t>LAO</t>
  </si>
  <si>
    <t>MDG</t>
  </si>
  <si>
    <t>MLI</t>
  </si>
  <si>
    <t>MUS</t>
  </si>
  <si>
    <t>MOZ</t>
  </si>
  <si>
    <t>MMR</t>
  </si>
  <si>
    <t>NPL</t>
  </si>
  <si>
    <t>NER</t>
  </si>
  <si>
    <t>PER</t>
  </si>
  <si>
    <t>RWA</t>
  </si>
  <si>
    <t>SDN</t>
  </si>
  <si>
    <t>TZA</t>
  </si>
  <si>
    <t>ZMB</t>
  </si>
  <si>
    <t>ZWE</t>
  </si>
  <si>
    <t xml:space="preserve">Economy </t>
  </si>
  <si>
    <t>Code</t>
  </si>
  <si>
    <t>avg 2005-2015</t>
  </si>
  <si>
    <t>Albania</t>
  </si>
  <si>
    <t>ALB</t>
  </si>
  <si>
    <t>Algeria</t>
  </si>
  <si>
    <t>DZA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</si>
  <si>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</si>
  <si>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</si>
  <si>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</si>
  <si>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</si>
  <si>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</si>
  <si>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</si>
  <si>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</si>
  <si>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</si>
  <si>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</si>
  <si>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</si>
  <si>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</si>
  <si>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</si>
  <si>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</si>
  <si>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</si>
  <si>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</si>
  <si>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</si>
  <si>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</si>
  <si>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</si>
  <si>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</si>
  <si>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</si>
  <si>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</si>
  <si>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</si>
  <si>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</si>
  <si>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</si>
  <si>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</si>
  <si>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</si>
  <si>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</si>
  <si>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</si>
  <si>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Brazil</t>
  </si>
  <si>
    <t>BRA</t>
  </si>
  <si>
    <t>Brunei Darussalam</t>
  </si>
  <si>
    <t>BRN</t>
  </si>
  <si>
    <t>Bulgaria</t>
  </si>
  <si>
    <t>BGR</t>
  </si>
  <si>
    <t>Burundi</t>
  </si>
  <si>
    <t>BDI</t>
  </si>
  <si>
    <t>Cabo Verde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</si>
  <si>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</si>
  <si>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</si>
  <si>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</si>
  <si>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</si>
  <si>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</si>
  <si>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</si>
  <si>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</si>
  <si>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</si>
  <si>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</si>
  <si>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</si>
  <si>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</si>
  <si>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</si>
  <si>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</si>
  <si>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</si>
  <si>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</si>
  <si>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Congo, Rep.</t>
  </si>
  <si>
    <t>COG</t>
  </si>
  <si>
    <t>Costa Rica</t>
  </si>
  <si>
    <t>CRI</t>
  </si>
  <si>
    <t>Croatia</t>
  </si>
  <si>
    <t>HRV</t>
  </si>
  <si>
    <t>Cyprus</t>
  </si>
  <si>
    <t>CYP</t>
  </si>
  <si>
    <t>Czech Republic</t>
  </si>
  <si>
    <t>CZE</t>
  </si>
  <si>
    <t>Denmark</t>
  </si>
  <si>
    <t>DNK</t>
  </si>
  <si>
    <t>Dominican Republic</t>
  </si>
  <si>
    <t>DOM</t>
  </si>
  <si>
    <t>Ecuador</t>
  </si>
  <si>
    <t>ECU</t>
  </si>
  <si>
    <t>Egypt, Arab Rep.</t>
  </si>
  <si>
    <t>El Salvador</t>
  </si>
  <si>
    <t>SLV</t>
  </si>
  <si>
    <t>Equatorial Guinea</t>
  </si>
  <si>
    <t>GNQ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</si>
  <si>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</si>
  <si>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</si>
  <si>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</si>
  <si>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</si>
  <si>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</si>
  <si>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</si>
  <si>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</si>
  <si>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</si>
  <si>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</si>
  <si>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</si>
  <si>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</si>
  <si>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</si>
  <si>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</si>
  <si>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</si>
  <si>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</si>
  <si>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</si>
  <si>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</si>
  <si>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</si>
  <si>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</si>
  <si>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</si>
  <si>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Greece</t>
  </si>
  <si>
    <t>GRC</t>
  </si>
  <si>
    <t>Guinea</t>
  </si>
  <si>
    <t>GIN</t>
  </si>
  <si>
    <t>Guinea-Bissau</t>
  </si>
  <si>
    <t>GNB</t>
  </si>
  <si>
    <t>Honduras</t>
  </si>
  <si>
    <t>HND</t>
  </si>
  <si>
    <t>Hungary</t>
  </si>
  <si>
    <t>HUN</t>
  </si>
  <si>
    <t>Iceland</t>
  </si>
  <si>
    <t>ISL</t>
  </si>
  <si>
    <t>Iran, Islamic Rep.</t>
  </si>
  <si>
    <t>IRN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</si>
  <si>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</si>
  <si>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</si>
  <si>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</si>
  <si>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</si>
  <si>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</si>
  <si>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</si>
  <si>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</si>
  <si>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</si>
  <si>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</si>
  <si>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</si>
  <si>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</si>
  <si>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</si>
  <si>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</si>
  <si>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</si>
  <si>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Korea, Rep.</t>
  </si>
  <si>
    <t>KOR</t>
  </si>
  <si>
    <t>Kuwait</t>
  </si>
  <si>
    <t>KWT</t>
  </si>
  <si>
    <t>Kyrgyz Republic</t>
  </si>
  <si>
    <t>KGZ</t>
  </si>
  <si>
    <t>Lao PDR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</si>
  <si>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</si>
  <si>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</si>
  <si>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</si>
  <si>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</si>
  <si>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</si>
  <si>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</si>
  <si>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</si>
  <si>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</si>
  <si>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Lithuania</t>
  </si>
  <si>
    <t>LTU</t>
  </si>
  <si>
    <t>Luxembourg</t>
  </si>
  <si>
    <t>LUX</t>
  </si>
  <si>
    <t>Malawi</t>
  </si>
  <si>
    <t>MWI</t>
  </si>
  <si>
    <t>Malaysia</t>
  </si>
  <si>
    <t>MYS</t>
  </si>
  <si>
    <t>Maldives</t>
  </si>
  <si>
    <t>MDV</t>
  </si>
  <si>
    <t>Malta</t>
  </si>
  <si>
    <t>MLT</t>
  </si>
  <si>
    <t>Mauritania</t>
  </si>
  <si>
    <t>MRT</t>
  </si>
  <si>
    <t>Mexico</t>
  </si>
  <si>
    <t>MEX</t>
  </si>
  <si>
    <t>Moldova</t>
  </si>
  <si>
    <t>MDA</t>
  </si>
  <si>
    <t>Mongolia</t>
  </si>
  <si>
    <t>MNG</t>
  </si>
  <si>
    <t>Morocco</t>
  </si>
  <si>
    <t>MAR</t>
  </si>
  <si>
    <t>Namibia</t>
  </si>
  <si>
    <t>NAM</t>
  </si>
  <si>
    <t>Netherlands</t>
  </si>
  <si>
    <t>NLD</t>
  </si>
  <si>
    <t>New Zealand</t>
  </si>
  <si>
    <t>NZL</t>
  </si>
  <si>
    <t>Nicaragua</t>
  </si>
  <si>
    <t>NIC</t>
  </si>
  <si>
    <t>Nigeria</t>
  </si>
  <si>
    <t>NGA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</si>
  <si>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</si>
  <si>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</si>
  <si>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</si>
  <si>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</si>
  <si>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</si>
  <si>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</si>
  <si>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</si>
  <si>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</si>
  <si>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Panama</t>
  </si>
  <si>
    <t>PAN</t>
  </si>
  <si>
    <t>Paraguay</t>
  </si>
  <si>
    <t>PRY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</si>
  <si>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</si>
  <si>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</si>
  <si>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</si>
  <si>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</si>
  <si>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</si>
  <si>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</si>
  <si>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</si>
  <si>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</si>
  <si>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</si>
  <si>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</si>
  <si>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Russian Federation</t>
  </si>
  <si>
    <t>RUS</t>
  </si>
  <si>
    <t>Saudi Arabia</t>
  </si>
  <si>
    <t>SAU</t>
  </si>
  <si>
    <t>Senegal</t>
  </si>
  <si>
    <t>SEN</t>
  </si>
  <si>
    <t>Sierra Leone</t>
  </si>
  <si>
    <t>SLE</t>
  </si>
  <si>
    <t>Singapore</t>
  </si>
  <si>
    <t>SGP</t>
  </si>
  <si>
    <t>Slovak Republic</t>
  </si>
  <si>
    <t>SVK</t>
  </si>
  <si>
    <t>Slovenia</t>
  </si>
  <si>
    <t>SVN</t>
  </si>
  <si>
    <t>South Africa</t>
  </si>
  <si>
    <t>ZAF</t>
  </si>
  <si>
    <t>Spain</t>
  </si>
  <si>
    <t>ESP</t>
  </si>
  <si>
    <t>Sri Lanka</t>
  </si>
  <si>
    <t>LKA</t>
  </si>
  <si>
    <t>St. Lucia</t>
  </si>
  <si>
    <t>LCA</t>
  </si>
  <si>
    <t>St. Vincent and the Grenadines</t>
  </si>
  <si>
    <t>VCT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</si>
  <si>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</si>
  <si>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</si>
  <si>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</si>
  <si>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</si>
  <si>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</si>
  <si>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</si>
  <si>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</si>
  <si>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</si>
  <si>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</si>
  <si>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</si>
  <si>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</si>
  <si>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Thailand</t>
  </si>
  <si>
    <t>THA</t>
  </si>
  <si>
    <t>Togo</t>
  </si>
  <si>
    <t>TGO</t>
  </si>
  <si>
    <t>Trinidad and Tobago</t>
  </si>
  <si>
    <t>TTO</t>
  </si>
  <si>
    <t>Tunisia</t>
  </si>
  <si>
    <t>TUN</t>
  </si>
  <si>
    <t>Turkey</t>
  </si>
  <si>
    <t>TUR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</si>
  <si>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</si>
  <si>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</si>
  <si>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</si>
  <si>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</si>
  <si>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</si>
  <si>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</si>
  <si>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</si>
  <si>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</si>
  <si>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</si>
  <si>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</si>
  <si>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</si>
  <si>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</si>
  <si>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Venezuela, RB</t>
  </si>
  <si>
    <t>VEN</t>
  </si>
  <si>
    <t>Vietnam</t>
  </si>
  <si>
    <t>VNM</t>
  </si>
  <si>
    <t>Yemen, Rep.</t>
  </si>
  <si>
    <t>YEM</t>
  </si>
  <si>
    <t>info_share_va</t>
  </si>
  <si>
    <t>info_share_sales</t>
  </si>
  <si>
    <t>Congo, The Democratic Republic of</t>
  </si>
  <si>
    <t>Eritrea</t>
  </si>
  <si>
    <t>ERI</t>
  </si>
  <si>
    <t>Guyana</t>
  </si>
  <si>
    <t>GUY</t>
  </si>
  <si>
    <t>Haiti</t>
  </si>
  <si>
    <t>HTI</t>
  </si>
  <si>
    <t>Libya</t>
  </si>
  <si>
    <t>LBY</t>
  </si>
  <si>
    <t>Papua New Guinea</t>
  </si>
  <si>
    <t>PNG</t>
  </si>
  <si>
    <t>Solomon Islands</t>
  </si>
  <si>
    <t>SLB</t>
  </si>
  <si>
    <t>elgin et al (DGE)</t>
  </si>
  <si>
    <t>elgin et al (MIMIC)</t>
  </si>
  <si>
    <t>Averages</t>
  </si>
  <si>
    <t>employment</t>
  </si>
  <si>
    <t>employment_info</t>
  </si>
  <si>
    <t>out_share</t>
  </si>
  <si>
    <t>gdp</t>
  </si>
  <si>
    <t>consumption</t>
  </si>
  <si>
    <t>capital</t>
  </si>
  <si>
    <t>depreciation</t>
  </si>
  <si>
    <t>govt_share</t>
  </si>
  <si>
    <t>consumption_growth</t>
  </si>
  <si>
    <t>gdp_growth</t>
  </si>
  <si>
    <t>tot_emp_interpolated</t>
  </si>
  <si>
    <t>info_emp_interpolated</t>
  </si>
  <si>
    <t>beta_n</t>
  </si>
  <si>
    <t>beta_k</t>
  </si>
  <si>
    <t>beta_n_2</t>
  </si>
  <si>
    <t>beta_n_info</t>
  </si>
  <si>
    <t>sales_per_worker_form</t>
  </si>
  <si>
    <t>sales_per_worker_info</t>
  </si>
  <si>
    <t>va_per_worker_form</t>
  </si>
  <si>
    <t>va_per_worker_info</t>
  </si>
  <si>
    <t>obs_form_spw</t>
  </si>
  <si>
    <t>obs_info_spw</t>
  </si>
  <si>
    <t>obs_form_vapw</t>
  </si>
  <si>
    <t>obs_info_vapw</t>
  </si>
  <si>
    <t>survey_note</t>
  </si>
  <si>
    <t>wbes_year</t>
  </si>
  <si>
    <t>info_share</t>
  </si>
  <si>
    <t>theta_f</t>
  </si>
  <si>
    <t>theta_o</t>
  </si>
  <si>
    <t>info_share_2</t>
  </si>
  <si>
    <t>theta_f_2</t>
  </si>
  <si>
    <t>theta_o_2</t>
  </si>
  <si>
    <t>Actual survey year informal is 2008</t>
  </si>
  <si>
    <t>Actual survey year formal is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</si>
</sst>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">
    <xf numFmtId="0" fontId="0" fillId="0" borderId="0" xfId="0"/>
    <xf numFmtId="1" fontId="0" fillId="0" borderId="0" xfId="0" applyNumberFormat="1"/>
    <xf numFmtId="0" fontId="2" fillId="0" borderId="0" xfId="1" applyFont="1"/>
    <xf numFmtId="0" fontId="1" fillId="0" borderId="0" xfId="1"/>
    <xf numFmtId="164" fontId="1" fillId="0" borderId="0" xfId="1" applyNumberFormat="1"/>
    <xf numFmtId="164" fontId="1" fillId="2" borderId="0" xfId="1" applyNumberFormat="1" applyFill="1"/>
    <xf numFmtId="165" fontId="0" fillId="0" borderId="0" xfId="0" applyNumberFormat="1"/>
    <xf numFmtId="0" fontId="1" fillId="0" borderId="0" xfId="2"/>
    <xf numFmtId="1" fontId="1" fillId="0" borderId="0" xfId="2" applyNumberFormat="1"/>
    <xf numFmtId="164" fontId="1" fillId="0" borderId="0" xfId="2" applyNumberFormat="1"/>
    <xf numFmtId="0" fontId="0" fillId="0" borderId="0" xfId="0" applyAlignment="1">
      <alignment horizontal="center"/>
    </xf>
  </cellXfs>
  <cellStyles count="3">
    <cellStyle name="Normal" xfId="0" builtinId="0"/>
    <cellStyle name="Normal 2" xfId="1" xr:uid="{9FD3A906-1113-49D0-8E29-299B99A7F0CD}"/>
    <cellStyle name="Normal 3" xfId="2" xr:uid="{AC35DE65-5F5E-4D94-9935-86F0E7EC0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VA-based v. DGE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comparison!$E$2:$E$35</c:f>
              <c:numCache>
                <c:formatCode>0.000</c:formatCode>
                <c:ptCount val="34"/>
                <c:pt idx="0">
                  <c:v>0.12231275657027579</c:v>
                </c:pt>
                <c:pt idx="1">
                  <c:v>3.5579926733537465E-2</c:v>
                </c:pt>
                <c:pt idx="2">
                  <c:v>0.52357959286524447</c:v>
                </c:pt>
                <c:pt idx="3">
                  <c:v>0.12178637637638345</c:v>
                </c:pt>
                <c:pt idx="4">
                  <c:v>0.49541430190450081</c:v>
                </c:pt>
                <c:pt idx="5">
                  <c:v>0.54846544903663674</c:v>
                </c:pt>
                <c:pt idx="6">
                  <c:v>0.50021409557450403</c:v>
                </c:pt>
                <c:pt idx="7">
                  <c:v>0.19846364219687934</c:v>
                </c:pt>
                <c:pt idx="8">
                  <c:v>0.6680652591314824</c:v>
                </c:pt>
                <c:pt idx="9">
                  <c:v>3.3671932846230969E-2</c:v>
                </c:pt>
                <c:pt idx="10">
                  <c:v>2.9730324070040972E-2</c:v>
                </c:pt>
                <c:pt idx="11">
                  <c:v>0.21956078187117387</c:v>
                </c:pt>
                <c:pt idx="12">
                  <c:v>0.21494946682292387</c:v>
                </c:pt>
                <c:pt idx="13">
                  <c:v>0.24012828819314208</c:v>
                </c:pt>
                <c:pt idx="14">
                  <c:v>0.24172136045713999</c:v>
                </c:pt>
                <c:pt idx="15">
                  <c:v>0.34164461146507913</c:v>
                </c:pt>
                <c:pt idx="16">
                  <c:v>0.15784340799520463</c:v>
                </c:pt>
                <c:pt idx="17">
                  <c:v>0.14835363565045043</c:v>
                </c:pt>
                <c:pt idx="18">
                  <c:v>0.14127036048835023</c:v>
                </c:pt>
                <c:pt idx="19">
                  <c:v>0.71635721375740136</c:v>
                </c:pt>
                <c:pt idx="20">
                  <c:v>0.81295462171849886</c:v>
                </c:pt>
                <c:pt idx="21">
                  <c:v>0.79154988031444506</c:v>
                </c:pt>
                <c:pt idx="22">
                  <c:v>0.16606888422373048</c:v>
                </c:pt>
                <c:pt idx="23">
                  <c:v>0.30448886890336729</c:v>
                </c:pt>
                <c:pt idx="24">
                  <c:v>0.78400304798910958</c:v>
                </c:pt>
                <c:pt idx="25">
                  <c:v>0.86413888704941488</c:v>
                </c:pt>
                <c:pt idx="26">
                  <c:v>0.59562899763315358</c:v>
                </c:pt>
                <c:pt idx="27">
                  <c:v>0.16892960156699241</c:v>
                </c:pt>
                <c:pt idx="28">
                  <c:v>6.5555061253842126E-2</c:v>
                </c:pt>
                <c:pt idx="29">
                  <c:v>0.27509799496606346</c:v>
                </c:pt>
                <c:pt idx="30">
                  <c:v>0.2457834329749021</c:v>
                </c:pt>
                <c:pt idx="31">
                  <c:v>0.64183115709096439</c:v>
                </c:pt>
                <c:pt idx="32">
                  <c:v>0.2880448247932873</c:v>
                </c:pt>
                <c:pt idx="33">
                  <c:v>0.23257685806161305</c:v>
                </c:pt>
              </c:numCache>
            </c:numRef>
          </c:xVal>
          <c:yVal>
            <c:numRef>
              <c:f>comparison!$G$2:$G$35</c:f>
              <c:numCache>
                <c:formatCode>0.000</c:formatCode>
                <c:ptCount val="34"/>
                <c:pt idx="0">
                  <c:v>0.41350643157958983</c:v>
                </c:pt>
                <c:pt idx="1">
                  <c:v>0.22411331176757812</c:v>
                </c:pt>
                <c:pt idx="2">
                  <c:v>0.26998659133911135</c:v>
                </c:pt>
                <c:pt idx="3">
                  <c:v>0.29910165786743165</c:v>
                </c:pt>
                <c:pt idx="4">
                  <c:v>0.31202632904052735</c:v>
                </c:pt>
                <c:pt idx="5">
                  <c:v>0.40943939208984376</c:v>
                </c:pt>
                <c:pt idx="6">
                  <c:v>0.36601799011230468</c:v>
                </c:pt>
                <c:pt idx="7">
                  <c:v>0.30983760833740237</c:v>
                </c:pt>
                <c:pt idx="8">
                  <c:v>0.3013693618774414</c:v>
                </c:pt>
                <c:pt idx="9">
                  <c:v>0.46193843841552734</c:v>
                </c:pt>
                <c:pt idx="10">
                  <c:v>0.44063835144042968</c:v>
                </c:pt>
                <c:pt idx="11">
                  <c:v>0.46321083068847657</c:v>
                </c:pt>
                <c:pt idx="12">
                  <c:v>0.30862764358520506</c:v>
                </c:pt>
                <c:pt idx="13">
                  <c:v>0.37939140319824216</c:v>
                </c:pt>
                <c:pt idx="14">
                  <c:v>0.47105194091796876</c:v>
                </c:pt>
                <c:pt idx="15">
                  <c:v>0.16653045654296875</c:v>
                </c:pt>
                <c:pt idx="16">
                  <c:v>0.15284904479980468</c:v>
                </c:pt>
                <c:pt idx="18">
                  <c:v>0.2601829719543457</c:v>
                </c:pt>
                <c:pt idx="19">
                  <c:v>0</c:v>
                </c:pt>
                <c:pt idx="20">
                  <c:v>0.3690443801879883</c:v>
                </c:pt>
                <c:pt idx="21">
                  <c:v>0.36843429565429686</c:v>
                </c:pt>
                <c:pt idx="22">
                  <c:v>0.20693904876708985</c:v>
                </c:pt>
                <c:pt idx="23">
                  <c:v>0.2721093559265137</c:v>
                </c:pt>
                <c:pt idx="24">
                  <c:v>0.2686260986328125</c:v>
                </c:pt>
                <c:pt idx="25">
                  <c:v>0.35334186553955077</c:v>
                </c:pt>
                <c:pt idx="26">
                  <c:v>0.3777230453491211</c:v>
                </c:pt>
                <c:pt idx="27">
                  <c:v>0.51036483764648433</c:v>
                </c:pt>
                <c:pt idx="28">
                  <c:v>0.44790679931640626</c:v>
                </c:pt>
                <c:pt idx="29">
                  <c:v>0.28766149520874024</c:v>
                </c:pt>
                <c:pt idx="30">
                  <c:v>0.19342119216918946</c:v>
                </c:pt>
                <c:pt idx="31">
                  <c:v>0.42647056579589843</c:v>
                </c:pt>
                <c:pt idx="32">
                  <c:v>0.39798908233642577</c:v>
                </c:pt>
                <c:pt idx="33">
                  <c:v>0.63189762115478521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EA-4765-9764-0036A9DE8B4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comparison!$G$2:$G$32</c:f>
              <c:numCache>
                <c:formatCode>0.000</c:formatCode>
                <c:ptCount val="31"/>
                <c:pt idx="0">
                  <c:v>0.41350643157958983</c:v>
                </c:pt>
                <c:pt idx="1">
                  <c:v>0.22411331176757812</c:v>
                </c:pt>
                <c:pt idx="2">
                  <c:v>0.26998659133911135</c:v>
                </c:pt>
                <c:pt idx="3">
                  <c:v>0.29910165786743165</c:v>
                </c:pt>
                <c:pt idx="4">
                  <c:v>0.31202632904052735</c:v>
                </c:pt>
                <c:pt idx="5">
                  <c:v>0.40943939208984376</c:v>
                </c:pt>
                <c:pt idx="6">
                  <c:v>0.36601799011230468</c:v>
                </c:pt>
                <c:pt idx="7">
                  <c:v>0.30983760833740237</c:v>
                </c:pt>
                <c:pt idx="8">
                  <c:v>0.3013693618774414</c:v>
                </c:pt>
                <c:pt idx="9">
                  <c:v>0.46193843841552734</c:v>
                </c:pt>
                <c:pt idx="10">
                  <c:v>0.44063835144042968</c:v>
                </c:pt>
                <c:pt idx="11">
                  <c:v>0.46321083068847657</c:v>
                </c:pt>
                <c:pt idx="12">
                  <c:v>0.30862764358520506</c:v>
                </c:pt>
                <c:pt idx="13">
                  <c:v>0.37939140319824216</c:v>
                </c:pt>
                <c:pt idx="14">
                  <c:v>0.47105194091796876</c:v>
                </c:pt>
                <c:pt idx="15">
                  <c:v>0.16653045654296875</c:v>
                </c:pt>
                <c:pt idx="16">
                  <c:v>0.15284904479980468</c:v>
                </c:pt>
                <c:pt idx="18">
                  <c:v>0.2601829719543457</c:v>
                </c:pt>
                <c:pt idx="19">
                  <c:v>0</c:v>
                </c:pt>
                <c:pt idx="20">
                  <c:v>0.3690443801879883</c:v>
                </c:pt>
                <c:pt idx="21">
                  <c:v>0.36843429565429686</c:v>
                </c:pt>
                <c:pt idx="22">
                  <c:v>0.20693904876708985</c:v>
                </c:pt>
                <c:pt idx="23">
                  <c:v>0.2721093559265137</c:v>
                </c:pt>
                <c:pt idx="24">
                  <c:v>0.2686260986328125</c:v>
                </c:pt>
                <c:pt idx="25">
                  <c:v>0.35334186553955077</c:v>
                </c:pt>
                <c:pt idx="26">
                  <c:v>0.3777230453491211</c:v>
                </c:pt>
                <c:pt idx="27">
                  <c:v>0.51036483764648433</c:v>
                </c:pt>
                <c:pt idx="28">
                  <c:v>0.44790679931640626</c:v>
                </c:pt>
                <c:pt idx="29">
                  <c:v>0.28766149520874024</c:v>
                </c:pt>
                <c:pt idx="30">
                  <c:v>0.19342119216918946</c:v>
                </c:pt>
              </c:numCache>
            </c:numRef>
          </c:xVal>
          <c:yVal>
            <c:numRef>
              <c:f>comparison!$I$2:$I$32</c:f>
              <c:numCache>
                <c:formatCode>General</c:formatCode>
                <c:ptCount val="31"/>
                <c:pt idx="0" formatCode="0.000">
                  <c:v>0.35105190889841081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EA-4765-9764-0036A9DE8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914976"/>
        <c:axId val="1392713120"/>
      </c:scatterChart>
      <c:valAx>
        <c:axId val="78991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713120"/>
        <c:crosses val="autoZero"/>
        <c:crossBetween val="midCat"/>
      </c:valAx>
      <c:valAx>
        <c:axId val="139271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914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Sales-based v. DGE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comparison!$E$2:$E$32</c:f>
              <c:numCache>
                <c:formatCode>0.000</c:formatCode>
                <c:ptCount val="31"/>
                <c:pt idx="0">
                  <c:v>0.12231275657027579</c:v>
                </c:pt>
                <c:pt idx="1">
                  <c:v>3.5579926733537465E-2</c:v>
                </c:pt>
                <c:pt idx="2">
                  <c:v>0.52357959286524447</c:v>
                </c:pt>
                <c:pt idx="3">
                  <c:v>0.12178637637638345</c:v>
                </c:pt>
                <c:pt idx="4">
                  <c:v>0.49541430190450081</c:v>
                </c:pt>
                <c:pt idx="5">
                  <c:v>0.54846544903663674</c:v>
                </c:pt>
                <c:pt idx="6">
                  <c:v>0.50021409557450403</c:v>
                </c:pt>
                <c:pt idx="7">
                  <c:v>0.19846364219687934</c:v>
                </c:pt>
                <c:pt idx="8">
                  <c:v>0.6680652591314824</c:v>
                </c:pt>
                <c:pt idx="9">
                  <c:v>3.3671932846230969E-2</c:v>
                </c:pt>
                <c:pt idx="10">
                  <c:v>2.9730324070040972E-2</c:v>
                </c:pt>
                <c:pt idx="11">
                  <c:v>0.21956078187117387</c:v>
                </c:pt>
                <c:pt idx="12">
                  <c:v>0.21494946682292387</c:v>
                </c:pt>
                <c:pt idx="13">
                  <c:v>0.24012828819314208</c:v>
                </c:pt>
                <c:pt idx="14">
                  <c:v>0.24172136045713999</c:v>
                </c:pt>
                <c:pt idx="15">
                  <c:v>0.34164461146507913</c:v>
                </c:pt>
                <c:pt idx="16">
                  <c:v>0.15784340799520463</c:v>
                </c:pt>
                <c:pt idx="17">
                  <c:v>0.14835363565045043</c:v>
                </c:pt>
                <c:pt idx="18">
                  <c:v>0.14127036048835023</c:v>
                </c:pt>
                <c:pt idx="19">
                  <c:v>0.71635721375740136</c:v>
                </c:pt>
                <c:pt idx="20">
                  <c:v>0.81295462171849886</c:v>
                </c:pt>
                <c:pt idx="21">
                  <c:v>0.79154988031444506</c:v>
                </c:pt>
                <c:pt idx="22">
                  <c:v>0.16606888422373048</c:v>
                </c:pt>
                <c:pt idx="23">
                  <c:v>0.30448886890336729</c:v>
                </c:pt>
                <c:pt idx="24">
                  <c:v>0.78400304798910958</c:v>
                </c:pt>
                <c:pt idx="25">
                  <c:v>0.86413888704941488</c:v>
                </c:pt>
                <c:pt idx="26">
                  <c:v>0.59562899763315358</c:v>
                </c:pt>
                <c:pt idx="27">
                  <c:v>0.16892960156699241</c:v>
                </c:pt>
                <c:pt idx="28">
                  <c:v>6.5555061253842126E-2</c:v>
                </c:pt>
                <c:pt idx="29">
                  <c:v>0.27509799496606346</c:v>
                </c:pt>
                <c:pt idx="30">
                  <c:v>0.2457834329749021</c:v>
                </c:pt>
              </c:numCache>
            </c:numRef>
          </c:xVal>
          <c:yVal>
            <c:numRef>
              <c:f>comparison!$F$2:$F$32</c:f>
              <c:numCache>
                <c:formatCode>0.000</c:formatCode>
                <c:ptCount val="31"/>
                <c:pt idx="0">
                  <c:v>2.4882089716718438E-2</c:v>
                </c:pt>
                <c:pt idx="1">
                  <c:v>2.3333160810626447E-2</c:v>
                </c:pt>
                <c:pt idx="2">
                  <c:v>0.26861004865698634</c:v>
                </c:pt>
                <c:pt idx="3">
                  <c:v>2.8915206645565406E-2</c:v>
                </c:pt>
                <c:pt idx="4">
                  <c:v>0.37609782726117313</c:v>
                </c:pt>
                <c:pt idx="5">
                  <c:v>0.48262216190954282</c:v>
                </c:pt>
                <c:pt idx="6">
                  <c:v>0.43458820705496759</c:v>
                </c:pt>
                <c:pt idx="7">
                  <c:v>0.21609705435171772</c:v>
                </c:pt>
                <c:pt idx="8">
                  <c:v>3.7074735884141174E-2</c:v>
                </c:pt>
                <c:pt idx="9">
                  <c:v>5.4994826313787104E-2</c:v>
                </c:pt>
                <c:pt idx="10">
                  <c:v>4.868292591091921E-2</c:v>
                </c:pt>
                <c:pt idx="11">
                  <c:v>0.19254694799822497</c:v>
                </c:pt>
                <c:pt idx="12">
                  <c:v>0.13717920522586627</c:v>
                </c:pt>
                <c:pt idx="13">
                  <c:v>0.1457735307198606</c:v>
                </c:pt>
                <c:pt idx="14">
                  <c:v>0.14352659376514057</c:v>
                </c:pt>
                <c:pt idx="15">
                  <c:v>0.27201348902793648</c:v>
                </c:pt>
                <c:pt idx="16">
                  <c:v>9.7246274245745307E-2</c:v>
                </c:pt>
                <c:pt idx="17">
                  <c:v>0.30049054134191922</c:v>
                </c:pt>
                <c:pt idx="18">
                  <c:v>0.11003411368464645</c:v>
                </c:pt>
                <c:pt idx="19">
                  <c:v>0.34198964976380175</c:v>
                </c:pt>
                <c:pt idx="20">
                  <c:v>0.47370959862168066</c:v>
                </c:pt>
                <c:pt idx="21">
                  <c:v>0.18187431246996658</c:v>
                </c:pt>
                <c:pt idx="22">
                  <c:v>5.4843007224873806E-2</c:v>
                </c:pt>
                <c:pt idx="23">
                  <c:v>0.21455628666415427</c:v>
                </c:pt>
                <c:pt idx="24">
                  <c:v>0.64329087649650374</c:v>
                </c:pt>
                <c:pt idx="25">
                  <c:v>0.5805687700796256</c:v>
                </c:pt>
                <c:pt idx="26">
                  <c:v>0.13843303123864423</c:v>
                </c:pt>
                <c:pt idx="27">
                  <c:v>8.1956969181233713E-2</c:v>
                </c:pt>
                <c:pt idx="28">
                  <c:v>2.9890165924195029E-2</c:v>
                </c:pt>
                <c:pt idx="29">
                  <c:v>0.12127574737860278</c:v>
                </c:pt>
                <c:pt idx="30">
                  <c:v>6.9332861571539783E-4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14-437F-893F-5778A0C02DE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comparison!$G$2:$G$35</c:f>
              <c:numCache>
                <c:formatCode>0.000</c:formatCode>
                <c:ptCount val="34"/>
                <c:pt idx="0">
                  <c:v>0.41350643157958983</c:v>
                </c:pt>
                <c:pt idx="1">
                  <c:v>0.22411331176757812</c:v>
                </c:pt>
                <c:pt idx="2">
                  <c:v>0.26998659133911135</c:v>
                </c:pt>
                <c:pt idx="3">
                  <c:v>0.29910165786743165</c:v>
                </c:pt>
                <c:pt idx="4">
                  <c:v>0.31202632904052735</c:v>
                </c:pt>
                <c:pt idx="5">
                  <c:v>0.40943939208984376</c:v>
                </c:pt>
                <c:pt idx="6">
                  <c:v>0.36601799011230468</c:v>
                </c:pt>
                <c:pt idx="7">
                  <c:v>0.30983760833740237</c:v>
                </c:pt>
                <c:pt idx="8">
                  <c:v>0.3013693618774414</c:v>
                </c:pt>
                <c:pt idx="9">
                  <c:v>0.46193843841552734</c:v>
                </c:pt>
                <c:pt idx="10">
                  <c:v>0.44063835144042968</c:v>
                </c:pt>
                <c:pt idx="11">
                  <c:v>0.46321083068847657</c:v>
                </c:pt>
                <c:pt idx="12">
                  <c:v>0.30862764358520506</c:v>
                </c:pt>
                <c:pt idx="13">
                  <c:v>0.37939140319824216</c:v>
                </c:pt>
                <c:pt idx="14">
                  <c:v>0.47105194091796876</c:v>
                </c:pt>
                <c:pt idx="15">
                  <c:v>0.16653045654296875</c:v>
                </c:pt>
                <c:pt idx="16">
                  <c:v>0.15284904479980468</c:v>
                </c:pt>
                <c:pt idx="18">
                  <c:v>0.2601829719543457</c:v>
                </c:pt>
                <c:pt idx="19">
                  <c:v>0</c:v>
                </c:pt>
                <c:pt idx="20">
                  <c:v>0.3690443801879883</c:v>
                </c:pt>
                <c:pt idx="21">
                  <c:v>0.36843429565429686</c:v>
                </c:pt>
                <c:pt idx="22">
                  <c:v>0.20693904876708985</c:v>
                </c:pt>
                <c:pt idx="23">
                  <c:v>0.2721093559265137</c:v>
                </c:pt>
                <c:pt idx="24">
                  <c:v>0.2686260986328125</c:v>
                </c:pt>
                <c:pt idx="25">
                  <c:v>0.35334186553955077</c:v>
                </c:pt>
                <c:pt idx="26">
                  <c:v>0.3777230453491211</c:v>
                </c:pt>
                <c:pt idx="27">
                  <c:v>0.51036483764648433</c:v>
                </c:pt>
                <c:pt idx="28">
                  <c:v>0.44790679931640626</c:v>
                </c:pt>
                <c:pt idx="29">
                  <c:v>0.28766149520874024</c:v>
                </c:pt>
                <c:pt idx="30">
                  <c:v>0.19342119216918946</c:v>
                </c:pt>
                <c:pt idx="31">
                  <c:v>0.42647056579589843</c:v>
                </c:pt>
                <c:pt idx="32">
                  <c:v>0.39798908233642577</c:v>
                </c:pt>
                <c:pt idx="33">
                  <c:v>0.63189762115478521</c:v>
                </c:pt>
              </c:numCache>
            </c:numRef>
          </c:xVal>
          <c:yVal>
            <c:numRef>
              <c:f>comparison!$I$2:$I$35</c:f>
              <c:numCache>
                <c:formatCode>General</c:formatCode>
                <c:ptCount val="34"/>
                <c:pt idx="0" formatCode="0.000">
                  <c:v>0.35105190889841081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14-437F-893F-5778A0C02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914976"/>
        <c:axId val="1392713120"/>
      </c:scatterChart>
      <c:valAx>
        <c:axId val="78991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713120"/>
        <c:crosses val="autoZero"/>
        <c:crossBetween val="midCat"/>
      </c:valAx>
      <c:valAx>
        <c:axId val="139271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914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VA-based v. MIMIC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comparison!$E$2:$E$35</c:f>
              <c:numCache>
                <c:formatCode>0.000</c:formatCode>
                <c:ptCount val="34"/>
                <c:pt idx="0">
                  <c:v>0.12231275657027579</c:v>
                </c:pt>
                <c:pt idx="1">
                  <c:v>3.5579926733537465E-2</c:v>
                </c:pt>
                <c:pt idx="2">
                  <c:v>0.52357959286524447</c:v>
                </c:pt>
                <c:pt idx="3">
                  <c:v>0.12178637637638345</c:v>
                </c:pt>
                <c:pt idx="4">
                  <c:v>0.49541430190450081</c:v>
                </c:pt>
                <c:pt idx="5">
                  <c:v>0.54846544903663674</c:v>
                </c:pt>
                <c:pt idx="6">
                  <c:v>0.50021409557450403</c:v>
                </c:pt>
                <c:pt idx="7">
                  <c:v>0.19846364219687934</c:v>
                </c:pt>
                <c:pt idx="8">
                  <c:v>0.6680652591314824</c:v>
                </c:pt>
                <c:pt idx="9">
                  <c:v>3.3671932846230969E-2</c:v>
                </c:pt>
                <c:pt idx="10">
                  <c:v>2.9730324070040972E-2</c:v>
                </c:pt>
                <c:pt idx="11">
                  <c:v>0.21956078187117387</c:v>
                </c:pt>
                <c:pt idx="12">
                  <c:v>0.21494946682292387</c:v>
                </c:pt>
                <c:pt idx="13">
                  <c:v>0.24012828819314208</c:v>
                </c:pt>
                <c:pt idx="14">
                  <c:v>0.24172136045713999</c:v>
                </c:pt>
                <c:pt idx="15">
                  <c:v>0.34164461146507913</c:v>
                </c:pt>
                <c:pt idx="16">
                  <c:v>0.15784340799520463</c:v>
                </c:pt>
                <c:pt idx="17">
                  <c:v>0.14835363565045043</c:v>
                </c:pt>
                <c:pt idx="18">
                  <c:v>0.14127036048835023</c:v>
                </c:pt>
                <c:pt idx="19">
                  <c:v>0.71635721375740136</c:v>
                </c:pt>
                <c:pt idx="20">
                  <c:v>0.81295462171849886</c:v>
                </c:pt>
                <c:pt idx="21">
                  <c:v>0.79154988031444506</c:v>
                </c:pt>
                <c:pt idx="22">
                  <c:v>0.16606888422373048</c:v>
                </c:pt>
                <c:pt idx="23">
                  <c:v>0.30448886890336729</c:v>
                </c:pt>
                <c:pt idx="24">
                  <c:v>0.78400304798910958</c:v>
                </c:pt>
                <c:pt idx="25">
                  <c:v>0.86413888704941488</c:v>
                </c:pt>
                <c:pt idx="26">
                  <c:v>0.59562899763315358</c:v>
                </c:pt>
                <c:pt idx="27">
                  <c:v>0.16892960156699241</c:v>
                </c:pt>
                <c:pt idx="28">
                  <c:v>6.5555061253842126E-2</c:v>
                </c:pt>
                <c:pt idx="29">
                  <c:v>0.27509799496606346</c:v>
                </c:pt>
                <c:pt idx="30">
                  <c:v>0.2457834329749021</c:v>
                </c:pt>
                <c:pt idx="31">
                  <c:v>0.64183115709096439</c:v>
                </c:pt>
                <c:pt idx="32">
                  <c:v>0.2880448247932873</c:v>
                </c:pt>
                <c:pt idx="33">
                  <c:v>0.23257685806161305</c:v>
                </c:pt>
              </c:numCache>
            </c:numRef>
          </c:xVal>
          <c:yVal>
            <c:numRef>
              <c:f>comparison!$H$2:$H$35</c:f>
              <c:numCache>
                <c:formatCode>0.000</c:formatCode>
                <c:ptCount val="34"/>
                <c:pt idx="0">
                  <c:v>0.44137409210205081</c:v>
                </c:pt>
                <c:pt idx="1">
                  <c:v>0.24042016983032227</c:v>
                </c:pt>
                <c:pt idx="2">
                  <c:v>0.3465399169921875</c:v>
                </c:pt>
                <c:pt idx="3">
                  <c:v>0.31439714431762694</c:v>
                </c:pt>
                <c:pt idx="4">
                  <c:v>0.38239151000976562</c:v>
                </c:pt>
                <c:pt idx="5">
                  <c:v>0.46794094085693361</c:v>
                </c:pt>
                <c:pt idx="6">
                  <c:v>0.43678634643554687</c:v>
                </c:pt>
                <c:pt idx="7">
                  <c:v>0.32389270782470703</c:v>
                </c:pt>
                <c:pt idx="8">
                  <c:v>0.35509746551513671</c:v>
                </c:pt>
                <c:pt idx="9">
                  <c:v>0.47893978118896485</c:v>
                </c:pt>
                <c:pt idx="10">
                  <c:v>0.46644519805908202</c:v>
                </c:pt>
                <c:pt idx="11">
                  <c:v>0.43839477539062499</c:v>
                </c:pt>
                <c:pt idx="12">
                  <c:v>0.34813449859619139</c:v>
                </c:pt>
                <c:pt idx="13">
                  <c:v>0.38802185058593752</c:v>
                </c:pt>
                <c:pt idx="14">
                  <c:v>0.52920597076416021</c:v>
                </c:pt>
                <c:pt idx="15">
                  <c:v>0.19729753494262695</c:v>
                </c:pt>
                <c:pt idx="16">
                  <c:v>0.17884134292602538</c:v>
                </c:pt>
                <c:pt idx="18">
                  <c:v>0.29205049514770509</c:v>
                </c:pt>
                <c:pt idx="19">
                  <c:v>0.27923810958862305</c:v>
                </c:pt>
                <c:pt idx="20">
                  <c:v>0.43445541381835939</c:v>
                </c:pt>
                <c:pt idx="21">
                  <c:v>0.40402950286865236</c:v>
                </c:pt>
                <c:pt idx="22">
                  <c:v>0.21411190032958985</c:v>
                </c:pt>
                <c:pt idx="23">
                  <c:v>0.38705368041992189</c:v>
                </c:pt>
                <c:pt idx="24">
                  <c:v>0.49254505157470702</c:v>
                </c:pt>
                <c:pt idx="25">
                  <c:v>0.37361072540283202</c:v>
                </c:pt>
                <c:pt idx="26">
                  <c:v>0.41909423828124998</c:v>
                </c:pt>
                <c:pt idx="27">
                  <c:v>0.55723663330078121</c:v>
                </c:pt>
                <c:pt idx="28">
                  <c:v>0.56624565124511717</c:v>
                </c:pt>
                <c:pt idx="29">
                  <c:v>0.35111095428466799</c:v>
                </c:pt>
                <c:pt idx="31">
                  <c:v>0.54100402832031247</c:v>
                </c:pt>
                <c:pt idx="32">
                  <c:v>0.46224048614501956</c:v>
                </c:pt>
                <c:pt idx="33">
                  <c:v>0.59994132995605465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C3-47F3-8852-5856BB6771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comparison!$G$2:$G$32</c:f>
              <c:numCache>
                <c:formatCode>0.000</c:formatCode>
                <c:ptCount val="31"/>
                <c:pt idx="0">
                  <c:v>0.41350643157958983</c:v>
                </c:pt>
                <c:pt idx="1">
                  <c:v>0.22411331176757812</c:v>
                </c:pt>
                <c:pt idx="2">
                  <c:v>0.26998659133911135</c:v>
                </c:pt>
                <c:pt idx="3">
                  <c:v>0.29910165786743165</c:v>
                </c:pt>
                <c:pt idx="4">
                  <c:v>0.31202632904052735</c:v>
                </c:pt>
                <c:pt idx="5">
                  <c:v>0.40943939208984376</c:v>
                </c:pt>
                <c:pt idx="6">
                  <c:v>0.36601799011230468</c:v>
                </c:pt>
                <c:pt idx="7">
                  <c:v>0.30983760833740237</c:v>
                </c:pt>
                <c:pt idx="8">
                  <c:v>0.3013693618774414</c:v>
                </c:pt>
                <c:pt idx="9">
                  <c:v>0.46193843841552734</c:v>
                </c:pt>
                <c:pt idx="10">
                  <c:v>0.44063835144042968</c:v>
                </c:pt>
                <c:pt idx="11">
                  <c:v>0.46321083068847657</c:v>
                </c:pt>
                <c:pt idx="12">
                  <c:v>0.30862764358520506</c:v>
                </c:pt>
                <c:pt idx="13">
                  <c:v>0.37939140319824216</c:v>
                </c:pt>
                <c:pt idx="14">
                  <c:v>0.47105194091796876</c:v>
                </c:pt>
                <c:pt idx="15">
                  <c:v>0.16653045654296875</c:v>
                </c:pt>
                <c:pt idx="16">
                  <c:v>0.15284904479980468</c:v>
                </c:pt>
                <c:pt idx="18">
                  <c:v>0.2601829719543457</c:v>
                </c:pt>
                <c:pt idx="19">
                  <c:v>0</c:v>
                </c:pt>
                <c:pt idx="20">
                  <c:v>0.3690443801879883</c:v>
                </c:pt>
                <c:pt idx="21">
                  <c:v>0.36843429565429686</c:v>
                </c:pt>
                <c:pt idx="22">
                  <c:v>0.20693904876708985</c:v>
                </c:pt>
                <c:pt idx="23">
                  <c:v>0.2721093559265137</c:v>
                </c:pt>
                <c:pt idx="24">
                  <c:v>0.2686260986328125</c:v>
                </c:pt>
                <c:pt idx="25">
                  <c:v>0.35334186553955077</c:v>
                </c:pt>
                <c:pt idx="26">
                  <c:v>0.3777230453491211</c:v>
                </c:pt>
                <c:pt idx="27">
                  <c:v>0.51036483764648433</c:v>
                </c:pt>
                <c:pt idx="28">
                  <c:v>0.44790679931640626</c:v>
                </c:pt>
                <c:pt idx="29">
                  <c:v>0.28766149520874024</c:v>
                </c:pt>
                <c:pt idx="30">
                  <c:v>0.19342119216918946</c:v>
                </c:pt>
              </c:numCache>
            </c:numRef>
          </c:xVal>
          <c:yVal>
            <c:numRef>
              <c:f>comparison!$I$2:$I$32</c:f>
              <c:numCache>
                <c:formatCode>General</c:formatCode>
                <c:ptCount val="31"/>
                <c:pt idx="0" formatCode="0.000">
                  <c:v>0.35105190889841081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C3-47F3-8852-5856BB677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914976"/>
        <c:axId val="1392713120"/>
      </c:scatterChart>
      <c:valAx>
        <c:axId val="78991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713120"/>
        <c:crosses val="autoZero"/>
        <c:crossBetween val="midCat"/>
      </c:valAx>
      <c:valAx>
        <c:axId val="139271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914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Sales-based v. MIMIC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comparison!$E$2:$E$32</c:f>
              <c:numCache>
                <c:formatCode>0.000</c:formatCode>
                <c:ptCount val="31"/>
                <c:pt idx="0">
                  <c:v>0.12231275657027579</c:v>
                </c:pt>
                <c:pt idx="1">
                  <c:v>3.5579926733537465E-2</c:v>
                </c:pt>
                <c:pt idx="2">
                  <c:v>0.52357959286524447</c:v>
                </c:pt>
                <c:pt idx="3">
                  <c:v>0.12178637637638345</c:v>
                </c:pt>
                <c:pt idx="4">
                  <c:v>0.49541430190450081</c:v>
                </c:pt>
                <c:pt idx="5">
                  <c:v>0.54846544903663674</c:v>
                </c:pt>
                <c:pt idx="6">
                  <c:v>0.50021409557450403</c:v>
                </c:pt>
                <c:pt idx="7">
                  <c:v>0.19846364219687934</c:v>
                </c:pt>
                <c:pt idx="8">
                  <c:v>0.6680652591314824</c:v>
                </c:pt>
                <c:pt idx="9">
                  <c:v>3.3671932846230969E-2</c:v>
                </c:pt>
                <c:pt idx="10">
                  <c:v>2.9730324070040972E-2</c:v>
                </c:pt>
                <c:pt idx="11">
                  <c:v>0.21956078187117387</c:v>
                </c:pt>
                <c:pt idx="12">
                  <c:v>0.21494946682292387</c:v>
                </c:pt>
                <c:pt idx="13">
                  <c:v>0.24012828819314208</c:v>
                </c:pt>
                <c:pt idx="14">
                  <c:v>0.24172136045713999</c:v>
                </c:pt>
                <c:pt idx="15">
                  <c:v>0.34164461146507913</c:v>
                </c:pt>
                <c:pt idx="16">
                  <c:v>0.15784340799520463</c:v>
                </c:pt>
                <c:pt idx="17">
                  <c:v>0.14835363565045043</c:v>
                </c:pt>
                <c:pt idx="18">
                  <c:v>0.14127036048835023</c:v>
                </c:pt>
                <c:pt idx="19">
                  <c:v>0.71635721375740136</c:v>
                </c:pt>
                <c:pt idx="20">
                  <c:v>0.81295462171849886</c:v>
                </c:pt>
                <c:pt idx="21">
                  <c:v>0.79154988031444506</c:v>
                </c:pt>
                <c:pt idx="22">
                  <c:v>0.16606888422373048</c:v>
                </c:pt>
                <c:pt idx="23">
                  <c:v>0.30448886890336729</c:v>
                </c:pt>
                <c:pt idx="24">
                  <c:v>0.78400304798910958</c:v>
                </c:pt>
                <c:pt idx="25">
                  <c:v>0.86413888704941488</c:v>
                </c:pt>
                <c:pt idx="26">
                  <c:v>0.59562899763315358</c:v>
                </c:pt>
                <c:pt idx="27">
                  <c:v>0.16892960156699241</c:v>
                </c:pt>
                <c:pt idx="28">
                  <c:v>6.5555061253842126E-2</c:v>
                </c:pt>
                <c:pt idx="29">
                  <c:v>0.27509799496606346</c:v>
                </c:pt>
                <c:pt idx="30">
                  <c:v>0.2457834329749021</c:v>
                </c:pt>
              </c:numCache>
            </c:numRef>
          </c:xVal>
          <c:yVal>
            <c:numRef>
              <c:f>comparison!$H$2:$H$32</c:f>
              <c:numCache>
                <c:formatCode>0.000</c:formatCode>
                <c:ptCount val="31"/>
                <c:pt idx="0">
                  <c:v>0.44137409210205081</c:v>
                </c:pt>
                <c:pt idx="1">
                  <c:v>0.24042016983032227</c:v>
                </c:pt>
                <c:pt idx="2">
                  <c:v>0.3465399169921875</c:v>
                </c:pt>
                <c:pt idx="3">
                  <c:v>0.31439714431762694</c:v>
                </c:pt>
                <c:pt idx="4">
                  <c:v>0.38239151000976562</c:v>
                </c:pt>
                <c:pt idx="5">
                  <c:v>0.46794094085693361</c:v>
                </c:pt>
                <c:pt idx="6">
                  <c:v>0.43678634643554687</c:v>
                </c:pt>
                <c:pt idx="7">
                  <c:v>0.32389270782470703</c:v>
                </c:pt>
                <c:pt idx="8">
                  <c:v>0.35509746551513671</c:v>
                </c:pt>
                <c:pt idx="9">
                  <c:v>0.47893978118896485</c:v>
                </c:pt>
                <c:pt idx="10">
                  <c:v>0.46644519805908202</c:v>
                </c:pt>
                <c:pt idx="11">
                  <c:v>0.43839477539062499</c:v>
                </c:pt>
                <c:pt idx="12">
                  <c:v>0.34813449859619139</c:v>
                </c:pt>
                <c:pt idx="13">
                  <c:v>0.38802185058593752</c:v>
                </c:pt>
                <c:pt idx="14">
                  <c:v>0.52920597076416021</c:v>
                </c:pt>
                <c:pt idx="15">
                  <c:v>0.19729753494262695</c:v>
                </c:pt>
                <c:pt idx="16">
                  <c:v>0.17884134292602538</c:v>
                </c:pt>
                <c:pt idx="18">
                  <c:v>0.29205049514770509</c:v>
                </c:pt>
                <c:pt idx="19">
                  <c:v>0.27923810958862305</c:v>
                </c:pt>
                <c:pt idx="20">
                  <c:v>0.43445541381835939</c:v>
                </c:pt>
                <c:pt idx="21">
                  <c:v>0.40402950286865236</c:v>
                </c:pt>
                <c:pt idx="22">
                  <c:v>0.21411190032958985</c:v>
                </c:pt>
                <c:pt idx="23">
                  <c:v>0.38705368041992189</c:v>
                </c:pt>
                <c:pt idx="24">
                  <c:v>0.49254505157470702</c:v>
                </c:pt>
                <c:pt idx="25">
                  <c:v>0.37361072540283202</c:v>
                </c:pt>
                <c:pt idx="26">
                  <c:v>0.41909423828124998</c:v>
                </c:pt>
                <c:pt idx="27">
                  <c:v>0.55723663330078121</c:v>
                </c:pt>
                <c:pt idx="28">
                  <c:v>0.56624565124511717</c:v>
                </c:pt>
                <c:pt idx="29">
                  <c:v>0.35111095428466799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C4-4575-A5D0-A51E2C118D0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comparison!$G$2:$G$35</c:f>
              <c:numCache>
                <c:formatCode>0.000</c:formatCode>
                <c:ptCount val="34"/>
                <c:pt idx="0">
                  <c:v>0.41350643157958983</c:v>
                </c:pt>
                <c:pt idx="1">
                  <c:v>0.22411331176757812</c:v>
                </c:pt>
                <c:pt idx="2">
                  <c:v>0.26998659133911135</c:v>
                </c:pt>
                <c:pt idx="3">
                  <c:v>0.29910165786743165</c:v>
                </c:pt>
                <c:pt idx="4">
                  <c:v>0.31202632904052735</c:v>
                </c:pt>
                <c:pt idx="5">
                  <c:v>0.40943939208984376</c:v>
                </c:pt>
                <c:pt idx="6">
                  <c:v>0.36601799011230468</c:v>
                </c:pt>
                <c:pt idx="7">
                  <c:v>0.30983760833740237</c:v>
                </c:pt>
                <c:pt idx="8">
                  <c:v>0.3013693618774414</c:v>
                </c:pt>
                <c:pt idx="9">
                  <c:v>0.46193843841552734</c:v>
                </c:pt>
                <c:pt idx="10">
                  <c:v>0.44063835144042968</c:v>
                </c:pt>
                <c:pt idx="11">
                  <c:v>0.46321083068847657</c:v>
                </c:pt>
                <c:pt idx="12">
                  <c:v>0.30862764358520506</c:v>
                </c:pt>
                <c:pt idx="13">
                  <c:v>0.37939140319824216</c:v>
                </c:pt>
                <c:pt idx="14">
                  <c:v>0.47105194091796876</c:v>
                </c:pt>
                <c:pt idx="15">
                  <c:v>0.16653045654296875</c:v>
                </c:pt>
                <c:pt idx="16">
                  <c:v>0.15284904479980468</c:v>
                </c:pt>
                <c:pt idx="18">
                  <c:v>0.2601829719543457</c:v>
                </c:pt>
                <c:pt idx="19">
                  <c:v>0</c:v>
                </c:pt>
                <c:pt idx="20">
                  <c:v>0.3690443801879883</c:v>
                </c:pt>
                <c:pt idx="21">
                  <c:v>0.36843429565429686</c:v>
                </c:pt>
                <c:pt idx="22">
                  <c:v>0.20693904876708985</c:v>
                </c:pt>
                <c:pt idx="23">
                  <c:v>0.2721093559265137</c:v>
                </c:pt>
                <c:pt idx="24">
                  <c:v>0.2686260986328125</c:v>
                </c:pt>
                <c:pt idx="25">
                  <c:v>0.35334186553955077</c:v>
                </c:pt>
                <c:pt idx="26">
                  <c:v>0.3777230453491211</c:v>
                </c:pt>
                <c:pt idx="27">
                  <c:v>0.51036483764648433</c:v>
                </c:pt>
                <c:pt idx="28">
                  <c:v>0.44790679931640626</c:v>
                </c:pt>
                <c:pt idx="29">
                  <c:v>0.28766149520874024</c:v>
                </c:pt>
                <c:pt idx="30">
                  <c:v>0.19342119216918946</c:v>
                </c:pt>
                <c:pt idx="31">
                  <c:v>0.42647056579589843</c:v>
                </c:pt>
                <c:pt idx="32">
                  <c:v>0.39798908233642577</c:v>
                </c:pt>
                <c:pt idx="33">
                  <c:v>0.63189762115478521</c:v>
                </c:pt>
              </c:numCache>
            </c:numRef>
          </c:xVal>
          <c:yVal>
            <c:numRef>
              <c:f>comparison!$I$2:$I$35</c:f>
              <c:numCache>
                <c:formatCode>General</c:formatCode>
                <c:ptCount val="34"/>
                <c:pt idx="0" formatCode="0.000">
                  <c:v>0.35105190889841081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C4-4575-A5D0-A51E2C118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914976"/>
        <c:axId val="1392713120"/>
      </c:scatterChart>
      <c:valAx>
        <c:axId val="78991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713120"/>
        <c:crosses val="autoZero"/>
        <c:crossBetween val="midCat"/>
      </c:valAx>
      <c:valAx>
        <c:axId val="139271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914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42861</xdr:colOff>
      <xdr:row>2</xdr:row>
      <xdr:rowOff>19050</xdr:rowOff>
    </xdr:from>
    <xdr:to>
      <xdr:col>12</xdr:col>
      <xdr:colOff>676275</xdr:colOff>
      <xdr:row>14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6015A9-75BF-B2C5-9EF0-D914EEA5B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14</xdr:row>
      <xdr:rowOff>28576</xdr:rowOff>
    </xdr:from>
    <xdr:to>
      <xdr:col>13</xdr:col>
      <xdr:colOff>19051</xdr:colOff>
      <xdr:row>25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397B34-CC1D-4651-AE57-3283CFEF9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28575</xdr:colOff>
      <xdr:row>2</xdr:row>
      <xdr:rowOff>0</xdr:rowOff>
    </xdr:from>
    <xdr:to>
      <xdr:col>18</xdr:col>
      <xdr:colOff>538164</xdr:colOff>
      <xdr:row>14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BED473-0928-42C0-9793-1D75C92DD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28575</xdr:colOff>
      <xdr:row>14</xdr:row>
      <xdr:rowOff>19050</xdr:rowOff>
    </xdr:from>
    <xdr:to>
      <xdr:col>18</xdr:col>
      <xdr:colOff>552451</xdr:colOff>
      <xdr:row>25</xdr:row>
      <xdr:rowOff>114299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C6B611C-B645-485B-9383-690144B7C2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8BDA-D2CC-4254-A08C-E944EABACE09}">
  <dimension ref="A1:L35"/>
  <sheetViews>
    <sheetView tabSelected="1" workbookViewId="0">
      <selection activeCell="F15" sqref="F15"/>
    </sheetView>
  </sheetViews>
  <sheetFormatPr defaultRowHeight="15.75" x14ac:dyDescent="0.25"/>
  <cols>
    <col min="5" max="8" width="12.25" customWidth="1"/>
    <col min="9" max="9" width="11.75" customWidth="1"/>
    <col min="10" max="10" width="11.5" customWidth="1"/>
    <col min="11" max="11" width="11.125" customWidth="1"/>
  </cols>
  <sheetData>
    <row r="1" spans="1:12" x14ac:dyDescent="0.25">
      <c r="A1" t="s">
        <v>0</v>
      </c>
      <c r="B1" t="s">
        <v>31</v>
      </c>
      <c r="C1" t="s">
        <v>32</v>
      </c>
      <c r="E1" t="s">
        <v>324</v>
      </c>
      <c r="F1" t="s">
        <v>325</v>
      </c>
      <c r="G1" t="s">
        <v>339</v>
      </c>
      <c r="H1" t="s">
        <v>340</v>
      </c>
      <c r="I1" s="10" t="s">
        <v>341</v>
      </c>
      <c r="J1" s="10"/>
      <c r="K1" s="10"/>
      <c r="L1" s="10"/>
    </row>
    <row r="2" spans="1:12" x14ac:dyDescent="0.25">
      <c r="A2" t="s">
        <v>1</v>
      </c>
      <c r="B2" t="s">
        <v>33</v>
      </c>
      <c r="C2" s="1">
        <v>2010</v>
      </c>
      <c r="D2" s="1" t="str">
        <f>B2&amp;C2</f>
        <v>AGO2010</v>
      </c>
      <c r="E2" s="6">
        <f>VLOOKUP($D2,own_calc!$D$2:$AJ$320,31,FALSE)</f>
        <v>0.12231275657027579</v>
      </c>
      <c r="F2" s="6">
        <f>VLOOKUP($D2,own_calc!$D$2:$AJ$320,28,FALSE)</f>
        <v>2.4882089716718438E-2</v>
      </c>
      <c r="G2" s="6">
        <f>VLOOKUP(B2,DGE_p!$B$1:$AE$157,MATCH(comparison!C2,DGE_p!$C$1:$AE$1,1)+1,FALSE)/100</f>
        <v>0.41350643157958983</v>
      </c>
      <c r="H2" s="6">
        <f>VLOOKUP(B2,MIMIC_p!$B$1:$AE$159,MATCH(comparison!C2,MIMIC_p!$C$1:$AE$1,1)+1,FALSE)/100</f>
        <v>0.44137409210205081</v>
      </c>
      <c r="I2" s="6">
        <f>AVERAGE(E2:E35)</f>
        <v>0.35105190889841081</v>
      </c>
      <c r="J2" s="6">
        <f>AVERAGE(F2:F35)</f>
        <v>0.21285315149442224</v>
      </c>
      <c r="K2" s="6">
        <f>AVERAGE(G2:G35)</f>
        <v>0.33702271027998493</v>
      </c>
      <c r="L2" s="6">
        <f>AVERAGE(H2:H35)</f>
        <v>0.39712779521942138</v>
      </c>
    </row>
    <row r="3" spans="1:12" x14ac:dyDescent="0.25">
      <c r="A3" t="s">
        <v>2</v>
      </c>
      <c r="B3" t="s">
        <v>34</v>
      </c>
      <c r="C3" s="1">
        <v>2010</v>
      </c>
      <c r="D3" s="1" t="str">
        <f t="shared" ref="D3:D35" si="0">B3&amp;C3</f>
        <v>ARG2010</v>
      </c>
      <c r="E3" s="6">
        <f>VLOOKUP($D3,own_calc!$D$2:$AJ$320,31,FALSE)</f>
        <v>3.5579926733537465E-2</v>
      </c>
      <c r="F3" s="6">
        <f>VLOOKUP($D3,own_calc!$D$2:$AJ$320,28,FALSE)</f>
        <v>2.3333160810626447E-2</v>
      </c>
      <c r="G3" s="6">
        <f>VLOOKUP(B3,DGE_p!$B$1:$AE$157,MATCH(comparison!C3,DGE_p!$C$1:$AE$1,1)+1,FALSE)/100</f>
        <v>0.22411331176757812</v>
      </c>
      <c r="H3" s="6">
        <f>VLOOKUP(B3,MIMIC_p!$B$1:$AE$159,MATCH(comparison!C3,MIMIC_p!$C$1:$AE$1,1)+1,FALSE)/100</f>
        <v>0.24042016983032227</v>
      </c>
    </row>
    <row r="4" spans="1:12" x14ac:dyDescent="0.25">
      <c r="A4" t="s">
        <v>3</v>
      </c>
      <c r="B4" t="s">
        <v>35</v>
      </c>
      <c r="C4" s="1">
        <v>2022</v>
      </c>
      <c r="D4" s="1" t="str">
        <f t="shared" si="0"/>
        <v>BGD2022</v>
      </c>
      <c r="E4" s="6">
        <f>VLOOKUP($D4,own_calc!$D$2:$AJ$320,31,FALSE)</f>
        <v>0.52357959286524447</v>
      </c>
      <c r="F4" s="6">
        <f>VLOOKUP($D4,own_calc!$D$2:$AJ$320,28,FALSE)</f>
        <v>0.26861004865698634</v>
      </c>
      <c r="G4" s="6">
        <f>VLOOKUP(B4,DGE_p!$B$1:$AE$157,MATCH(comparison!C4,DGE_p!$C$1:$AE$1,1)+1,FALSE)/100</f>
        <v>0.26998659133911135</v>
      </c>
      <c r="H4" s="6">
        <f>VLOOKUP(B4,MIMIC_p!$B$1:$AE$159,MATCH(comparison!C4,MIMIC_p!$C$1:$AE$1,1)+1,FALSE)/100</f>
        <v>0.3465399169921875</v>
      </c>
    </row>
    <row r="5" spans="1:12" x14ac:dyDescent="0.25">
      <c r="A5" t="s">
        <v>4</v>
      </c>
      <c r="B5" t="s">
        <v>36</v>
      </c>
      <c r="C5" s="1">
        <v>2010</v>
      </c>
      <c r="D5" s="1" t="str">
        <f t="shared" si="0"/>
        <v>BWA2010</v>
      </c>
      <c r="E5" s="6">
        <f>VLOOKUP($D5,own_calc!$D$2:$AJ$320,31,FALSE)</f>
        <v>0.12178637637638345</v>
      </c>
      <c r="F5" s="6">
        <f>VLOOKUP($D5,own_calc!$D$2:$AJ$320,28,FALSE)</f>
        <v>2.8915206645565406E-2</v>
      </c>
      <c r="G5" s="6">
        <f>VLOOKUP(B5,DGE_p!$B$1:$AE$157,MATCH(comparison!C5,DGE_p!$C$1:$AE$1,1)+1,FALSE)/100</f>
        <v>0.29910165786743165</v>
      </c>
      <c r="H5" s="6">
        <f>VLOOKUP(B5,MIMIC_p!$B$1:$AE$159,MATCH(comparison!C5,MIMIC_p!$C$1:$AE$1,1)+1,FALSE)/100</f>
        <v>0.31439714431762694</v>
      </c>
    </row>
    <row r="6" spans="1:12" x14ac:dyDescent="0.25">
      <c r="A6" t="s">
        <v>5</v>
      </c>
      <c r="B6" t="s">
        <v>37</v>
      </c>
      <c r="C6" s="1">
        <v>2018</v>
      </c>
      <c r="D6" s="1" t="str">
        <f t="shared" si="0"/>
        <v>BFA2018</v>
      </c>
      <c r="E6" s="6">
        <f>VLOOKUP($D6,own_calc!$D$2:$AJ$320,31,FALSE)</f>
        <v>0.49541430190450081</v>
      </c>
      <c r="F6" s="6">
        <f>VLOOKUP($D6,own_calc!$D$2:$AJ$320,28,FALSE)</f>
        <v>0.37609782726117313</v>
      </c>
      <c r="G6" s="6">
        <f>VLOOKUP(B6,DGE_p!$B$1:$AE$157,MATCH(comparison!C6,DGE_p!$C$1:$AE$1,1)+1,FALSE)/100</f>
        <v>0.31202632904052735</v>
      </c>
      <c r="H6" s="6">
        <f>VLOOKUP(B6,MIMIC_p!$B$1:$AE$159,MATCH(comparison!C6,MIMIC_p!$C$1:$AE$1,1)+1,FALSE)/100</f>
        <v>0.38239151000976562</v>
      </c>
    </row>
    <row r="7" spans="1:12" x14ac:dyDescent="0.25">
      <c r="A7" t="s">
        <v>6</v>
      </c>
      <c r="B7" t="s">
        <v>38</v>
      </c>
      <c r="C7" s="1">
        <v>2013</v>
      </c>
      <c r="D7" s="1" t="str">
        <f t="shared" si="0"/>
        <v>KHM2013</v>
      </c>
      <c r="E7" s="6">
        <f>VLOOKUP($D7,own_calc!$D$2:$AJ$320,31,FALSE)</f>
        <v>0.54846544903663674</v>
      </c>
      <c r="F7" s="6">
        <f>VLOOKUP($D7,own_calc!$D$2:$AJ$320,28,FALSE)</f>
        <v>0.48262216190954282</v>
      </c>
      <c r="G7" s="6">
        <f>VLOOKUP(B7,DGE_p!$B$1:$AE$157,MATCH(comparison!C7,DGE_p!$C$1:$AE$1,1)+1,FALSE)/100</f>
        <v>0.40943939208984376</v>
      </c>
      <c r="H7" s="6">
        <f>VLOOKUP(B7,MIMIC_p!$B$1:$AE$159,MATCH(comparison!C7,MIMIC_p!$C$1:$AE$1,1)+1,FALSE)/100</f>
        <v>0.46794094085693361</v>
      </c>
    </row>
    <row r="8" spans="1:12" x14ac:dyDescent="0.25">
      <c r="A8" t="s">
        <v>6</v>
      </c>
      <c r="B8" t="s">
        <v>38</v>
      </c>
      <c r="C8" s="1">
        <v>2019</v>
      </c>
      <c r="D8" s="1" t="str">
        <f t="shared" si="0"/>
        <v>KHM2019</v>
      </c>
      <c r="E8" s="6">
        <f>VLOOKUP($D8,own_calc!$D$2:$AJ$320,31,FALSE)</f>
        <v>0.50021409557450403</v>
      </c>
      <c r="F8" s="6">
        <f>VLOOKUP($D8,own_calc!$D$2:$AJ$320,28,FALSE)</f>
        <v>0.43458820705496759</v>
      </c>
      <c r="G8" s="6">
        <f>VLOOKUP(B8,DGE_p!$B$1:$AE$157,MATCH(comparison!C8,DGE_p!$C$1:$AE$1,1)+1,FALSE)/100</f>
        <v>0.36601799011230468</v>
      </c>
      <c r="H8" s="6">
        <f>VLOOKUP(B8,MIMIC_p!$B$1:$AE$159,MATCH(comparison!C8,MIMIC_p!$C$1:$AE$1,1)+1,FALSE)/100</f>
        <v>0.43678634643554687</v>
      </c>
    </row>
    <row r="9" spans="1:12" x14ac:dyDescent="0.25">
      <c r="A9" t="s">
        <v>7</v>
      </c>
      <c r="B9" t="s">
        <v>39</v>
      </c>
      <c r="C9" s="1">
        <v>2009</v>
      </c>
      <c r="D9" s="1" t="str">
        <f t="shared" si="0"/>
        <v>CMR2009</v>
      </c>
      <c r="E9" s="6">
        <f>VLOOKUP($D9,own_calc!$D$2:$AJ$320,31,FALSE)</f>
        <v>0.19846364219687934</v>
      </c>
      <c r="F9" s="6">
        <f>VLOOKUP($D9,own_calc!$D$2:$AJ$320,28,FALSE)</f>
        <v>0.21609705435171772</v>
      </c>
      <c r="G9" s="6">
        <f>VLOOKUP(B9,DGE_p!$B$1:$AE$157,MATCH(comparison!C9,DGE_p!$C$1:$AE$1,1)+1,FALSE)/100</f>
        <v>0.30983760833740237</v>
      </c>
      <c r="H9" s="6">
        <f>VLOOKUP(B9,MIMIC_p!$B$1:$AE$159,MATCH(comparison!C9,MIMIC_p!$C$1:$AE$1,1)+1,FALSE)/100</f>
        <v>0.32389270782470703</v>
      </c>
    </row>
    <row r="10" spans="1:12" x14ac:dyDescent="0.25">
      <c r="A10" t="s">
        <v>8</v>
      </c>
      <c r="B10" t="s">
        <v>40</v>
      </c>
      <c r="C10" s="1">
        <v>2015</v>
      </c>
      <c r="D10" s="1" t="str">
        <f t="shared" si="0"/>
        <v>CPV2015</v>
      </c>
      <c r="E10" s="6">
        <f>VLOOKUP($D10,own_calc!$D$2:$AJ$320,31,FALSE)</f>
        <v>0.6680652591314824</v>
      </c>
      <c r="F10" s="6">
        <f>VLOOKUP($D10,own_calc!$D$2:$AJ$320,28,FALSE)</f>
        <v>3.7074735884141174E-2</v>
      </c>
      <c r="G10" s="6">
        <f>VLOOKUP(B10,DGE_p!$B$1:$AE$157,MATCH(comparison!C10,DGE_p!$C$1:$AE$1,1)+1,FALSE)/100</f>
        <v>0.3013693618774414</v>
      </c>
      <c r="H10" s="6">
        <f>VLOOKUP(B10,MIMIC_p!$B$1:$AE$159,MATCH(comparison!C10,MIMIC_p!$C$1:$AE$1,1)+1,FALSE)/100</f>
        <v>0.35509746551513671</v>
      </c>
    </row>
    <row r="11" spans="1:12" x14ac:dyDescent="0.25">
      <c r="A11" t="s">
        <v>326</v>
      </c>
      <c r="B11" t="s">
        <v>41</v>
      </c>
      <c r="C11" s="1">
        <v>2010</v>
      </c>
      <c r="D11" s="1" t="str">
        <f t="shared" si="0"/>
        <v>COD2010</v>
      </c>
      <c r="E11" s="6">
        <f>VLOOKUP($D11,own_calc!$D$2:$AJ$320,31,FALSE)</f>
        <v>3.3671932846230969E-2</v>
      </c>
      <c r="F11" s="6">
        <f>VLOOKUP($D11,own_calc!$D$2:$AJ$320,28,FALSE)</f>
        <v>5.4994826313787104E-2</v>
      </c>
      <c r="G11" s="6">
        <f>VLOOKUP(B11,DGE_p!$B$1:$AE$157,MATCH(comparison!C11,DGE_p!$C$1:$AE$1,1)+1,FALSE)/100</f>
        <v>0.46193843841552734</v>
      </c>
      <c r="H11" s="6">
        <f>VLOOKUP(B11,MIMIC_p!$B$1:$AE$159,MATCH(comparison!C11,MIMIC_p!$C$1:$AE$1,1)+1,FALSE)/100</f>
        <v>0.47893978118896485</v>
      </c>
    </row>
    <row r="12" spans="1:12" x14ac:dyDescent="0.25">
      <c r="A12" t="s">
        <v>326</v>
      </c>
      <c r="B12" t="s">
        <v>41</v>
      </c>
      <c r="C12" s="1">
        <v>2013</v>
      </c>
      <c r="D12" s="1" t="str">
        <f t="shared" si="0"/>
        <v>COD2013</v>
      </c>
      <c r="E12" s="6">
        <f>VLOOKUP($D12,own_calc!$D$2:$AJ$320,31,FALSE)</f>
        <v>2.9730324070040972E-2</v>
      </c>
      <c r="F12" s="6">
        <f>VLOOKUP($D12,own_calc!$D$2:$AJ$320,28,FALSE)</f>
        <v>4.868292591091921E-2</v>
      </c>
      <c r="G12" s="6">
        <f>VLOOKUP(B12,DGE_p!$B$1:$AE$157,MATCH(comparison!C12,DGE_p!$C$1:$AE$1,1)+1,FALSE)/100</f>
        <v>0.44063835144042968</v>
      </c>
      <c r="H12" s="6">
        <f>VLOOKUP(B12,MIMIC_p!$B$1:$AE$159,MATCH(comparison!C12,MIMIC_p!$C$1:$AE$1,1)+1,FALSE)/100</f>
        <v>0.46644519805908202</v>
      </c>
    </row>
    <row r="13" spans="1:12" x14ac:dyDescent="0.25">
      <c r="A13" t="s">
        <v>9</v>
      </c>
      <c r="B13" t="s">
        <v>42</v>
      </c>
      <c r="C13" s="1">
        <v>2012</v>
      </c>
      <c r="D13" s="1" t="str">
        <f t="shared" si="0"/>
        <v>CIV2012</v>
      </c>
      <c r="E13" s="6">
        <f>VLOOKUP($D13,own_calc!$D$2:$AJ$320,31,FALSE)</f>
        <v>0.21956078187117387</v>
      </c>
      <c r="F13" s="6">
        <f>VLOOKUP($D13,own_calc!$D$2:$AJ$320,28,FALSE)</f>
        <v>0.19254694799822497</v>
      </c>
      <c r="G13" s="6">
        <f>VLOOKUP(B13,DGE_p!$B$1:$AE$157,MATCH(comparison!C13,DGE_p!$C$1:$AE$1,1)+1,FALSE)/100</f>
        <v>0.46321083068847657</v>
      </c>
      <c r="H13" s="6">
        <f>VLOOKUP(B13,MIMIC_p!$B$1:$AE$159,MATCH(comparison!C13,MIMIC_p!$C$1:$AE$1,1)+1,FALSE)/100</f>
        <v>0.43839477539062499</v>
      </c>
    </row>
    <row r="14" spans="1:12" x14ac:dyDescent="0.25">
      <c r="A14" t="s">
        <v>10</v>
      </c>
      <c r="B14" t="s">
        <v>43</v>
      </c>
      <c r="C14" s="1">
        <v>2013</v>
      </c>
      <c r="D14" s="1" t="str">
        <f t="shared" si="0"/>
        <v>EGY2013</v>
      </c>
      <c r="E14" s="6">
        <f>VLOOKUP($D14,own_calc!$D$2:$AJ$320,31,FALSE)</f>
        <v>0.21494946682292387</v>
      </c>
      <c r="F14" s="6">
        <f>VLOOKUP($D14,own_calc!$D$2:$AJ$320,28,FALSE)</f>
        <v>0.13717920522586627</v>
      </c>
      <c r="G14" s="6">
        <f>VLOOKUP(B14,DGE_p!$B$1:$AE$157,MATCH(comparison!C14,DGE_p!$C$1:$AE$1,1)+1,FALSE)/100</f>
        <v>0.30862764358520506</v>
      </c>
      <c r="H14" s="6">
        <f>VLOOKUP(B14,MIMIC_p!$B$1:$AE$159,MATCH(comparison!C14,MIMIC_p!$C$1:$AE$1,1)+1,FALSE)/100</f>
        <v>0.34813449859619139</v>
      </c>
    </row>
    <row r="15" spans="1:12" x14ac:dyDescent="0.25">
      <c r="A15" t="s">
        <v>11</v>
      </c>
      <c r="B15" t="s">
        <v>44</v>
      </c>
      <c r="C15" s="1">
        <v>2015</v>
      </c>
      <c r="D15" s="1" t="str">
        <f t="shared" si="0"/>
        <v>GHA2015</v>
      </c>
      <c r="E15" s="6">
        <f>VLOOKUP($D15,own_calc!$D$2:$AJ$320,31,FALSE)</f>
        <v>0.24012828819314208</v>
      </c>
      <c r="F15" s="6">
        <f>VLOOKUP($D15,own_calc!$D$2:$AJ$320,28,FALSE)</f>
        <v>0.1457735307198606</v>
      </c>
      <c r="G15" s="6">
        <f>VLOOKUP(B15,DGE_p!$B$1:$AE$157,MATCH(comparison!C15,DGE_p!$C$1:$AE$1,1)+1,FALSE)/100</f>
        <v>0.37939140319824216</v>
      </c>
      <c r="H15" s="6">
        <f>VLOOKUP(B15,MIMIC_p!$B$1:$AE$159,MATCH(comparison!C15,MIMIC_p!$C$1:$AE$1,1)+1,FALSE)/100</f>
        <v>0.38802185058593752</v>
      </c>
    </row>
    <row r="16" spans="1:12" x14ac:dyDescent="0.25">
      <c r="A16" t="s">
        <v>12</v>
      </c>
      <c r="B16" t="s">
        <v>45</v>
      </c>
      <c r="C16" s="1">
        <v>2010</v>
      </c>
      <c r="D16" s="1" t="str">
        <f t="shared" si="0"/>
        <v>GTM2010</v>
      </c>
      <c r="E16" s="6">
        <f>VLOOKUP($D16,own_calc!$D$2:$AJ$320,31,FALSE)</f>
        <v>0.24172136045713999</v>
      </c>
      <c r="F16" s="6">
        <f>VLOOKUP($D16,own_calc!$D$2:$AJ$320,28,FALSE)</f>
        <v>0.14352659376514057</v>
      </c>
      <c r="G16" s="6">
        <f>VLOOKUP(B16,DGE_p!$B$1:$AE$157,MATCH(comparison!C16,DGE_p!$C$1:$AE$1,1)+1,FALSE)/100</f>
        <v>0.47105194091796876</v>
      </c>
      <c r="H16" s="6">
        <f>VLOOKUP(B16,MIMIC_p!$B$1:$AE$159,MATCH(comparison!C16,MIMIC_p!$C$1:$AE$1,1)+1,FALSE)/100</f>
        <v>0.52920597076416021</v>
      </c>
    </row>
    <row r="17" spans="1:8" x14ac:dyDescent="0.25">
      <c r="A17" t="s">
        <v>13</v>
      </c>
      <c r="B17" t="s">
        <v>46</v>
      </c>
      <c r="C17" s="1">
        <v>2022</v>
      </c>
      <c r="D17" s="1" t="str">
        <f t="shared" si="0"/>
        <v>IND2022</v>
      </c>
      <c r="E17" s="6">
        <f>VLOOKUP($D17,own_calc!$D$2:$AJ$320,31,FALSE)</f>
        <v>0.34164461146507913</v>
      </c>
      <c r="F17" s="6">
        <f>VLOOKUP($D17,own_calc!$D$2:$AJ$320,28,FALSE)</f>
        <v>0.27201348902793648</v>
      </c>
      <c r="G17" s="6">
        <f>VLOOKUP(B17,DGE_p!$B$1:$AE$157,MATCH(comparison!C17,DGE_p!$C$1:$AE$1,1)+1,FALSE)/100</f>
        <v>0.16653045654296875</v>
      </c>
      <c r="H17" s="6">
        <f>VLOOKUP(B17,MIMIC_p!$B$1:$AE$159,MATCH(comparison!C17,MIMIC_p!$C$1:$AE$1,1)+1,FALSE)/100</f>
        <v>0.19729753494262695</v>
      </c>
    </row>
    <row r="18" spans="1:8" x14ac:dyDescent="0.25">
      <c r="A18" t="s">
        <v>14</v>
      </c>
      <c r="B18" t="s">
        <v>47</v>
      </c>
      <c r="C18" s="1">
        <v>2023</v>
      </c>
      <c r="D18" s="1" t="str">
        <f t="shared" si="0"/>
        <v>IDN2023</v>
      </c>
      <c r="E18" s="6">
        <f>VLOOKUP($D18,own_calc!$D$2:$AJ$320,31,FALSE)</f>
        <v>0.15784340799520463</v>
      </c>
      <c r="F18" s="6">
        <f>VLOOKUP($D18,own_calc!$D$2:$AJ$320,28,FALSE)</f>
        <v>9.7246274245745307E-2</v>
      </c>
      <c r="G18" s="6">
        <f>VLOOKUP(B18,DGE_p!$B$1:$AE$157,MATCH(comparison!C18,DGE_p!$C$1:$AE$1,1)+1,FALSE)/100</f>
        <v>0.15284904479980468</v>
      </c>
      <c r="H18" s="6">
        <f>VLOOKUP(B18,MIMIC_p!$B$1:$AE$159,MATCH(comparison!C18,MIMIC_p!$C$1:$AE$1,1)+1,FALSE)/100</f>
        <v>0.17884134292602538</v>
      </c>
    </row>
    <row r="19" spans="1:8" x14ac:dyDescent="0.25">
      <c r="A19" t="s">
        <v>15</v>
      </c>
      <c r="B19" t="s">
        <v>48</v>
      </c>
      <c r="C19" s="1">
        <v>2021</v>
      </c>
      <c r="D19" s="1" t="str">
        <f t="shared" si="0"/>
        <v>IRQ2021</v>
      </c>
      <c r="E19" s="6">
        <f>VLOOKUP($D19,own_calc!$D$2:$AJ$320,31,FALSE)</f>
        <v>0.14835363565045043</v>
      </c>
      <c r="F19" s="6">
        <f>VLOOKUP($D19,own_calc!$D$2:$AJ$320,28,FALSE)</f>
        <v>0.30049054134191922</v>
      </c>
      <c r="G19" s="6"/>
      <c r="H19" s="6"/>
    </row>
    <row r="20" spans="1:8" x14ac:dyDescent="0.25">
      <c r="A20" t="s">
        <v>16</v>
      </c>
      <c r="B20" t="s">
        <v>49</v>
      </c>
      <c r="C20" s="1">
        <v>2019</v>
      </c>
      <c r="D20" s="1" t="str">
        <f t="shared" si="0"/>
        <v>KEN2019</v>
      </c>
      <c r="E20" s="6">
        <f>VLOOKUP($D20,own_calc!$D$2:$AJ$320,31,FALSE)</f>
        <v>0.14127036048835023</v>
      </c>
      <c r="F20" s="6">
        <f>VLOOKUP($D20,own_calc!$D$2:$AJ$320,28,FALSE)</f>
        <v>0.11003411368464645</v>
      </c>
      <c r="G20" s="6">
        <f>VLOOKUP(B20,DGE_p!$B$1:$AE$157,MATCH(comparison!C20,DGE_p!$C$1:$AE$1,1)+1,FALSE)/100</f>
        <v>0.2601829719543457</v>
      </c>
      <c r="H20" s="6">
        <f>VLOOKUP(B20,MIMIC_p!$B$1:$AE$159,MATCH(comparison!C20,MIMIC_p!$C$1:$AE$1,1)+1,FALSE)/100</f>
        <v>0.29205049514770509</v>
      </c>
    </row>
    <row r="21" spans="1:8" x14ac:dyDescent="0.25">
      <c r="A21" t="s">
        <v>17</v>
      </c>
      <c r="B21" t="s">
        <v>50</v>
      </c>
      <c r="C21" s="1">
        <v>2018</v>
      </c>
      <c r="D21" s="1" t="str">
        <f t="shared" si="0"/>
        <v>LAO2018</v>
      </c>
      <c r="E21" s="6">
        <f>VLOOKUP($D21,own_calc!$D$2:$AJ$320,31,FALSE)</f>
        <v>0.71635721375740136</v>
      </c>
      <c r="F21" s="6">
        <f>VLOOKUP($D21,own_calc!$D$2:$AJ$320,28,FALSE)</f>
        <v>0.34198964976380175</v>
      </c>
      <c r="G21" s="6">
        <f>VLOOKUP(B21,DGE_p!$B$1:$AE$157,MATCH(comparison!C21,DGE_p!$C$1:$AE$1,1)+1,FALSE)/100</f>
        <v>0</v>
      </c>
      <c r="H21" s="6">
        <f>VLOOKUP(B21,MIMIC_p!$B$1:$AE$159,MATCH(comparison!C21,MIMIC_p!$C$1:$AE$1,1)+1,FALSE)/100</f>
        <v>0.27923810958862305</v>
      </c>
    </row>
    <row r="22" spans="1:8" x14ac:dyDescent="0.25">
      <c r="A22" t="s">
        <v>18</v>
      </c>
      <c r="B22" t="s">
        <v>51</v>
      </c>
      <c r="C22" s="1">
        <v>2012</v>
      </c>
      <c r="D22" s="1" t="str">
        <f t="shared" si="0"/>
        <v>MDG2012</v>
      </c>
      <c r="E22" s="6">
        <f>VLOOKUP($D22,own_calc!$D$2:$AJ$320,31,FALSE)</f>
        <v>0.81295462171849886</v>
      </c>
      <c r="F22" s="6">
        <f>VLOOKUP($D22,own_calc!$D$2:$AJ$320,28,FALSE)</f>
        <v>0.47370959862168066</v>
      </c>
      <c r="G22" s="6">
        <f>VLOOKUP(B22,DGE_p!$B$1:$AE$157,MATCH(comparison!C22,DGE_p!$C$1:$AE$1,1)+1,FALSE)/100</f>
        <v>0.3690443801879883</v>
      </c>
      <c r="H22" s="6">
        <f>VLOOKUP(B22,MIMIC_p!$B$1:$AE$159,MATCH(comparison!C22,MIMIC_p!$C$1:$AE$1,1)+1,FALSE)/100</f>
        <v>0.43445541381835939</v>
      </c>
    </row>
    <row r="23" spans="1:8" x14ac:dyDescent="0.25">
      <c r="A23" t="s">
        <v>19</v>
      </c>
      <c r="B23" t="s">
        <v>52</v>
      </c>
      <c r="C23" s="1">
        <v>2013</v>
      </c>
      <c r="D23" s="1" t="str">
        <f t="shared" si="0"/>
        <v>MLI2013</v>
      </c>
      <c r="E23" s="6">
        <f>VLOOKUP($D23,own_calc!$D$2:$AJ$320,31,FALSE)</f>
        <v>0.79154988031444506</v>
      </c>
      <c r="F23" s="6">
        <f>VLOOKUP($D23,own_calc!$D$2:$AJ$320,28,FALSE)</f>
        <v>0.18187431246996658</v>
      </c>
      <c r="G23" s="6">
        <f>VLOOKUP(B23,DGE_p!$B$1:$AE$157,MATCH(comparison!C23,DGE_p!$C$1:$AE$1,1)+1,FALSE)/100</f>
        <v>0.36843429565429686</v>
      </c>
      <c r="H23" s="6">
        <f>VLOOKUP(B23,MIMIC_p!$B$1:$AE$159,MATCH(comparison!C23,MIMIC_p!$C$1:$AE$1,1)+1,FALSE)/100</f>
        <v>0.40402950286865236</v>
      </c>
    </row>
    <row r="24" spans="1:8" x14ac:dyDescent="0.25">
      <c r="A24" t="s">
        <v>20</v>
      </c>
      <c r="B24" t="s">
        <v>53</v>
      </c>
      <c r="C24" s="1">
        <v>2012</v>
      </c>
      <c r="D24" s="1" t="str">
        <f t="shared" si="0"/>
        <v>MUS2012</v>
      </c>
      <c r="E24" s="6">
        <f>VLOOKUP($D24,own_calc!$D$2:$AJ$320,31,FALSE)</f>
        <v>0.16606888422373048</v>
      </c>
      <c r="F24" s="6">
        <f>VLOOKUP($D24,own_calc!$D$2:$AJ$320,28,FALSE)</f>
        <v>5.4843007224873806E-2</v>
      </c>
      <c r="G24" s="6">
        <f>VLOOKUP(B24,DGE_p!$B$1:$AE$157,MATCH(comparison!C24,DGE_p!$C$1:$AE$1,1)+1,FALSE)/100</f>
        <v>0.20693904876708985</v>
      </c>
      <c r="H24" s="6">
        <f>VLOOKUP(B24,MIMIC_p!$B$1:$AE$159,MATCH(comparison!C24,MIMIC_p!$C$1:$AE$1,1)+1,FALSE)/100</f>
        <v>0.21411190032958985</v>
      </c>
    </row>
    <row r="25" spans="1:8" x14ac:dyDescent="0.25">
      <c r="A25" t="s">
        <v>21</v>
      </c>
      <c r="B25" t="s">
        <v>54</v>
      </c>
      <c r="C25" s="1">
        <v>2015</v>
      </c>
      <c r="D25" s="1" t="str">
        <f t="shared" si="0"/>
        <v>MOZ2015</v>
      </c>
      <c r="E25" s="6">
        <f>VLOOKUP($D25,own_calc!$D$2:$AJ$320,31,FALSE)</f>
        <v>0.30448886890336729</v>
      </c>
      <c r="F25" s="6">
        <f>VLOOKUP($D25,own_calc!$D$2:$AJ$320,28,FALSE)</f>
        <v>0.21455628666415427</v>
      </c>
      <c r="G25" s="6">
        <f>VLOOKUP(B25,DGE_p!$B$1:$AE$157,MATCH(comparison!C25,DGE_p!$C$1:$AE$1,1)+1,FALSE)/100</f>
        <v>0.2721093559265137</v>
      </c>
      <c r="H25" s="6">
        <f>VLOOKUP(B25,MIMIC_p!$B$1:$AE$159,MATCH(comparison!C25,MIMIC_p!$C$1:$AE$1,1)+1,FALSE)/100</f>
        <v>0.38705368041992189</v>
      </c>
    </row>
    <row r="26" spans="1:8" x14ac:dyDescent="0.25">
      <c r="A26" t="s">
        <v>22</v>
      </c>
      <c r="B26" t="s">
        <v>55</v>
      </c>
      <c r="C26" s="1">
        <v>2015</v>
      </c>
      <c r="D26" s="1" t="str">
        <f t="shared" si="0"/>
        <v>MMR2015</v>
      </c>
      <c r="E26" s="6">
        <f>VLOOKUP($D26,own_calc!$D$2:$AJ$320,31,FALSE)</f>
        <v>0.78400304798910958</v>
      </c>
      <c r="F26" s="6">
        <f>VLOOKUP($D26,own_calc!$D$2:$AJ$320,28,FALSE)</f>
        <v>0.64329087649650374</v>
      </c>
      <c r="G26" s="6">
        <f>VLOOKUP(B26,DGE_p!$B$1:$AE$157,MATCH(comparison!C26,DGE_p!$C$1:$AE$1,1)+1,FALSE)/100</f>
        <v>0.2686260986328125</v>
      </c>
      <c r="H26" s="6">
        <f>VLOOKUP(B26,MIMIC_p!$B$1:$AE$159,MATCH(comparison!C26,MIMIC_p!$C$1:$AE$1,1)+1,FALSE)/100</f>
        <v>0.49254505157470702</v>
      </c>
    </row>
    <row r="27" spans="1:8" x14ac:dyDescent="0.25">
      <c r="A27" t="s">
        <v>23</v>
      </c>
      <c r="B27" t="s">
        <v>56</v>
      </c>
      <c r="C27" s="1">
        <v>2009</v>
      </c>
      <c r="D27" s="1" t="str">
        <f t="shared" si="0"/>
        <v>NPL2009</v>
      </c>
      <c r="E27" s="6">
        <f>VLOOKUP($D27,own_calc!$D$2:$AJ$320,31,FALSE)</f>
        <v>0.86413888704941488</v>
      </c>
      <c r="F27" s="6">
        <f>VLOOKUP($D27,own_calc!$D$2:$AJ$320,28,FALSE)</f>
        <v>0.5805687700796256</v>
      </c>
      <c r="G27" s="6">
        <f>VLOOKUP(B27,DGE_p!$B$1:$AE$157,MATCH(comparison!C27,DGE_p!$C$1:$AE$1,1)+1,FALSE)/100</f>
        <v>0.35334186553955077</v>
      </c>
      <c r="H27" s="6">
        <f>VLOOKUP(B27,MIMIC_p!$B$1:$AE$159,MATCH(comparison!C27,MIMIC_p!$C$1:$AE$1,1)+1,FALSE)/100</f>
        <v>0.37361072540283202</v>
      </c>
    </row>
    <row r="28" spans="1:8" x14ac:dyDescent="0.25">
      <c r="A28" t="s">
        <v>24</v>
      </c>
      <c r="B28" t="s">
        <v>57</v>
      </c>
      <c r="C28" s="1">
        <v>2011</v>
      </c>
      <c r="D28" s="1" t="str">
        <f t="shared" si="0"/>
        <v>NER2011</v>
      </c>
      <c r="E28" s="6">
        <f>VLOOKUP($D28,own_calc!$D$2:$AJ$320,31,FALSE)</f>
        <v>0.59562899763315358</v>
      </c>
      <c r="F28" s="6">
        <f>VLOOKUP($D28,own_calc!$D$2:$AJ$320,28,FALSE)</f>
        <v>0.13843303123864423</v>
      </c>
      <c r="G28" s="6">
        <f>VLOOKUP(B28,DGE_p!$B$1:$AE$157,MATCH(comparison!C28,DGE_p!$C$1:$AE$1,1)+1,FALSE)/100</f>
        <v>0.3777230453491211</v>
      </c>
      <c r="H28" s="6">
        <f>VLOOKUP(B28,MIMIC_p!$B$1:$AE$159,MATCH(comparison!C28,MIMIC_p!$C$1:$AE$1,1)+1,FALSE)/100</f>
        <v>0.41909423828124998</v>
      </c>
    </row>
    <row r="29" spans="1:8" x14ac:dyDescent="0.25">
      <c r="A29" t="s">
        <v>25</v>
      </c>
      <c r="B29" t="s">
        <v>58</v>
      </c>
      <c r="C29" s="1">
        <v>2010</v>
      </c>
      <c r="D29" s="1" t="str">
        <f t="shared" si="0"/>
        <v>PER2010</v>
      </c>
      <c r="E29" s="6">
        <f>VLOOKUP($D29,own_calc!$D$2:$AJ$320,31,FALSE)</f>
        <v>0.16892960156699241</v>
      </c>
      <c r="F29" s="6">
        <f>VLOOKUP($D29,own_calc!$D$2:$AJ$320,28,FALSE)</f>
        <v>8.1956969181233713E-2</v>
      </c>
      <c r="G29" s="6">
        <f>VLOOKUP(B29,DGE_p!$B$1:$AE$157,MATCH(comparison!C29,DGE_p!$C$1:$AE$1,1)+1,FALSE)/100</f>
        <v>0.51036483764648433</v>
      </c>
      <c r="H29" s="6">
        <f>VLOOKUP(B29,MIMIC_p!$B$1:$AE$159,MATCH(comparison!C29,MIMIC_p!$C$1:$AE$1,1)+1,FALSE)/100</f>
        <v>0.55723663330078121</v>
      </c>
    </row>
    <row r="30" spans="1:8" x14ac:dyDescent="0.25">
      <c r="A30" t="s">
        <v>25</v>
      </c>
      <c r="B30" t="s">
        <v>58</v>
      </c>
      <c r="C30" s="1">
        <v>2022</v>
      </c>
      <c r="D30" s="1" t="str">
        <f t="shared" si="0"/>
        <v>PER2022</v>
      </c>
      <c r="E30" s="6">
        <f>VLOOKUP($D30,own_calc!$D$2:$AJ$320,31,FALSE)</f>
        <v>6.5555061253842126E-2</v>
      </c>
      <c r="F30" s="6">
        <f>VLOOKUP($D30,own_calc!$D$2:$AJ$320,28,FALSE)</f>
        <v>2.9890165924195029E-2</v>
      </c>
      <c r="G30" s="6">
        <f>VLOOKUP(B30,DGE_p!$B$1:$AE$157,MATCH(comparison!C30,DGE_p!$C$1:$AE$1,1)+1,FALSE)/100</f>
        <v>0.44790679931640626</v>
      </c>
      <c r="H30" s="6">
        <f>VLOOKUP(B30,MIMIC_p!$B$1:$AE$159,MATCH(comparison!C30,MIMIC_p!$C$1:$AE$1,1)+1,FALSE)/100</f>
        <v>0.56624565124511717</v>
      </c>
    </row>
    <row r="31" spans="1:8" x14ac:dyDescent="0.25">
      <c r="A31" t="s">
        <v>26</v>
      </c>
      <c r="B31" t="s">
        <v>59</v>
      </c>
      <c r="C31" s="1">
        <v>2017</v>
      </c>
      <c r="D31" s="1" t="str">
        <f t="shared" si="0"/>
        <v>RWA2017</v>
      </c>
      <c r="E31" s="6">
        <f>VLOOKUP($D31,own_calc!$D$2:$AJ$320,31,FALSE)</f>
        <v>0.27509799496606346</v>
      </c>
      <c r="F31" s="6">
        <f>VLOOKUP($D31,own_calc!$D$2:$AJ$320,28,FALSE)</f>
        <v>0.12127574737860278</v>
      </c>
      <c r="G31" s="6">
        <f>VLOOKUP(B31,DGE_p!$B$1:$AE$157,MATCH(comparison!C31,DGE_p!$C$1:$AE$1,1)+1,FALSE)/100</f>
        <v>0.28766149520874024</v>
      </c>
      <c r="H31" s="6">
        <f>VLOOKUP(B31,MIMIC_p!$B$1:$AE$159,MATCH(comparison!C31,MIMIC_p!$C$1:$AE$1,1)+1,FALSE)/100</f>
        <v>0.35111095428466799</v>
      </c>
    </row>
    <row r="32" spans="1:8" x14ac:dyDescent="0.25">
      <c r="A32" t="s">
        <v>27</v>
      </c>
      <c r="B32" t="s">
        <v>60</v>
      </c>
      <c r="C32" s="1">
        <v>2022</v>
      </c>
      <c r="D32" s="1" t="str">
        <f t="shared" si="0"/>
        <v>SDN2022</v>
      </c>
      <c r="E32" s="6">
        <f>VLOOKUP($D32,own_calc!$D$2:$AJ$320,31,FALSE)</f>
        <v>0.2457834329749021</v>
      </c>
      <c r="F32" s="6">
        <f>VLOOKUP($D32,own_calc!$D$2:$AJ$320,28,FALSE)</f>
        <v>6.9332861571539783E-4</v>
      </c>
      <c r="G32" s="6">
        <f>VLOOKUP(B32,DGE_p!$B$1:$AE$157,MATCH(comparison!C32,DGE_p!$C$1:$AE$1,1)+1,FALSE)/100</f>
        <v>0.19342119216918946</v>
      </c>
      <c r="H32" s="6"/>
    </row>
    <row r="33" spans="1:8" x14ac:dyDescent="0.25">
      <c r="A33" t="s">
        <v>28</v>
      </c>
      <c r="B33" t="s">
        <v>61</v>
      </c>
      <c r="C33">
        <v>2020</v>
      </c>
      <c r="D33" s="1" t="str">
        <f t="shared" si="0"/>
        <v>TZA2020</v>
      </c>
      <c r="E33" s="6">
        <f>VLOOKUP($D33,own_calc!$D$2:$AJ$320,31,FALSE)</f>
        <v>0.64183115709096439</v>
      </c>
      <c r="F33" s="6">
        <f>VLOOKUP($D33,own_calc!$D$2:$AJ$320,28,FALSE)</f>
        <v>0.58025326132069222</v>
      </c>
      <c r="G33" s="6">
        <f>VLOOKUP(B33,DGE_p!$B$1:$AE$157,MATCH(comparison!C33,DGE_p!$C$1:$AE$1,1)+1,FALSE)/100</f>
        <v>0.42647056579589843</v>
      </c>
      <c r="H33" s="6">
        <f>VLOOKUP(B33,MIMIC_p!$B$1:$AE$159,MATCH(comparison!C33,MIMIC_p!$C$1:$AE$1,1)+1,FALSE)/100</f>
        <v>0.54100402832031247</v>
      </c>
    </row>
    <row r="34" spans="1:8" x14ac:dyDescent="0.25">
      <c r="A34" t="s">
        <v>29</v>
      </c>
      <c r="B34" t="s">
        <v>62</v>
      </c>
      <c r="C34">
        <v>2019</v>
      </c>
      <c r="D34" s="1" t="str">
        <f t="shared" si="0"/>
        <v>ZMB2019</v>
      </c>
      <c r="E34" s="6">
        <f>VLOOKUP($D34,own_calc!$D$2:$AJ$320,31,FALSE)</f>
        <v>0.2880448247932873</v>
      </c>
      <c r="F34" s="6">
        <f>VLOOKUP($D34,own_calc!$D$2:$AJ$320,28,FALSE)</f>
        <v>9.3139702458956655E-2</v>
      </c>
      <c r="G34" s="6">
        <f>VLOOKUP(B34,DGE_p!$B$1:$AE$157,MATCH(comparison!C34,DGE_p!$C$1:$AE$1,1)+1,FALSE)/100</f>
        <v>0.39798908233642577</v>
      </c>
      <c r="H34" s="6">
        <f>VLOOKUP(B34,MIMIC_p!$B$1:$AE$159,MATCH(comparison!C34,MIMIC_p!$C$1:$AE$1,1)+1,FALSE)/100</f>
        <v>0.46224048614501956</v>
      </c>
    </row>
    <row r="35" spans="1:8" x14ac:dyDescent="0.25">
      <c r="A35" t="s">
        <v>30</v>
      </c>
      <c r="B35" t="s">
        <v>63</v>
      </c>
      <c r="C35">
        <v>2016</v>
      </c>
      <c r="D35" s="1" t="str">
        <f t="shared" si="0"/>
        <v>ZWE2016</v>
      </c>
      <c r="E35" s="6">
        <f>VLOOKUP($D35,own_calc!$D$2:$AJ$320,31,FALSE)</f>
        <v>0.23257685806161305</v>
      </c>
      <c r="F35" s="6">
        <f>VLOOKUP($D35,own_calc!$D$2:$AJ$320,28,FALSE)</f>
        <v>0.30582350284622312</v>
      </c>
      <c r="G35" s="6">
        <f>VLOOKUP(B35,DGE_p!$B$1:$AE$157,MATCH(comparison!C35,DGE_p!$C$1:$AE$1,1)+1,FALSE)/100</f>
        <v>0.63189762115478521</v>
      </c>
      <c r="H35" s="6">
        <f>VLOOKUP(B35,MIMIC_p!$B$1:$AE$159,MATCH(comparison!C35,MIMIC_p!$C$1:$AE$1,1)+1,FALSE)/100</f>
        <v>0.59994132995605465</v>
      </c>
    </row>
  </sheetData>
  <mergeCells count="1">
    <mergeCell ref="I1:L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FB84F-A84E-4812-99CC-3CB137FD2953}">
  <dimension ref="A1:AG157"/>
  <sheetViews>
    <sheetView workbookViewId="0">
      <pane xSplit="2" ySplit="1" topLeftCell="E126" activePane="bottomRight" state="frozen"/>
      <selection pane="topRight" activeCell="C1" sqref="C1"/>
      <selection pane="bottomLeft" activeCell="A2" sqref="A2"/>
      <selection pane="bottomRight" activeCell="W4" sqref="W4"/>
    </sheetView>
  </sheetViews>
  <sheetFormatPr defaultColWidth="8" defaultRowHeight="12.75" x14ac:dyDescent="0.2"/>
  <cols>
    <col min="1" max="1" width="25" style="3" customWidth="1"/>
    <col min="2" max="16384" width="8" style="3"/>
  </cols>
  <sheetData>
    <row r="1" spans="1:33" s="2" customFormat="1" x14ac:dyDescent="0.2">
      <c r="A1" s="2" t="s">
        <v>64</v>
      </c>
      <c r="B1" s="2" t="s">
        <v>65</v>
      </c>
      <c r="C1" s="2">
        <v>1990</v>
      </c>
      <c r="D1" s="2">
        <v>1991</v>
      </c>
      <c r="E1" s="2">
        <v>1992</v>
      </c>
      <c r="F1" s="2">
        <v>1993</v>
      </c>
      <c r="G1" s="2">
        <v>1994</v>
      </c>
      <c r="H1" s="2">
        <v>1995</v>
      </c>
      <c r="I1" s="2">
        <v>1996</v>
      </c>
      <c r="J1" s="2">
        <v>1997</v>
      </c>
      <c r="K1" s="2">
        <v>1998</v>
      </c>
      <c r="L1" s="2">
        <v>1999</v>
      </c>
      <c r="M1" s="2">
        <v>2000</v>
      </c>
      <c r="N1" s="2">
        <v>2001</v>
      </c>
      <c r="O1" s="2">
        <v>2002</v>
      </c>
      <c r="P1" s="2">
        <v>2003</v>
      </c>
      <c r="Q1" s="2">
        <v>2004</v>
      </c>
      <c r="R1" s="2">
        <v>2005</v>
      </c>
      <c r="S1" s="2">
        <v>2006</v>
      </c>
      <c r="T1" s="2">
        <v>2007</v>
      </c>
      <c r="U1" s="2">
        <v>2008</v>
      </c>
      <c r="V1" s="2">
        <v>2009</v>
      </c>
      <c r="W1" s="2">
        <v>2010</v>
      </c>
      <c r="X1" s="2">
        <v>2011</v>
      </c>
      <c r="Y1" s="2">
        <v>2012</v>
      </c>
      <c r="Z1" s="2">
        <v>2013</v>
      </c>
      <c r="AA1" s="2">
        <v>2014</v>
      </c>
      <c r="AB1" s="2">
        <v>2015</v>
      </c>
      <c r="AC1" s="2">
        <v>2016</v>
      </c>
      <c r="AD1" s="2">
        <v>2017</v>
      </c>
      <c r="AE1" s="2">
        <v>2018</v>
      </c>
      <c r="AG1" s="2" t="s">
        <v>66</v>
      </c>
    </row>
    <row r="2" spans="1:33" x14ac:dyDescent="0.2">
      <c r="A2" s="3" t="s">
        <v>67</v>
      </c>
      <c r="B2" s="3" t="s">
        <v>68</v>
      </c>
      <c r="C2" s="4">
        <v>36.205364227294922</v>
      </c>
      <c r="D2" s="4">
        <v>35.997806549072266</v>
      </c>
      <c r="E2" s="4">
        <v>34.9991455078125</v>
      </c>
      <c r="F2" s="4">
        <v>35.049510955810547</v>
      </c>
      <c r="G2" s="4">
        <v>35.426750183105469</v>
      </c>
      <c r="H2" s="4">
        <v>35.058448791503906</v>
      </c>
      <c r="I2" s="4">
        <v>34.621913909912109</v>
      </c>
      <c r="J2" s="4">
        <v>33.991073608398438</v>
      </c>
      <c r="K2" s="4">
        <v>33.554164886474609</v>
      </c>
      <c r="L2" s="4">
        <v>33.908962249755859</v>
      </c>
      <c r="M2" s="4">
        <v>34.238525390625</v>
      </c>
      <c r="N2" s="4">
        <v>34.112098693847656</v>
      </c>
      <c r="O2" s="4">
        <v>34.013187408447266</v>
      </c>
      <c r="P2" s="4">
        <v>34.009563446044922</v>
      </c>
      <c r="Q2" s="4">
        <v>33.790798187255859</v>
      </c>
      <c r="R2" s="4">
        <v>33.603614807128906</v>
      </c>
      <c r="S2" s="4">
        <v>33.305095672607422</v>
      </c>
      <c r="T2" s="4">
        <v>32.900142669677734</v>
      </c>
      <c r="U2" s="4">
        <v>32.241130828857422</v>
      </c>
      <c r="V2" s="4">
        <v>31.423919677734375</v>
      </c>
      <c r="W2" s="4">
        <v>31.049882888793945</v>
      </c>
      <c r="X2" s="4">
        <v>30.881023406982422</v>
      </c>
      <c r="Y2" s="4">
        <v>30.87190055847168</v>
      </c>
      <c r="Z2" s="4">
        <v>30.445468902587891</v>
      </c>
      <c r="AA2" s="4">
        <v>30.318990707397461</v>
      </c>
      <c r="AB2" s="4">
        <v>30.502510070800781</v>
      </c>
      <c r="AC2" s="4">
        <v>30.699529647827148</v>
      </c>
      <c r="AD2" s="4">
        <v>30.70826530456543</v>
      </c>
      <c r="AE2" s="4">
        <v>30.437105178833008</v>
      </c>
      <c r="AG2" s="4">
        <f>AVERAGE($R2:$AB2)</f>
        <v>31.594880017367277</v>
      </c>
    </row>
    <row r="3" spans="1:33" x14ac:dyDescent="0.2">
      <c r="A3" s="3" t="s">
        <v>69</v>
      </c>
      <c r="B3" s="3" t="s">
        <v>70</v>
      </c>
      <c r="C3" s="4">
        <v>29.9691162109375</v>
      </c>
      <c r="D3" s="4">
        <v>29.916942596435547</v>
      </c>
      <c r="E3" s="4">
        <v>29.884853363037109</v>
      </c>
      <c r="F3" s="4">
        <v>29.829242706298828</v>
      </c>
      <c r="G3" s="4">
        <v>29.822683334350586</v>
      </c>
      <c r="H3" s="4">
        <v>30.067386627197266</v>
      </c>
      <c r="I3" s="4">
        <v>30.23930549621582</v>
      </c>
      <c r="J3" s="4">
        <v>30.240720748901367</v>
      </c>
      <c r="K3" s="4">
        <v>30.340803146362305</v>
      </c>
      <c r="L3" s="4">
        <v>30.356845855712891</v>
      </c>
      <c r="M3" s="4">
        <v>30.579885482788086</v>
      </c>
      <c r="N3" s="4">
        <v>30.722146987915039</v>
      </c>
      <c r="O3" s="4">
        <v>30.743202209472656</v>
      </c>
      <c r="P3" s="4">
        <v>30.419153213500977</v>
      </c>
      <c r="Q3" s="4">
        <v>31.218170166015625</v>
      </c>
      <c r="R3" s="4">
        <v>31.344526290893555</v>
      </c>
      <c r="S3" s="4">
        <v>31.70074462890625</v>
      </c>
      <c r="T3" s="4">
        <v>31.201610565185547</v>
      </c>
      <c r="U3" s="4">
        <v>31.092617034912109</v>
      </c>
      <c r="V3" s="4">
        <v>30.615530014038086</v>
      </c>
      <c r="W3" s="4">
        <v>30.480278015136719</v>
      </c>
      <c r="X3" s="4">
        <v>29.916107177734375</v>
      </c>
      <c r="Y3" s="4">
        <v>29.825582504272461</v>
      </c>
      <c r="Z3" s="4">
        <v>29.697721481323242</v>
      </c>
      <c r="AA3" s="4">
        <v>28.966861724853516</v>
      </c>
      <c r="AB3" s="4">
        <v>28.605794906616211</v>
      </c>
      <c r="AC3" s="4">
        <v>28.347869873046875</v>
      </c>
      <c r="AD3" s="4">
        <v>28.090625762939453</v>
      </c>
      <c r="AE3" s="4">
        <v>27.907875061035156</v>
      </c>
      <c r="AG3" s="4">
        <f t="shared" ref="AG3:AG66" si="0">AVERAGE($R3:$AB3)</f>
        <v>30.313397667624734</v>
      </c>
    </row>
    <row r="4" spans="1:33" x14ac:dyDescent="0.2">
      <c r="A4" s="3" t="s">
        <v>1</v>
      </c>
      <c r="B4" s="3" t="s">
        <v>33</v>
      </c>
      <c r="C4" s="4">
        <v>42.032562255859375</v>
      </c>
      <c r="D4" s="4">
        <v>41.262264251708984</v>
      </c>
      <c r="E4" s="4">
        <v>41.184803009033203</v>
      </c>
      <c r="F4" s="4">
        <v>41.579483032226563</v>
      </c>
      <c r="G4" s="4">
        <v>41.127960205078125</v>
      </c>
      <c r="H4" s="4">
        <v>40.200756072998047</v>
      </c>
      <c r="I4" s="4">
        <v>40.757286071777344</v>
      </c>
      <c r="J4" s="4">
        <v>39.612216949462891</v>
      </c>
      <c r="K4" s="4">
        <v>40.025669097900391</v>
      </c>
      <c r="L4" s="4">
        <v>38.995441436767578</v>
      </c>
      <c r="M4" s="4">
        <v>39.755107879638672</v>
      </c>
      <c r="N4" s="4">
        <v>40.571006774902344</v>
      </c>
      <c r="O4" s="4">
        <v>40.938159942626953</v>
      </c>
      <c r="P4" s="4">
        <v>41.197376251220703</v>
      </c>
      <c r="Q4" s="4">
        <v>41.497119903564453</v>
      </c>
      <c r="R4" s="4">
        <v>41.892601013183594</v>
      </c>
      <c r="S4" s="4">
        <v>42.141040802001953</v>
      </c>
      <c r="T4" s="4">
        <v>42.104331970214844</v>
      </c>
      <c r="U4" s="4">
        <v>41.84185791015625</v>
      </c>
      <c r="V4" s="4">
        <v>41.295341491699219</v>
      </c>
      <c r="W4" s="4">
        <v>41.350643157958984</v>
      </c>
      <c r="X4" s="4">
        <v>41.083103179931641</v>
      </c>
      <c r="Y4" s="4">
        <v>40.687179565429688</v>
      </c>
      <c r="Z4" s="4">
        <v>40.049430847167969</v>
      </c>
      <c r="AA4" s="4">
        <v>39.81634521484375</v>
      </c>
      <c r="AB4" s="4">
        <v>39.391536712646484</v>
      </c>
      <c r="AC4" s="4">
        <v>39.207199096679688</v>
      </c>
      <c r="AD4" s="4">
        <v>39.161380767822266</v>
      </c>
      <c r="AE4" s="4">
        <v>39.174072265625</v>
      </c>
      <c r="AG4" s="4">
        <f t="shared" si="0"/>
        <v>41.059401078657672</v>
      </c>
    </row>
    <row r="5" spans="1:33" x14ac:dyDescent="0.2">
      <c r="A5" s="3" t="s">
        <v>2</v>
      </c>
      <c r="B5" s="3" t="s">
        <v>34</v>
      </c>
      <c r="C5" s="4">
        <v>24.348072052001953</v>
      </c>
      <c r="D5" s="4">
        <v>24.460046768188477</v>
      </c>
      <c r="E5" s="4">
        <v>24.316474914550781</v>
      </c>
      <c r="F5" s="4">
        <v>23.9493408203125</v>
      </c>
      <c r="G5" s="4">
        <v>23.805736541748047</v>
      </c>
      <c r="H5" s="4">
        <v>23.340496063232422</v>
      </c>
      <c r="I5" s="4">
        <v>23.018152236938477</v>
      </c>
      <c r="J5" s="4">
        <v>23.223077774047852</v>
      </c>
      <c r="K5" s="4">
        <v>23.203182220458984</v>
      </c>
      <c r="L5" s="4">
        <v>23.084186553955078</v>
      </c>
      <c r="M5" s="4">
        <v>23.000473022460938</v>
      </c>
      <c r="N5" s="4">
        <v>22.860527038574219</v>
      </c>
      <c r="O5" s="4">
        <v>22.686538696289063</v>
      </c>
      <c r="P5" s="4">
        <v>22.924100875854492</v>
      </c>
      <c r="Q5" s="4">
        <v>23.152036666870117</v>
      </c>
      <c r="R5" s="4">
        <v>23.17503547668457</v>
      </c>
      <c r="S5" s="4">
        <v>23.173585891723633</v>
      </c>
      <c r="T5" s="4">
        <v>23.000640869140625</v>
      </c>
      <c r="U5" s="4">
        <v>22.761007308959961</v>
      </c>
      <c r="V5" s="4">
        <v>22.563850402832031</v>
      </c>
      <c r="W5" s="4">
        <v>22.411331176757813</v>
      </c>
      <c r="X5" s="4">
        <v>22.221504211425781</v>
      </c>
      <c r="Y5" s="4">
        <v>22.056882858276367</v>
      </c>
      <c r="Z5" s="4">
        <v>21.839557647705078</v>
      </c>
      <c r="AA5" s="4">
        <v>21.622148513793945</v>
      </c>
      <c r="AB5" s="4">
        <v>21.495525360107422</v>
      </c>
      <c r="AC5" s="4">
        <v>21.327438354492188</v>
      </c>
      <c r="AD5" s="4">
        <v>21.187179565429688</v>
      </c>
      <c r="AE5" s="4">
        <v>21.145267486572266</v>
      </c>
      <c r="AG5" s="4">
        <f t="shared" si="0"/>
        <v>22.392824519764293</v>
      </c>
    </row>
    <row r="6" spans="1:33" x14ac:dyDescent="0.2">
      <c r="A6" s="3" t="s">
        <v>71</v>
      </c>
      <c r="B6" s="3" t="s">
        <v>72</v>
      </c>
      <c r="C6" s="4">
        <v>43.546524047851563</v>
      </c>
      <c r="D6" s="4">
        <v>42.666599273681641</v>
      </c>
      <c r="E6" s="4">
        <v>42.600898742675781</v>
      </c>
      <c r="F6" s="4">
        <v>43.518177032470703</v>
      </c>
      <c r="G6" s="4">
        <v>45.792003631591797</v>
      </c>
      <c r="H6" s="4">
        <v>45.862804412841797</v>
      </c>
      <c r="I6" s="4">
        <v>46.201385498046875</v>
      </c>
      <c r="J6" s="4">
        <v>46.896110534667969</v>
      </c>
      <c r="K6" s="4">
        <v>46.922569274902344</v>
      </c>
      <c r="L6" s="4">
        <v>46.99322509765625</v>
      </c>
      <c r="M6" s="4">
        <v>46.882259368896484</v>
      </c>
      <c r="N6" s="4">
        <v>46.773983001708984</v>
      </c>
      <c r="O6" s="4">
        <v>45.494720458984375</v>
      </c>
      <c r="P6" s="4">
        <v>45.070461273193359</v>
      </c>
      <c r="Q6" s="4">
        <v>44.28985595703125</v>
      </c>
      <c r="R6" s="4">
        <v>43.571857452392578</v>
      </c>
      <c r="S6" s="4">
        <v>42.315376281738281</v>
      </c>
      <c r="T6" s="4">
        <v>41.100563049316406</v>
      </c>
      <c r="U6" s="4">
        <v>39.944286346435547</v>
      </c>
      <c r="V6" s="4">
        <v>38.871475219726563</v>
      </c>
      <c r="W6" s="4">
        <v>38.238056182861328</v>
      </c>
      <c r="X6" s="4">
        <v>37.6171875</v>
      </c>
      <c r="Y6" s="4">
        <v>37.416019439697266</v>
      </c>
      <c r="Z6" s="4">
        <v>37.098522186279297</v>
      </c>
      <c r="AA6" s="4">
        <v>36.771602630615234</v>
      </c>
      <c r="AB6" s="4">
        <v>36.105789184570313</v>
      </c>
      <c r="AC6" s="4">
        <v>35.55023193359375</v>
      </c>
      <c r="AD6" s="4">
        <v>35.332679748535156</v>
      </c>
      <c r="AE6" s="4"/>
      <c r="AG6" s="4">
        <f t="shared" si="0"/>
        <v>39.004612315784804</v>
      </c>
    </row>
    <row r="7" spans="1:33" x14ac:dyDescent="0.2">
      <c r="A7" s="3" t="s">
        <v>73</v>
      </c>
      <c r="B7" s="3" t="s">
        <v>74</v>
      </c>
      <c r="C7" s="4">
        <v>15.244407653808594</v>
      </c>
      <c r="D7" s="4">
        <v>15.061095237731934</v>
      </c>
      <c r="E7" s="4">
        <v>14.935770988464355</v>
      </c>
      <c r="F7" s="4">
        <v>14.825889587402344</v>
      </c>
      <c r="G7" s="4">
        <v>14.765119552612305</v>
      </c>
      <c r="H7" s="4">
        <v>14.723909378051758</v>
      </c>
      <c r="I7" s="4">
        <v>14.626008033752441</v>
      </c>
      <c r="J7" s="4">
        <v>14.481967926025391</v>
      </c>
      <c r="K7" s="4">
        <v>14.371071815490723</v>
      </c>
      <c r="L7" s="4">
        <v>14.26267147064209</v>
      </c>
      <c r="M7" s="4">
        <v>14.215001106262207</v>
      </c>
      <c r="N7" s="4">
        <v>14.11432933807373</v>
      </c>
      <c r="O7" s="4">
        <v>14.011226654052734</v>
      </c>
      <c r="P7" s="4">
        <v>13.89885139465332</v>
      </c>
      <c r="Q7" s="4">
        <v>13.778002738952637</v>
      </c>
      <c r="R7" s="4">
        <v>13.702363967895508</v>
      </c>
      <c r="S7" s="4">
        <v>13.596590995788574</v>
      </c>
      <c r="T7" s="4">
        <v>13.499954223632813</v>
      </c>
      <c r="U7" s="4">
        <v>13.407648086547852</v>
      </c>
      <c r="V7" s="4">
        <v>13.272464752197266</v>
      </c>
      <c r="W7" s="4">
        <v>13.199357986450195</v>
      </c>
      <c r="X7" s="4">
        <v>13.084046363830566</v>
      </c>
      <c r="Y7" s="4">
        <v>12.95798397064209</v>
      </c>
      <c r="Z7" s="4">
        <v>12.84892749786377</v>
      </c>
      <c r="AA7" s="4">
        <v>12.761232376098633</v>
      </c>
      <c r="AB7" s="4">
        <v>12.694539070129395</v>
      </c>
      <c r="AC7" s="4">
        <v>12.638254165649414</v>
      </c>
      <c r="AD7" s="4">
        <v>12.583067893981934</v>
      </c>
      <c r="AE7" s="4">
        <v>12.527935028076172</v>
      </c>
      <c r="AG7" s="4">
        <f t="shared" si="0"/>
        <v>13.184100844643332</v>
      </c>
    </row>
    <row r="8" spans="1:33" x14ac:dyDescent="0.2">
      <c r="A8" s="3" t="s">
        <v>75</v>
      </c>
      <c r="B8" s="3" t="s">
        <v>76</v>
      </c>
      <c r="C8" s="4">
        <v>10.54494571685791</v>
      </c>
      <c r="D8" s="4">
        <v>10.459683418273926</v>
      </c>
      <c r="E8" s="4">
        <v>10.362458229064941</v>
      </c>
      <c r="F8" s="4">
        <v>10.262081146240234</v>
      </c>
      <c r="G8" s="4">
        <v>10.179858207702637</v>
      </c>
      <c r="H8" s="4">
        <v>10.100735664367676</v>
      </c>
      <c r="I8" s="4">
        <v>10.030376434326172</v>
      </c>
      <c r="J8" s="4">
        <v>9.9541835784912109</v>
      </c>
      <c r="K8" s="4">
        <v>9.8871517181396484</v>
      </c>
      <c r="L8" s="4">
        <v>9.8360147476196289</v>
      </c>
      <c r="M8" s="4">
        <v>9.7789268493652344</v>
      </c>
      <c r="N8" s="4">
        <v>9.71563720703125</v>
      </c>
      <c r="O8" s="4">
        <v>9.6566791534423828</v>
      </c>
      <c r="P8" s="4">
        <v>9.6159572601318359</v>
      </c>
      <c r="Q8" s="4">
        <v>9.5739574432373047</v>
      </c>
      <c r="R8" s="4">
        <v>9.5441884994506836</v>
      </c>
      <c r="S8" s="4">
        <v>9.5165729522705078</v>
      </c>
      <c r="T8" s="4">
        <v>9.5001764297485352</v>
      </c>
      <c r="U8" s="4">
        <v>9.4587898254394531</v>
      </c>
      <c r="V8" s="4">
        <v>9.3980636596679688</v>
      </c>
      <c r="W8" s="4">
        <v>9.3879909515380859</v>
      </c>
      <c r="X8" s="4">
        <v>9.38653564453125</v>
      </c>
      <c r="Y8" s="4">
        <v>9.3700151443481445</v>
      </c>
      <c r="Z8" s="4">
        <v>9.3452844619750977</v>
      </c>
      <c r="AA8" s="4">
        <v>9.3500089645385742</v>
      </c>
      <c r="AB8" s="4">
        <v>9.3177289962768555</v>
      </c>
      <c r="AC8" s="4">
        <v>9.2848310470581055</v>
      </c>
      <c r="AD8" s="4">
        <v>9.2615880966186523</v>
      </c>
      <c r="AE8" s="4">
        <v>9.2427692413330078</v>
      </c>
      <c r="AG8" s="4">
        <f t="shared" si="0"/>
        <v>9.4159414117986504</v>
      </c>
    </row>
    <row r="9" spans="1:33" x14ac:dyDescent="0.2">
      <c r="A9" s="3" t="s">
        <v>77</v>
      </c>
      <c r="B9" s="3" t="s">
        <v>78</v>
      </c>
      <c r="C9" s="4">
        <v>48.412960052490234</v>
      </c>
      <c r="D9" s="4">
        <v>49.851406097412109</v>
      </c>
      <c r="E9" s="4">
        <v>49.520259857177734</v>
      </c>
      <c r="F9" s="4">
        <v>51.859176635742188</v>
      </c>
      <c r="G9" s="4">
        <v>56.227504730224609</v>
      </c>
      <c r="H9" s="4">
        <v>59.337116241455078</v>
      </c>
      <c r="I9" s="4">
        <v>59.609420776367188</v>
      </c>
      <c r="J9" s="4">
        <v>59.743492126464844</v>
      </c>
      <c r="K9" s="4">
        <v>60.283493041992188</v>
      </c>
      <c r="L9" s="4">
        <v>60.649620056152344</v>
      </c>
      <c r="M9" s="4">
        <v>60.770004272460938</v>
      </c>
      <c r="N9" s="4">
        <v>60.518257141113281</v>
      </c>
      <c r="O9" s="4">
        <v>59.388565063476563</v>
      </c>
      <c r="P9" s="4">
        <v>57.314212799072266</v>
      </c>
      <c r="Q9" s="4">
        <v>55.684425354003906</v>
      </c>
      <c r="R9" s="4">
        <v>54.652458190917969</v>
      </c>
      <c r="S9" s="4">
        <v>53.280342102050781</v>
      </c>
      <c r="T9" s="4">
        <v>52.000141143798828</v>
      </c>
      <c r="U9" s="4">
        <v>50.403041839599609</v>
      </c>
      <c r="V9" s="4">
        <v>49.168170928955078</v>
      </c>
      <c r="W9" s="4">
        <v>47.952861785888672</v>
      </c>
      <c r="X9" s="4">
        <v>46.242271423339844</v>
      </c>
      <c r="Y9" s="4">
        <v>44.987003326416016</v>
      </c>
      <c r="Z9" s="4">
        <v>43.483985900878906</v>
      </c>
      <c r="AA9" s="4">
        <v>42.113555908203125</v>
      </c>
      <c r="AB9" s="4">
        <v>40.968711853027344</v>
      </c>
      <c r="AC9" s="4">
        <v>40.378604888916016</v>
      </c>
      <c r="AD9" s="4">
        <v>39.859466552734375</v>
      </c>
      <c r="AE9" s="4">
        <v>39.469985961914063</v>
      </c>
      <c r="AG9" s="4">
        <f t="shared" si="0"/>
        <v>47.750231309370562</v>
      </c>
    </row>
    <row r="10" spans="1:33" x14ac:dyDescent="0.2">
      <c r="A10" s="3" t="s">
        <v>79</v>
      </c>
      <c r="B10" s="3" t="s">
        <v>80</v>
      </c>
      <c r="C10" s="4">
        <v>30.808374404907227</v>
      </c>
      <c r="D10" s="4">
        <v>30.365663528442383</v>
      </c>
      <c r="E10" s="4">
        <v>30.106243133544922</v>
      </c>
      <c r="F10" s="4">
        <v>30.199914932250977</v>
      </c>
      <c r="G10" s="4">
        <v>29.903369903564453</v>
      </c>
      <c r="H10" s="4">
        <v>29.806983947753906</v>
      </c>
      <c r="I10" s="4">
        <v>29.566627502441406</v>
      </c>
      <c r="J10" s="4">
        <v>29.116838455200195</v>
      </c>
      <c r="K10" s="4">
        <v>28.791507720947266</v>
      </c>
      <c r="L10" s="4">
        <v>28.401458740234375</v>
      </c>
      <c r="M10" s="4">
        <v>27.936046600341797</v>
      </c>
      <c r="N10" s="4">
        <v>27.673089981079102</v>
      </c>
      <c r="O10" s="4">
        <v>27.441278457641602</v>
      </c>
      <c r="P10" s="4">
        <v>27.205049514770508</v>
      </c>
      <c r="Q10" s="4">
        <v>27.086574554443359</v>
      </c>
      <c r="R10" s="4">
        <v>26.796514511108398</v>
      </c>
      <c r="S10" s="4">
        <v>26.468355178833008</v>
      </c>
      <c r="T10" s="4">
        <v>26.200542449951172</v>
      </c>
      <c r="U10" s="4">
        <v>25.902288436889648</v>
      </c>
      <c r="V10" s="4">
        <v>25.590896606445313</v>
      </c>
      <c r="W10" s="4">
        <v>25.483692169189453</v>
      </c>
      <c r="X10" s="4">
        <v>25.255352020263672</v>
      </c>
      <c r="Y10" s="4">
        <v>25.124921798706055</v>
      </c>
      <c r="Z10" s="4">
        <v>24.801673889160156</v>
      </c>
      <c r="AA10" s="4">
        <v>24.767082214355469</v>
      </c>
      <c r="AB10" s="4">
        <v>24.771572113037109</v>
      </c>
      <c r="AC10" s="4">
        <v>24.635791778564453</v>
      </c>
      <c r="AD10" s="4">
        <v>24.522750854492188</v>
      </c>
      <c r="AE10" s="4"/>
      <c r="AG10" s="4">
        <f t="shared" si="0"/>
        <v>25.560262853449043</v>
      </c>
    </row>
    <row r="11" spans="1:33" x14ac:dyDescent="0.2">
      <c r="A11" s="3" t="s">
        <v>81</v>
      </c>
      <c r="B11" s="3" t="s">
        <v>82</v>
      </c>
      <c r="C11" s="4">
        <v>17.059486389160156</v>
      </c>
      <c r="D11" s="4">
        <v>16.927078247070313</v>
      </c>
      <c r="E11" s="4">
        <v>16.725898742675781</v>
      </c>
      <c r="F11" s="4">
        <v>16.596649169921875</v>
      </c>
      <c r="G11" s="4">
        <v>16.486297607421875</v>
      </c>
      <c r="H11" s="4">
        <v>16.424905776977539</v>
      </c>
      <c r="I11" s="4">
        <v>16.318382263183594</v>
      </c>
      <c r="J11" s="4">
        <v>16.272090911865234</v>
      </c>
      <c r="K11" s="4">
        <v>16.094108581542969</v>
      </c>
      <c r="L11" s="4">
        <v>16.341745376586914</v>
      </c>
      <c r="M11" s="4">
        <v>16.455020904541016</v>
      </c>
      <c r="N11" s="4">
        <v>16.455331802368164</v>
      </c>
      <c r="O11" s="4">
        <v>16.515748977661133</v>
      </c>
      <c r="P11" s="4">
        <v>16.532934188842773</v>
      </c>
      <c r="Q11" s="4">
        <v>16.762929916381836</v>
      </c>
      <c r="R11" s="4">
        <v>17.100025177001953</v>
      </c>
      <c r="S11" s="4">
        <v>16.963275909423828</v>
      </c>
      <c r="T11" s="4">
        <v>16.741926193237305</v>
      </c>
      <c r="U11" s="4">
        <v>17.071676254272461</v>
      </c>
      <c r="V11" s="4">
        <v>16.792335510253906</v>
      </c>
      <c r="W11" s="4">
        <v>16.653646469116211</v>
      </c>
      <c r="X11" s="4">
        <v>16.473623275756836</v>
      </c>
      <c r="Y11" s="4">
        <v>16.240222930908203</v>
      </c>
      <c r="Z11" s="4">
        <v>15.952136039733887</v>
      </c>
      <c r="AA11" s="4">
        <v>15.629813194274902</v>
      </c>
      <c r="AB11" s="4">
        <v>15.553808212280273</v>
      </c>
      <c r="AC11" s="4">
        <v>15.524117469787598</v>
      </c>
      <c r="AD11" s="4">
        <v>15.28487491607666</v>
      </c>
      <c r="AE11" s="4">
        <v>15.232141494750977</v>
      </c>
      <c r="AG11" s="4">
        <f t="shared" si="0"/>
        <v>16.470226287841797</v>
      </c>
    </row>
    <row r="12" spans="1:33" x14ac:dyDescent="0.2">
      <c r="A12" s="3" t="s">
        <v>3</v>
      </c>
      <c r="B12" s="3" t="s">
        <v>35</v>
      </c>
      <c r="C12" s="4">
        <v>42.952110290527344</v>
      </c>
      <c r="D12" s="4">
        <v>42.664642333984375</v>
      </c>
      <c r="E12" s="4">
        <v>42.450149536132813</v>
      </c>
      <c r="F12" s="4">
        <v>42.107204437255859</v>
      </c>
      <c r="G12" s="4">
        <v>41.800094604492188</v>
      </c>
      <c r="H12" s="4">
        <v>41.484584808349609</v>
      </c>
      <c r="I12" s="4">
        <v>41.130989074707031</v>
      </c>
      <c r="J12" s="4">
        <v>40.773448944091797</v>
      </c>
      <c r="K12" s="4">
        <v>40.172473907470703</v>
      </c>
      <c r="L12" s="4">
        <v>39.560256958007813</v>
      </c>
      <c r="M12" s="4">
        <v>38.955913543701172</v>
      </c>
      <c r="N12" s="4">
        <v>38.389839172363281</v>
      </c>
      <c r="O12" s="4">
        <v>37.765056610107422</v>
      </c>
      <c r="P12" s="4">
        <v>37.098930358886719</v>
      </c>
      <c r="Q12" s="4">
        <v>36.318214416503906</v>
      </c>
      <c r="R12" s="4">
        <v>35.509971618652344</v>
      </c>
      <c r="S12" s="4">
        <v>34.6885986328125</v>
      </c>
      <c r="T12" s="5">
        <v>34.100784301757813</v>
      </c>
      <c r="U12" s="4">
        <v>33.480823516845703</v>
      </c>
      <c r="V12" s="4">
        <v>32.828964233398438</v>
      </c>
      <c r="W12" s="4">
        <v>32.177204132080078</v>
      </c>
      <c r="X12" s="4">
        <v>31.500190734863281</v>
      </c>
      <c r="Y12" s="4">
        <v>30.899021148681641</v>
      </c>
      <c r="Z12" s="4">
        <v>30.204217910766602</v>
      </c>
      <c r="AA12" s="4">
        <v>29.532600402832031</v>
      </c>
      <c r="AB12" s="4">
        <v>28.897315979003906</v>
      </c>
      <c r="AC12" s="4">
        <v>28.256935119628906</v>
      </c>
      <c r="AD12" s="4">
        <v>27.63127326965332</v>
      </c>
      <c r="AE12" s="4">
        <v>26.998659133911133</v>
      </c>
      <c r="AG12" s="4">
        <f t="shared" si="0"/>
        <v>32.165426601063125</v>
      </c>
    </row>
    <row r="13" spans="1:33" x14ac:dyDescent="0.2">
      <c r="A13" s="3" t="s">
        <v>83</v>
      </c>
      <c r="B13" s="3" t="s">
        <v>84</v>
      </c>
      <c r="C13" s="4">
        <v>27.257251739501953</v>
      </c>
      <c r="D13" s="4">
        <v>26.745813369750977</v>
      </c>
      <c r="E13" s="4">
        <v>26.592168807983398</v>
      </c>
      <c r="F13" s="4">
        <v>26.418327331542969</v>
      </c>
      <c r="G13" s="4">
        <v>26.854389190673828</v>
      </c>
      <c r="H13" s="4">
        <v>26.656822204589844</v>
      </c>
      <c r="I13" s="4">
        <v>26.797004699707031</v>
      </c>
      <c r="J13" s="4">
        <v>26.614597320556641</v>
      </c>
      <c r="K13" s="4">
        <v>26.373943328857422</v>
      </c>
      <c r="L13" s="4">
        <v>26.205804824829102</v>
      </c>
      <c r="M13" s="4">
        <v>26.090532302856445</v>
      </c>
      <c r="N13" s="4">
        <v>25.695163726806641</v>
      </c>
      <c r="O13" s="4">
        <v>25.820341110229492</v>
      </c>
      <c r="P13" s="4">
        <v>25.400028228759766</v>
      </c>
      <c r="Q13" s="4">
        <v>25.323406219482422</v>
      </c>
      <c r="R13" s="4">
        <v>25.132286071777344</v>
      </c>
      <c r="S13" s="4">
        <v>24.697494506835938</v>
      </c>
      <c r="T13" s="4">
        <v>24.499954223632813</v>
      </c>
      <c r="U13" s="4">
        <v>24.168460845947266</v>
      </c>
      <c r="V13" s="4">
        <v>23.806005477905273</v>
      </c>
      <c r="W13" s="4">
        <v>23.814163208007813</v>
      </c>
      <c r="X13" s="4">
        <v>23.606796264648438</v>
      </c>
      <c r="Y13" s="4">
        <v>23.605207443237305</v>
      </c>
      <c r="Z13" s="4">
        <v>23.500888824462891</v>
      </c>
      <c r="AA13" s="4">
        <v>23.454324722290039</v>
      </c>
      <c r="AB13" s="4">
        <v>23.537181854248047</v>
      </c>
      <c r="AC13" s="4">
        <v>23.611942291259766</v>
      </c>
      <c r="AD13" s="4">
        <v>23.663585662841797</v>
      </c>
      <c r="AE13" s="4">
        <v>23.721750259399414</v>
      </c>
      <c r="AG13" s="4">
        <f t="shared" si="0"/>
        <v>23.983887585726652</v>
      </c>
    </row>
    <row r="14" spans="1:33" x14ac:dyDescent="0.2">
      <c r="A14" s="3" t="s">
        <v>85</v>
      </c>
      <c r="B14" s="3" t="s">
        <v>86</v>
      </c>
      <c r="C14" s="4">
        <v>44.363880157470703</v>
      </c>
      <c r="D14" s="4">
        <v>43.8668212890625</v>
      </c>
      <c r="E14" s="4">
        <v>43.854976654052734</v>
      </c>
      <c r="F14" s="4">
        <v>44.071994781494141</v>
      </c>
      <c r="G14" s="4">
        <v>43.010295867919922</v>
      </c>
      <c r="H14" s="4">
        <v>42.561866760253906</v>
      </c>
      <c r="I14" s="4">
        <v>42.911060333251953</v>
      </c>
      <c r="J14" s="4">
        <v>43.546661376953125</v>
      </c>
      <c r="K14" s="4">
        <v>43.767566680908203</v>
      </c>
      <c r="L14" s="4">
        <v>43.947906494140625</v>
      </c>
      <c r="M14" s="4">
        <v>44.281650543212891</v>
      </c>
      <c r="N14" s="4">
        <v>44.306720733642578</v>
      </c>
      <c r="O14" s="4">
        <v>44.415420532226563</v>
      </c>
      <c r="P14" s="4">
        <v>44.384475708007813</v>
      </c>
      <c r="Q14" s="4">
        <v>44.320529937744141</v>
      </c>
      <c r="R14" s="4">
        <v>44.270370483398438</v>
      </c>
      <c r="S14" s="4">
        <v>43.857151031494141</v>
      </c>
      <c r="T14" s="4">
        <v>43.300365447998047</v>
      </c>
      <c r="U14" s="4">
        <v>42.713470458984375</v>
      </c>
      <c r="V14" s="4">
        <v>41.820137023925781</v>
      </c>
      <c r="W14" s="4">
        <v>40.916435241699219</v>
      </c>
      <c r="X14" s="4">
        <v>39.954174041748047</v>
      </c>
      <c r="Y14" s="4">
        <v>39.573814392089844</v>
      </c>
      <c r="Z14" s="4">
        <v>39.153160095214844</v>
      </c>
      <c r="AA14" s="4">
        <v>38.73553466796875</v>
      </c>
      <c r="AB14" s="4">
        <v>38.361255645751953</v>
      </c>
      <c r="AC14" s="4">
        <v>38.011653900146484</v>
      </c>
      <c r="AD14" s="4">
        <v>37.749626159667969</v>
      </c>
      <c r="AE14" s="4">
        <v>37.454849243164063</v>
      </c>
      <c r="AG14" s="4">
        <f t="shared" si="0"/>
        <v>41.150533502752133</v>
      </c>
    </row>
    <row r="15" spans="1:33" x14ac:dyDescent="0.2">
      <c r="A15" s="3" t="s">
        <v>87</v>
      </c>
      <c r="B15" s="3" t="s">
        <v>88</v>
      </c>
      <c r="C15" s="4">
        <v>22.94554328918457</v>
      </c>
      <c r="D15" s="4">
        <v>22.792947769165039</v>
      </c>
      <c r="E15" s="4">
        <v>22.647985458374023</v>
      </c>
      <c r="F15" s="4">
        <v>22.495502471923828</v>
      </c>
      <c r="G15" s="4">
        <v>22.371479034423828</v>
      </c>
      <c r="H15" s="4">
        <v>22.324092864990234</v>
      </c>
      <c r="I15" s="4">
        <v>22.211816787719727</v>
      </c>
      <c r="J15" s="4">
        <v>22.081998825073242</v>
      </c>
      <c r="K15" s="4">
        <v>22.005472183227539</v>
      </c>
      <c r="L15" s="4">
        <v>21.922796249389648</v>
      </c>
      <c r="M15" s="4">
        <v>21.847339630126953</v>
      </c>
      <c r="N15" s="4">
        <v>21.742549896240234</v>
      </c>
      <c r="O15" s="4">
        <v>21.611915588378906</v>
      </c>
      <c r="P15" s="4">
        <v>21.535511016845703</v>
      </c>
      <c r="Q15" s="4">
        <v>21.542747497558594</v>
      </c>
      <c r="R15" s="4">
        <v>21.48817253112793</v>
      </c>
      <c r="S15" s="4">
        <v>21.378532409667969</v>
      </c>
      <c r="T15" s="4">
        <v>21.301054000854492</v>
      </c>
      <c r="U15" s="4">
        <v>21.184192657470703</v>
      </c>
      <c r="V15" s="4">
        <v>21.050579071044922</v>
      </c>
      <c r="W15" s="4">
        <v>20.990440368652344</v>
      </c>
      <c r="X15" s="4">
        <v>20.906097412109375</v>
      </c>
      <c r="Y15" s="4">
        <v>20.821094512939453</v>
      </c>
      <c r="Z15" s="4">
        <v>20.731124877929688</v>
      </c>
      <c r="AA15" s="4">
        <v>20.66441535949707</v>
      </c>
      <c r="AB15" s="4">
        <v>20.617481231689453</v>
      </c>
      <c r="AC15" s="4">
        <v>20.576616287231445</v>
      </c>
      <c r="AD15" s="4">
        <v>20.516010284423828</v>
      </c>
      <c r="AE15" s="4">
        <v>20.43168830871582</v>
      </c>
      <c r="AG15" s="4">
        <f t="shared" si="0"/>
        <v>21.012107675725762</v>
      </c>
    </row>
    <row r="16" spans="1:33" x14ac:dyDescent="0.2">
      <c r="A16" s="3" t="s">
        <v>89</v>
      </c>
      <c r="B16" s="3" t="s">
        <v>90</v>
      </c>
      <c r="C16" s="4">
        <v>46.856544494628906</v>
      </c>
      <c r="D16" s="4">
        <v>45.879032135009766</v>
      </c>
      <c r="E16" s="4">
        <v>43.849052429199219</v>
      </c>
      <c r="F16" s="4">
        <v>43.427700042724609</v>
      </c>
      <c r="G16" s="4">
        <v>42.965351104736328</v>
      </c>
      <c r="H16" s="4">
        <v>42.727489471435547</v>
      </c>
      <c r="I16" s="4">
        <v>42.430625915527344</v>
      </c>
      <c r="J16" s="4">
        <v>42.564220428466797</v>
      </c>
      <c r="K16" s="4">
        <v>42.634490966796875</v>
      </c>
      <c r="L16" s="4">
        <v>42.715614318847656</v>
      </c>
      <c r="M16" s="4">
        <v>42.286430358886719</v>
      </c>
      <c r="N16" s="4">
        <v>41.946079254150391</v>
      </c>
      <c r="O16" s="4">
        <v>41.470836639404297</v>
      </c>
      <c r="P16" s="4">
        <v>41.619388580322266</v>
      </c>
      <c r="Q16" s="4">
        <v>41.770378112792969</v>
      </c>
      <c r="R16" s="4">
        <v>41.642127990722656</v>
      </c>
      <c r="S16" s="4">
        <v>41.848312377929688</v>
      </c>
      <c r="T16" s="4">
        <v>42.000205993652344</v>
      </c>
      <c r="U16" s="4">
        <v>41.5631103515625</v>
      </c>
      <c r="V16" s="4">
        <v>41.4805908203125</v>
      </c>
      <c r="W16" s="4">
        <v>41.664882659912109</v>
      </c>
      <c r="X16" s="4">
        <v>41.910175323486328</v>
      </c>
      <c r="Y16" s="4">
        <v>41.824581146240234</v>
      </c>
      <c r="Z16" s="4">
        <v>41.798202514648438</v>
      </c>
      <c r="AA16" s="4">
        <v>41.460418701171875</v>
      </c>
      <c r="AB16" s="4">
        <v>41.016380310058594</v>
      </c>
      <c r="AC16" s="4">
        <v>40.745407104492188</v>
      </c>
      <c r="AD16" s="4">
        <v>39.975841522216797</v>
      </c>
      <c r="AE16" s="4"/>
      <c r="AG16" s="4">
        <f t="shared" si="0"/>
        <v>41.65536256269975</v>
      </c>
    </row>
    <row r="17" spans="1:33" x14ac:dyDescent="0.2">
      <c r="A17" s="3" t="s">
        <v>91</v>
      </c>
      <c r="B17" s="3" t="s">
        <v>92</v>
      </c>
      <c r="C17" s="4">
        <v>48.712860107421875</v>
      </c>
      <c r="D17" s="4">
        <v>49.178192138671875</v>
      </c>
      <c r="E17" s="4">
        <v>49.487449645996094</v>
      </c>
      <c r="F17" s="4">
        <v>49.769851684570313</v>
      </c>
      <c r="G17" s="4">
        <v>49.948307037353516</v>
      </c>
      <c r="H17" s="4">
        <v>49.880214691162109</v>
      </c>
      <c r="I17" s="4">
        <v>50.052326202392578</v>
      </c>
      <c r="J17" s="4">
        <v>50.030414581298828</v>
      </c>
      <c r="K17" s="4">
        <v>49.963829040527344</v>
      </c>
      <c r="L17" s="4">
        <v>49.934211730957031</v>
      </c>
      <c r="M17" s="4">
        <v>49.934093475341797</v>
      </c>
      <c r="N17" s="4">
        <v>49.736232757568359</v>
      </c>
      <c r="O17" s="4">
        <v>49.686534881591797</v>
      </c>
      <c r="P17" s="4">
        <v>49.444446563720703</v>
      </c>
      <c r="Q17" s="4">
        <v>49.360538482666016</v>
      </c>
      <c r="R17" s="4">
        <v>49.285549163818359</v>
      </c>
      <c r="S17" s="4">
        <v>49.247333526611328</v>
      </c>
      <c r="T17" s="4">
        <v>49.100082397460938</v>
      </c>
      <c r="U17" s="4">
        <v>48.776782989501953</v>
      </c>
      <c r="V17" s="4">
        <v>48.445537567138672</v>
      </c>
      <c r="W17" s="4">
        <v>48.209648132324219</v>
      </c>
      <c r="X17" s="4">
        <v>47.778682708740234</v>
      </c>
      <c r="Y17" s="4">
        <v>47.507171630859375</v>
      </c>
      <c r="Z17" s="4">
        <v>46.85882568359375</v>
      </c>
      <c r="AA17" s="4">
        <v>46.483707427978516</v>
      </c>
      <c r="AB17" s="4">
        <v>45.999614715576172</v>
      </c>
      <c r="AC17" s="4">
        <v>45.690986633300781</v>
      </c>
      <c r="AD17" s="4">
        <v>45.3475341796875</v>
      </c>
      <c r="AE17" s="4"/>
      <c r="AG17" s="4">
        <f t="shared" si="0"/>
        <v>47.97208508578214</v>
      </c>
    </row>
    <row r="18" spans="1:33" x14ac:dyDescent="0.2">
      <c r="A18" s="3" t="s">
        <v>93</v>
      </c>
      <c r="B18" s="3" t="s">
        <v>94</v>
      </c>
      <c r="C18" s="4">
        <v>37.508007049560547</v>
      </c>
      <c r="D18" s="4">
        <v>37.385643005371094</v>
      </c>
      <c r="E18" s="4">
        <v>36.575935363769531</v>
      </c>
      <c r="F18" s="4">
        <v>35.412673950195313</v>
      </c>
      <c r="G18" s="4">
        <v>34.657684326171875</v>
      </c>
      <c r="H18" s="4">
        <v>33.511394500732422</v>
      </c>
      <c r="I18" s="4">
        <v>32.792400360107422</v>
      </c>
      <c r="J18" s="4">
        <v>32.34295654296875</v>
      </c>
      <c r="K18" s="4">
        <v>32.157455444335938</v>
      </c>
      <c r="L18" s="4">
        <v>31.967967987060547</v>
      </c>
      <c r="M18" s="4">
        <v>30.851596832275391</v>
      </c>
      <c r="N18" s="4">
        <v>30.119169235229492</v>
      </c>
      <c r="O18" s="4">
        <v>29.593488693237305</v>
      </c>
      <c r="P18" s="4">
        <v>29.007726669311523</v>
      </c>
      <c r="Q18" s="4">
        <v>28.537145614624023</v>
      </c>
      <c r="R18" s="4">
        <v>27.559280395507813</v>
      </c>
      <c r="S18" s="4">
        <v>27.618518829345703</v>
      </c>
      <c r="T18" s="4">
        <v>27.702709197998047</v>
      </c>
      <c r="U18" s="4">
        <v>27.69407844543457</v>
      </c>
      <c r="V18" s="4">
        <v>27.202606201171875</v>
      </c>
      <c r="W18" s="4">
        <v>26.533531188964844</v>
      </c>
      <c r="X18" s="4">
        <v>25.754594802856445</v>
      </c>
      <c r="Y18" s="4">
        <v>24.946691513061523</v>
      </c>
      <c r="Z18" s="4">
        <v>24.937002182006836</v>
      </c>
      <c r="AA18" s="4">
        <v>24.3900146484375</v>
      </c>
      <c r="AB18" s="4">
        <v>24.108497619628906</v>
      </c>
      <c r="AC18" s="4">
        <v>23.692277908325195</v>
      </c>
      <c r="AD18" s="4">
        <v>23.212224960327148</v>
      </c>
      <c r="AE18" s="4"/>
      <c r="AG18" s="4">
        <f t="shared" si="0"/>
        <v>26.222502274946734</v>
      </c>
    </row>
    <row r="19" spans="1:33" x14ac:dyDescent="0.2">
      <c r="A19" s="3" t="s">
        <v>95</v>
      </c>
      <c r="B19" s="3" t="s">
        <v>96</v>
      </c>
      <c r="C19" s="4">
        <v>67.663749694824219</v>
      </c>
      <c r="D19" s="4">
        <v>67.477653503417969</v>
      </c>
      <c r="E19" s="4">
        <v>66.916595458984375</v>
      </c>
      <c r="F19" s="4">
        <v>66.387786865234375</v>
      </c>
      <c r="G19" s="4">
        <v>66.450714111328125</v>
      </c>
      <c r="H19" s="4">
        <v>65.968307495117188</v>
      </c>
      <c r="I19" s="4">
        <v>65.565666198730469</v>
      </c>
      <c r="J19" s="4">
        <v>65.021095275878906</v>
      </c>
      <c r="K19" s="4">
        <v>63.95953369140625</v>
      </c>
      <c r="L19" s="4">
        <v>63.419502258300781</v>
      </c>
      <c r="M19" s="4">
        <v>63.283432006835938</v>
      </c>
      <c r="N19" s="4">
        <v>63.417453765869141</v>
      </c>
      <c r="O19" s="4">
        <v>63.389301300048828</v>
      </c>
      <c r="P19" s="4">
        <v>63.396125793457031</v>
      </c>
      <c r="Q19" s="4">
        <v>63.948707580566406</v>
      </c>
      <c r="R19" s="4">
        <v>63.777130126953125</v>
      </c>
      <c r="S19" s="4">
        <v>63.720954895019531</v>
      </c>
      <c r="T19" s="4">
        <v>63.500099182128906</v>
      </c>
      <c r="U19" s="4">
        <v>63.217769622802734</v>
      </c>
      <c r="V19" s="4">
        <v>62.571929931640625</v>
      </c>
      <c r="W19" s="4">
        <v>62.297706604003906</v>
      </c>
      <c r="X19" s="4">
        <v>61.4058837890625</v>
      </c>
      <c r="Y19" s="4">
        <v>60.071086883544922</v>
      </c>
      <c r="Z19" s="4">
        <v>59.077625274658203</v>
      </c>
      <c r="AA19" s="4">
        <v>58.322654724121094</v>
      </c>
      <c r="AB19" s="4">
        <v>56.493515014648438</v>
      </c>
      <c r="AC19" s="4">
        <v>55.71087646484375</v>
      </c>
      <c r="AD19" s="4">
        <v>54.768753051757813</v>
      </c>
      <c r="AE19" s="4">
        <v>53.825725555419922</v>
      </c>
      <c r="AG19" s="4">
        <f t="shared" si="0"/>
        <v>61.314214186234906</v>
      </c>
    </row>
    <row r="20" spans="1:33" x14ac:dyDescent="0.2">
      <c r="A20" s="3" t="s">
        <v>97</v>
      </c>
      <c r="B20" s="3" t="s">
        <v>98</v>
      </c>
      <c r="C20" s="4">
        <v>47.675121307373047</v>
      </c>
      <c r="D20" s="4">
        <v>48.774036407470703</v>
      </c>
      <c r="E20" s="4">
        <v>47.455085754394531</v>
      </c>
      <c r="F20" s="4">
        <v>50.01507568359375</v>
      </c>
      <c r="G20" s="4">
        <v>50.161880493164063</v>
      </c>
      <c r="H20" s="4">
        <v>50.050102233886719</v>
      </c>
      <c r="I20" s="4">
        <v>47.806060791015625</v>
      </c>
      <c r="J20" s="4">
        <v>44.9810791015625</v>
      </c>
      <c r="K20" s="4">
        <v>42.513050079345703</v>
      </c>
      <c r="L20" s="4">
        <v>40.544361114501953</v>
      </c>
      <c r="M20" s="4">
        <v>39.086780548095703</v>
      </c>
      <c r="N20" s="4">
        <v>38.080944061279297</v>
      </c>
      <c r="O20" s="4">
        <v>37.031097412109375</v>
      </c>
      <c r="P20" s="4">
        <v>35.892284393310547</v>
      </c>
      <c r="Q20" s="4">
        <v>34.954280853271484</v>
      </c>
      <c r="R20" s="4">
        <v>34.037944793701172</v>
      </c>
      <c r="S20" s="4">
        <v>33.301700592041016</v>
      </c>
      <c r="T20" s="4">
        <v>32.800628662109375</v>
      </c>
      <c r="U20" s="4">
        <v>32.161544799804688</v>
      </c>
      <c r="V20" s="4">
        <v>31.379127502441406</v>
      </c>
      <c r="W20" s="4">
        <v>30.894014358520508</v>
      </c>
      <c r="X20" s="4">
        <v>30.303594589233398</v>
      </c>
      <c r="Y20" s="4">
        <v>29.950279235839844</v>
      </c>
      <c r="Z20" s="4">
        <v>29.755821228027344</v>
      </c>
      <c r="AA20" s="4">
        <v>29.309909820556641</v>
      </c>
      <c r="AB20" s="4">
        <v>29.08831787109375</v>
      </c>
      <c r="AC20" s="4">
        <v>28.67527961730957</v>
      </c>
      <c r="AD20" s="4">
        <v>28.477617263793945</v>
      </c>
      <c r="AE20" s="4">
        <v>28.149969100952148</v>
      </c>
      <c r="AG20" s="4">
        <f t="shared" si="0"/>
        <v>31.180262132124469</v>
      </c>
    </row>
    <row r="21" spans="1:33" x14ac:dyDescent="0.2">
      <c r="A21" s="3" t="s">
        <v>4</v>
      </c>
      <c r="B21" s="3" t="s">
        <v>36</v>
      </c>
      <c r="C21" s="4">
        <v>40.517189025878906</v>
      </c>
      <c r="D21" s="4">
        <v>40.006645202636719</v>
      </c>
      <c r="E21" s="4">
        <v>39.112777709960938</v>
      </c>
      <c r="F21" s="4">
        <v>38.386875152587891</v>
      </c>
      <c r="G21" s="4">
        <v>37.661823272705078</v>
      </c>
      <c r="H21" s="4">
        <v>37.338226318359375</v>
      </c>
      <c r="I21" s="4">
        <v>36.224029541015625</v>
      </c>
      <c r="J21" s="4">
        <v>36.538963317871094</v>
      </c>
      <c r="K21" s="4">
        <v>35.532329559326172</v>
      </c>
      <c r="L21" s="4">
        <v>35.408695220947266</v>
      </c>
      <c r="M21" s="4">
        <v>34.630714416503906</v>
      </c>
      <c r="N21" s="4">
        <v>33.686943054199219</v>
      </c>
      <c r="O21" s="4">
        <v>33.711654663085938</v>
      </c>
      <c r="P21" s="4">
        <v>32.566307067871094</v>
      </c>
      <c r="Q21" s="4">
        <v>32.608757019042969</v>
      </c>
      <c r="R21" s="4">
        <v>32.494319915771484</v>
      </c>
      <c r="S21" s="4">
        <v>31.893238067626953</v>
      </c>
      <c r="T21" s="4">
        <v>31.901401519775391</v>
      </c>
      <c r="U21" s="4">
        <v>31.376865386962891</v>
      </c>
      <c r="V21" s="4">
        <v>30.776809692382813</v>
      </c>
      <c r="W21" s="4">
        <v>29.910165786743164</v>
      </c>
      <c r="X21" s="4">
        <v>29.790370941162109</v>
      </c>
      <c r="Y21" s="4">
        <v>29.26475715637207</v>
      </c>
      <c r="Z21" s="4">
        <v>28.774374008178711</v>
      </c>
      <c r="AA21" s="4">
        <v>28.193695068359375</v>
      </c>
      <c r="AB21" s="4">
        <v>27.675235748291016</v>
      </c>
      <c r="AC21" s="4">
        <v>27.194240570068359</v>
      </c>
      <c r="AD21" s="4">
        <v>26.827049255371094</v>
      </c>
      <c r="AE21" s="4"/>
      <c r="AG21" s="4">
        <f t="shared" si="0"/>
        <v>30.18647575378418</v>
      </c>
    </row>
    <row r="22" spans="1:33" x14ac:dyDescent="0.2">
      <c r="A22" s="3" t="s">
        <v>99</v>
      </c>
      <c r="B22" s="3" t="s">
        <v>100</v>
      </c>
      <c r="C22" s="4">
        <v>38.837249755859375</v>
      </c>
      <c r="D22" s="4">
        <v>38.496963500976563</v>
      </c>
      <c r="E22" s="4">
        <v>38.099742889404297</v>
      </c>
      <c r="F22" s="4">
        <v>37.727962493896484</v>
      </c>
      <c r="G22" s="4">
        <v>37.249355316162109</v>
      </c>
      <c r="H22" s="4">
        <v>36.654918670654297</v>
      </c>
      <c r="I22" s="4">
        <v>35.693656921386719</v>
      </c>
      <c r="J22" s="4">
        <v>35.781990051269531</v>
      </c>
      <c r="K22" s="4">
        <v>35.582889556884766</v>
      </c>
      <c r="L22" s="4">
        <v>35.859889984130859</v>
      </c>
      <c r="M22" s="4">
        <v>36.015575408935547</v>
      </c>
      <c r="N22" s="4">
        <v>35.906791687011719</v>
      </c>
      <c r="O22" s="4">
        <v>36.033073425292969</v>
      </c>
      <c r="P22" s="4">
        <v>36.023487091064453</v>
      </c>
      <c r="Q22" s="4">
        <v>36.226127624511719</v>
      </c>
      <c r="R22" s="4">
        <v>36.279827117919922</v>
      </c>
      <c r="S22" s="4">
        <v>36.209247589111328</v>
      </c>
      <c r="T22" s="4">
        <v>36.004291534423828</v>
      </c>
      <c r="U22" s="4">
        <v>35.742767333984375</v>
      </c>
      <c r="V22" s="4">
        <v>35.421604156494141</v>
      </c>
      <c r="W22" s="4">
        <v>35.142780303955078</v>
      </c>
      <c r="X22" s="4">
        <v>34.814895629882813</v>
      </c>
      <c r="Y22" s="4">
        <v>34.474094390869141</v>
      </c>
      <c r="Z22" s="4">
        <v>34.143325805664063</v>
      </c>
      <c r="AA22" s="4">
        <v>33.952003479003906</v>
      </c>
      <c r="AB22" s="4">
        <v>33.738918304443359</v>
      </c>
      <c r="AC22" s="4">
        <v>33.4696044921875</v>
      </c>
      <c r="AD22" s="4">
        <v>33.369140625</v>
      </c>
      <c r="AE22" s="4">
        <v>33.369674682617188</v>
      </c>
      <c r="AG22" s="4">
        <f t="shared" si="0"/>
        <v>35.083977785977453</v>
      </c>
    </row>
    <row r="23" spans="1:33" x14ac:dyDescent="0.2">
      <c r="A23" s="3" t="s">
        <v>101</v>
      </c>
      <c r="B23" s="3" t="s">
        <v>102</v>
      </c>
      <c r="C23" s="4">
        <v>33.114753723144531</v>
      </c>
      <c r="D23" s="4">
        <v>32.762237548828125</v>
      </c>
      <c r="E23" s="4">
        <v>32.957328796386719</v>
      </c>
      <c r="F23" s="4">
        <v>32.350433349609375</v>
      </c>
      <c r="G23" s="4">
        <v>31.958139419555664</v>
      </c>
      <c r="H23" s="4">
        <v>31.514389038085938</v>
      </c>
      <c r="I23" s="4">
        <v>30.991291046142578</v>
      </c>
      <c r="J23" s="4">
        <v>30.440797805786133</v>
      </c>
      <c r="K23" s="4">
        <v>30.195852279663086</v>
      </c>
      <c r="L23" s="4">
        <v>30.501089096069336</v>
      </c>
      <c r="M23" s="4">
        <v>30.899599075317383</v>
      </c>
      <c r="N23" s="4">
        <v>30.723739624023438</v>
      </c>
      <c r="O23" s="4">
        <v>30.816082000732422</v>
      </c>
      <c r="P23" s="4">
        <v>31.042436599731445</v>
      </c>
      <c r="Q23" s="4">
        <v>31.177186965942383</v>
      </c>
      <c r="R23" s="4">
        <v>31.448474884033203</v>
      </c>
      <c r="S23" s="4">
        <v>31.476539611816406</v>
      </c>
      <c r="T23" s="4">
        <v>31.200929641723633</v>
      </c>
      <c r="U23" s="4">
        <v>31.124874114990234</v>
      </c>
      <c r="V23" s="4">
        <v>30.651691436767578</v>
      </c>
      <c r="W23" s="4">
        <v>30.593255996704102</v>
      </c>
      <c r="X23" s="4">
        <v>30.604808807373047</v>
      </c>
      <c r="Y23" s="4">
        <v>30.045356750488281</v>
      </c>
      <c r="Z23" s="4">
        <v>29.353084564208984</v>
      </c>
      <c r="AA23" s="4">
        <v>28.98811149597168</v>
      </c>
      <c r="AB23" s="4">
        <v>28.560213088989258</v>
      </c>
      <c r="AC23" s="4">
        <v>28.3663330078125</v>
      </c>
      <c r="AD23" s="4">
        <v>28.126996994018555</v>
      </c>
      <c r="AE23" s="4"/>
      <c r="AG23" s="4">
        <f t="shared" si="0"/>
        <v>30.367940035733309</v>
      </c>
    </row>
    <row r="24" spans="1:33" x14ac:dyDescent="0.2">
      <c r="A24" s="3" t="s">
        <v>103</v>
      </c>
      <c r="B24" s="3" t="s">
        <v>104</v>
      </c>
      <c r="C24" s="4">
        <v>39.182384490966797</v>
      </c>
      <c r="D24" s="4">
        <v>38.958534240722656</v>
      </c>
      <c r="E24" s="4">
        <v>39.026668548583984</v>
      </c>
      <c r="F24" s="4">
        <v>38.813381195068359</v>
      </c>
      <c r="G24" s="4">
        <v>39.372112274169922</v>
      </c>
      <c r="H24" s="4">
        <v>39.594070434570313</v>
      </c>
      <c r="I24" s="4">
        <v>40.595600128173828</v>
      </c>
      <c r="J24" s="4">
        <v>39.988471984863281</v>
      </c>
      <c r="K24" s="4">
        <v>39.236564636230469</v>
      </c>
      <c r="L24" s="4">
        <v>38.384086608886719</v>
      </c>
      <c r="M24" s="4">
        <v>37.539318084716797</v>
      </c>
      <c r="N24" s="4">
        <v>36.715091705322266</v>
      </c>
      <c r="O24" s="4">
        <v>36.061206817626953</v>
      </c>
      <c r="P24" s="4">
        <v>35.415969848632813</v>
      </c>
      <c r="Q24" s="4">
        <v>34.923099517822266</v>
      </c>
      <c r="R24" s="4">
        <v>34.307048797607422</v>
      </c>
      <c r="S24" s="4">
        <v>33.478435516357422</v>
      </c>
      <c r="T24" s="4">
        <v>32.700511932373047</v>
      </c>
      <c r="U24" s="4">
        <v>31.587261199951172</v>
      </c>
      <c r="V24" s="4">
        <v>30.842430114746094</v>
      </c>
      <c r="W24" s="4">
        <v>30.174354553222656</v>
      </c>
      <c r="X24" s="4">
        <v>29.825582504272461</v>
      </c>
      <c r="Y24" s="4">
        <v>29.43653678894043</v>
      </c>
      <c r="Z24" s="4">
        <v>29.059410095214844</v>
      </c>
      <c r="AA24" s="4">
        <v>28.863357543945313</v>
      </c>
      <c r="AB24" s="4">
        <v>28.64219856262207</v>
      </c>
      <c r="AC24" s="4">
        <v>28.509586334228516</v>
      </c>
      <c r="AD24" s="4">
        <v>28.290519714355469</v>
      </c>
      <c r="AE24" s="4">
        <v>27.848329544067383</v>
      </c>
      <c r="AG24" s="4">
        <f t="shared" si="0"/>
        <v>30.810647964477539</v>
      </c>
    </row>
    <row r="25" spans="1:33" x14ac:dyDescent="0.2">
      <c r="A25" s="3" t="s">
        <v>5</v>
      </c>
      <c r="B25" s="3" t="s">
        <v>37</v>
      </c>
      <c r="C25" s="4">
        <v>49.224998474121094</v>
      </c>
      <c r="D25" s="4">
        <v>48.576690673828125</v>
      </c>
      <c r="E25" s="4">
        <v>47.963905334472656</v>
      </c>
      <c r="F25" s="4">
        <v>47.539985656738281</v>
      </c>
      <c r="G25" s="4">
        <v>46.543361663818359</v>
      </c>
      <c r="H25" s="4">
        <v>46.147785186767578</v>
      </c>
      <c r="I25" s="4">
        <v>45.713546752929688</v>
      </c>
      <c r="J25" s="4">
        <v>45.123302459716797</v>
      </c>
      <c r="K25" s="4">
        <v>44.561222076416016</v>
      </c>
      <c r="L25" s="4">
        <v>44.34698486328125</v>
      </c>
      <c r="M25" s="4">
        <v>43.777759552001953</v>
      </c>
      <c r="N25" s="4">
        <v>43.242164611816406</v>
      </c>
      <c r="O25" s="4">
        <v>42.759796142578125</v>
      </c>
      <c r="P25" s="4">
        <v>42.236492156982422</v>
      </c>
      <c r="Q25" s="4">
        <v>41.618301391601563</v>
      </c>
      <c r="R25" s="4">
        <v>40.918411254882813</v>
      </c>
      <c r="S25" s="4">
        <v>40.374088287353516</v>
      </c>
      <c r="T25" s="4">
        <v>39.600021362304688</v>
      </c>
      <c r="U25" s="4">
        <v>38.964076995849609</v>
      </c>
      <c r="V25" s="4">
        <v>38.176845550537109</v>
      </c>
      <c r="W25" s="4">
        <v>37.266391754150391</v>
      </c>
      <c r="X25" s="4">
        <v>36.167015075683594</v>
      </c>
      <c r="Y25" s="4">
        <v>35.034637451171875</v>
      </c>
      <c r="Z25" s="4">
        <v>33.955554962158203</v>
      </c>
      <c r="AA25" s="4">
        <v>33.212013244628906</v>
      </c>
      <c r="AB25" s="4">
        <v>32.638618469238281</v>
      </c>
      <c r="AC25" s="4">
        <v>32.003524780273438</v>
      </c>
      <c r="AD25" s="4">
        <v>31.639020919799805</v>
      </c>
      <c r="AE25" s="4">
        <v>31.202632904052734</v>
      </c>
      <c r="AG25" s="4">
        <f t="shared" si="0"/>
        <v>36.937061309814453</v>
      </c>
    </row>
    <row r="26" spans="1:33" x14ac:dyDescent="0.2">
      <c r="A26" s="3" t="s">
        <v>105</v>
      </c>
      <c r="B26" s="3" t="s">
        <v>106</v>
      </c>
      <c r="C26" s="4">
        <v>39.916046142578125</v>
      </c>
      <c r="D26" s="4">
        <v>40.003864288330078</v>
      </c>
      <c r="E26" s="4">
        <v>39.987773895263672</v>
      </c>
      <c r="F26" s="4">
        <v>39.910984039306641</v>
      </c>
      <c r="G26" s="4">
        <v>40.240879058837891</v>
      </c>
      <c r="H26" s="4">
        <v>40.354835510253906</v>
      </c>
      <c r="I26" s="4">
        <v>40.389015197753906</v>
      </c>
      <c r="J26" s="4">
        <v>40.5010986328125</v>
      </c>
      <c r="K26" s="4">
        <v>40.544879913330078</v>
      </c>
      <c r="L26" s="4">
        <v>40.180702209472656</v>
      </c>
      <c r="M26" s="4">
        <v>39.909675598144531</v>
      </c>
      <c r="N26" s="4">
        <v>39.887794494628906</v>
      </c>
      <c r="O26" s="4">
        <v>40.118583679199219</v>
      </c>
      <c r="P26" s="4">
        <v>39.970367431640625</v>
      </c>
      <c r="Q26" s="4">
        <v>39.590538024902344</v>
      </c>
      <c r="R26" s="4">
        <v>39.405448913574219</v>
      </c>
      <c r="S26" s="4">
        <v>39.571907043457031</v>
      </c>
      <c r="T26" s="4">
        <v>39.600975036621094</v>
      </c>
      <c r="U26" s="4">
        <v>39.391258239746094</v>
      </c>
      <c r="V26" s="4">
        <v>39.209632873535156</v>
      </c>
      <c r="W26" s="4">
        <v>38.724407196044922</v>
      </c>
      <c r="X26" s="4">
        <v>38.423320770263672</v>
      </c>
      <c r="Y26" s="4">
        <v>37.873348236083984</v>
      </c>
      <c r="Z26" s="4">
        <v>37.301570892333984</v>
      </c>
      <c r="AA26" s="4">
        <v>36.960056304931641</v>
      </c>
      <c r="AB26" s="4">
        <v>36.829334259033203</v>
      </c>
      <c r="AC26" s="4">
        <v>36.618175506591797</v>
      </c>
      <c r="AD26" s="4">
        <v>36.633827209472656</v>
      </c>
      <c r="AE26" s="4"/>
      <c r="AG26" s="4">
        <f t="shared" si="0"/>
        <v>38.48102361505682</v>
      </c>
    </row>
    <row r="27" spans="1:33" x14ac:dyDescent="0.2">
      <c r="A27" s="3" t="s">
        <v>107</v>
      </c>
      <c r="B27" s="3" t="s">
        <v>40</v>
      </c>
      <c r="C27" s="4">
        <v>39.474937438964844</v>
      </c>
      <c r="D27" s="4">
        <v>39.278533935546875</v>
      </c>
      <c r="E27" s="4">
        <v>39.001266479492188</v>
      </c>
      <c r="F27" s="4">
        <v>38.723320007324219</v>
      </c>
      <c r="G27" s="4">
        <v>38.445365905761719</v>
      </c>
      <c r="H27" s="4">
        <v>37.984119415283203</v>
      </c>
      <c r="I27" s="4">
        <v>37.867820739746094</v>
      </c>
      <c r="J27" s="4">
        <v>37.39605712890625</v>
      </c>
      <c r="K27" s="4">
        <v>37.265045166015625</v>
      </c>
      <c r="L27" s="4">
        <v>36.839832305908203</v>
      </c>
      <c r="M27" s="4">
        <v>36.871109008789063</v>
      </c>
      <c r="N27" s="4">
        <v>36.470943450927734</v>
      </c>
      <c r="O27" s="4">
        <v>36.01885986328125</v>
      </c>
      <c r="P27" s="4">
        <v>35.55419921875</v>
      </c>
      <c r="Q27" s="4">
        <v>35.045185089111328</v>
      </c>
      <c r="R27" s="4">
        <v>34.555908203125</v>
      </c>
      <c r="S27" s="4">
        <v>34.166881561279297</v>
      </c>
      <c r="T27" s="4">
        <v>33.400978088378906</v>
      </c>
      <c r="U27" s="4">
        <v>32.753856658935547</v>
      </c>
      <c r="V27" s="4">
        <v>32.209159851074219</v>
      </c>
      <c r="W27" s="4">
        <v>31.605899810791016</v>
      </c>
      <c r="X27" s="4">
        <v>31.037763595581055</v>
      </c>
      <c r="Y27" s="4">
        <v>30.813724517822266</v>
      </c>
      <c r="Z27" s="4">
        <v>30.581777572631836</v>
      </c>
      <c r="AA27" s="4">
        <v>30.26679801940918</v>
      </c>
      <c r="AB27" s="4">
        <v>30.136936187744141</v>
      </c>
      <c r="AC27" s="4">
        <v>30.035600662231445</v>
      </c>
      <c r="AD27" s="4">
        <v>29.907257080078125</v>
      </c>
      <c r="AE27" s="4"/>
      <c r="AG27" s="4">
        <f t="shared" si="0"/>
        <v>31.957244006070223</v>
      </c>
    </row>
    <row r="28" spans="1:33" x14ac:dyDescent="0.2">
      <c r="A28" s="3" t="s">
        <v>6</v>
      </c>
      <c r="B28" s="3" t="s">
        <v>38</v>
      </c>
      <c r="C28" s="4">
        <v>54.448173522949219</v>
      </c>
      <c r="D28" s="4">
        <v>54.436195373535156</v>
      </c>
      <c r="E28" s="4">
        <v>54.348396301269531</v>
      </c>
      <c r="F28" s="4">
        <v>54.207115173339844</v>
      </c>
      <c r="G28" s="4">
        <v>53.766677856445313</v>
      </c>
      <c r="H28" s="4">
        <v>53.636123657226563</v>
      </c>
      <c r="I28" s="4">
        <v>53.247417449951172</v>
      </c>
      <c r="J28" s="4">
        <v>52.975227355957031</v>
      </c>
      <c r="K28" s="4">
        <v>52.910499572753906</v>
      </c>
      <c r="L28" s="4">
        <v>52.282054901123047</v>
      </c>
      <c r="M28" s="4">
        <v>51.429931640625</v>
      </c>
      <c r="N28" s="4">
        <v>50.988502502441406</v>
      </c>
      <c r="O28" s="4">
        <v>49.687980651855469</v>
      </c>
      <c r="P28" s="4">
        <v>48.86773681640625</v>
      </c>
      <c r="Q28" s="4">
        <v>48.260566711425781</v>
      </c>
      <c r="R28" s="4">
        <v>47.559455871582031</v>
      </c>
      <c r="S28" s="4">
        <v>46.886913299560547</v>
      </c>
      <c r="T28" s="4">
        <v>46.003181457519531</v>
      </c>
      <c r="U28" s="4">
        <v>45.106769561767578</v>
      </c>
      <c r="V28" s="4">
        <v>44.010959625244141</v>
      </c>
      <c r="W28" s="4">
        <v>43.337150573730469</v>
      </c>
      <c r="X28" s="4">
        <v>42.698806762695313</v>
      </c>
      <c r="Y28" s="4">
        <v>41.851089477539063</v>
      </c>
      <c r="Z28" s="4">
        <v>40.943939208984375</v>
      </c>
      <c r="AA28" s="4">
        <v>40.023021697998047</v>
      </c>
      <c r="AB28" s="4">
        <v>39.159370422363281</v>
      </c>
      <c r="AC28" s="4">
        <v>38.219322204589844</v>
      </c>
      <c r="AD28" s="4">
        <v>37.39794921875</v>
      </c>
      <c r="AE28" s="4">
        <v>36.601799011230469</v>
      </c>
      <c r="AG28" s="4">
        <f t="shared" si="0"/>
        <v>43.416423450816758</v>
      </c>
    </row>
    <row r="29" spans="1:33" x14ac:dyDescent="0.2">
      <c r="A29" s="3" t="s">
        <v>7</v>
      </c>
      <c r="B29" s="3" t="s">
        <v>39</v>
      </c>
      <c r="C29" s="4">
        <v>32.145084381103516</v>
      </c>
      <c r="D29" s="4">
        <v>32.248161315917969</v>
      </c>
      <c r="E29" s="4">
        <v>32.515552520751953</v>
      </c>
      <c r="F29" s="4">
        <v>32.569290161132813</v>
      </c>
      <c r="G29" s="4">
        <v>32.596416473388672</v>
      </c>
      <c r="H29" s="4">
        <v>32.680553436279297</v>
      </c>
      <c r="I29" s="4">
        <v>32.6973876953125</v>
      </c>
      <c r="J29" s="4">
        <v>32.643623352050781</v>
      </c>
      <c r="K29" s="4">
        <v>32.551570892333984</v>
      </c>
      <c r="L29" s="4">
        <v>32.441440582275391</v>
      </c>
      <c r="M29" s="4">
        <v>32.325916290283203</v>
      </c>
      <c r="N29" s="4">
        <v>32.056571960449219</v>
      </c>
      <c r="O29" s="4">
        <v>31.873142242431641</v>
      </c>
      <c r="P29" s="4">
        <v>31.774553298950195</v>
      </c>
      <c r="Q29" s="4">
        <v>31.6195068359375</v>
      </c>
      <c r="R29" s="4">
        <v>31.495326995849609</v>
      </c>
      <c r="S29" s="4">
        <v>31.459802627563477</v>
      </c>
      <c r="T29" s="4">
        <v>31.400707244873047</v>
      </c>
      <c r="U29" s="4">
        <v>31.173709869384766</v>
      </c>
      <c r="V29" s="4">
        <v>30.983760833740234</v>
      </c>
      <c r="W29" s="4">
        <v>30.796380996704102</v>
      </c>
      <c r="X29" s="4">
        <v>30.572164535522461</v>
      </c>
      <c r="Y29" s="4">
        <v>30.340585708618164</v>
      </c>
      <c r="Z29" s="4">
        <v>30.080854415893555</v>
      </c>
      <c r="AA29" s="4">
        <v>29.800024032592773</v>
      </c>
      <c r="AB29" s="4">
        <v>29.519197463989258</v>
      </c>
      <c r="AC29" s="4">
        <v>29.232379913330078</v>
      </c>
      <c r="AD29" s="4">
        <v>28.97161865234375</v>
      </c>
      <c r="AE29" s="4">
        <v>28.692249298095703</v>
      </c>
      <c r="AG29" s="4">
        <f t="shared" si="0"/>
        <v>30.692955884066496</v>
      </c>
    </row>
    <row r="30" spans="1:33" x14ac:dyDescent="0.2">
      <c r="A30" s="3" t="s">
        <v>108</v>
      </c>
      <c r="B30" s="3" t="s">
        <v>109</v>
      </c>
      <c r="C30" s="4">
        <v>16.751848220825195</v>
      </c>
      <c r="D30" s="4">
        <v>16.527992248535156</v>
      </c>
      <c r="E30" s="4">
        <v>16.382053375244141</v>
      </c>
      <c r="F30" s="4">
        <v>16.304912567138672</v>
      </c>
      <c r="G30" s="4">
        <v>16.265739440917969</v>
      </c>
      <c r="H30" s="4">
        <v>16.231861114501953</v>
      </c>
      <c r="I30" s="4">
        <v>16.174135208129883</v>
      </c>
      <c r="J30" s="4">
        <v>16.093175888061523</v>
      </c>
      <c r="K30" s="4">
        <v>16.019084930419922</v>
      </c>
      <c r="L30" s="4">
        <v>15.976177215576172</v>
      </c>
      <c r="M30" s="4">
        <v>15.931148529052734</v>
      </c>
      <c r="N30" s="4">
        <v>15.814812660217285</v>
      </c>
      <c r="O30" s="4">
        <v>15.764874458312988</v>
      </c>
      <c r="P30" s="4">
        <v>15.699036598205566</v>
      </c>
      <c r="Q30" s="4">
        <v>15.617550849914551</v>
      </c>
      <c r="R30" s="4">
        <v>15.522236824035645</v>
      </c>
      <c r="S30" s="4">
        <v>15.399580001831055</v>
      </c>
      <c r="T30" s="4">
        <v>15.300813674926758</v>
      </c>
      <c r="U30" s="4">
        <v>15.190258979797363</v>
      </c>
      <c r="V30" s="4">
        <v>15.001069068908691</v>
      </c>
      <c r="W30" s="4">
        <v>14.949337005615234</v>
      </c>
      <c r="X30" s="4">
        <v>14.891534805297852</v>
      </c>
      <c r="Y30" s="4">
        <v>14.777856826782227</v>
      </c>
      <c r="Z30" s="4">
        <v>14.687093734741211</v>
      </c>
      <c r="AA30" s="4">
        <v>14.582058906555176</v>
      </c>
      <c r="AB30" s="4">
        <v>14.487110137939453</v>
      </c>
      <c r="AC30" s="4">
        <v>14.409974098205566</v>
      </c>
      <c r="AD30" s="4">
        <v>14.362709045410156</v>
      </c>
      <c r="AE30" s="4">
        <v>14.296510696411133</v>
      </c>
      <c r="AG30" s="4">
        <f t="shared" si="0"/>
        <v>14.980813633311879</v>
      </c>
    </row>
    <row r="31" spans="1:33" x14ac:dyDescent="0.2">
      <c r="A31" s="3" t="s">
        <v>110</v>
      </c>
      <c r="B31" s="3" t="s">
        <v>111</v>
      </c>
      <c r="C31" s="4">
        <v>42.216220855712891</v>
      </c>
      <c r="D31" s="4">
        <v>42.080654144287109</v>
      </c>
      <c r="E31" s="4">
        <v>42.07904052734375</v>
      </c>
      <c r="F31" s="4">
        <v>42.495708465576172</v>
      </c>
      <c r="G31" s="4">
        <v>42.547801971435547</v>
      </c>
      <c r="H31" s="4">
        <v>42.662559509277344</v>
      </c>
      <c r="I31" s="4">
        <v>43.388359069824219</v>
      </c>
      <c r="J31" s="4">
        <v>43.724613189697266</v>
      </c>
      <c r="K31" s="4">
        <v>43.988147735595703</v>
      </c>
      <c r="L31" s="4">
        <v>43.416801452636719</v>
      </c>
      <c r="M31" s="4">
        <v>43.525867462158203</v>
      </c>
      <c r="N31" s="4">
        <v>43.804965972900391</v>
      </c>
      <c r="O31" s="4">
        <v>43.907955169677734</v>
      </c>
      <c r="P31" s="4">
        <v>43.454311370849609</v>
      </c>
      <c r="Q31" s="4">
        <v>44.774391174316406</v>
      </c>
      <c r="R31" s="4">
        <v>44.792438507080078</v>
      </c>
      <c r="S31" s="4">
        <v>44.936988830566406</v>
      </c>
      <c r="T31" s="4">
        <v>45.100322723388672</v>
      </c>
      <c r="U31" s="4">
        <v>45.163162231445313</v>
      </c>
      <c r="V31" s="4">
        <v>45.215953826904297</v>
      </c>
      <c r="W31" s="4">
        <v>45.127983093261719</v>
      </c>
      <c r="X31" s="4">
        <v>45.110439300537109</v>
      </c>
      <c r="Y31" s="4">
        <v>44.9622802734375</v>
      </c>
      <c r="Z31" s="4">
        <v>44.912250518798828</v>
      </c>
      <c r="AA31" s="4">
        <v>45.227401733398438</v>
      </c>
      <c r="AB31" s="4">
        <v>45.205123901367188</v>
      </c>
      <c r="AC31" s="4">
        <v>45.371334075927734</v>
      </c>
      <c r="AD31" s="4">
        <v>45.641643524169922</v>
      </c>
      <c r="AE31" s="4"/>
      <c r="AG31" s="4">
        <f t="shared" si="0"/>
        <v>45.068576812744141</v>
      </c>
    </row>
    <row r="32" spans="1:33" x14ac:dyDescent="0.2">
      <c r="A32" s="3" t="s">
        <v>112</v>
      </c>
      <c r="B32" s="3" t="s">
        <v>113</v>
      </c>
      <c r="C32" s="4">
        <v>49.842853546142578</v>
      </c>
      <c r="D32" s="4">
        <v>49.937191009521484</v>
      </c>
      <c r="E32" s="4">
        <v>49.985702514648438</v>
      </c>
      <c r="F32" s="4">
        <v>50.074100494384766</v>
      </c>
      <c r="G32" s="4">
        <v>50.238735198974609</v>
      </c>
      <c r="H32" s="4">
        <v>50.445674896240234</v>
      </c>
      <c r="I32" s="4">
        <v>50.577796936035156</v>
      </c>
      <c r="J32" s="4">
        <v>50.771881103515625</v>
      </c>
      <c r="K32" s="4">
        <v>50.870822906494141</v>
      </c>
      <c r="L32" s="4">
        <v>50.884227752685547</v>
      </c>
      <c r="M32" s="4">
        <v>50.920982360839844</v>
      </c>
      <c r="N32" s="4">
        <v>49.692928314208984</v>
      </c>
      <c r="O32" s="4">
        <v>47.125526428222656</v>
      </c>
      <c r="P32" s="4">
        <v>45.810749053955078</v>
      </c>
      <c r="Q32" s="4">
        <v>45.107383728027344</v>
      </c>
      <c r="R32" s="4">
        <v>44.362907409667969</v>
      </c>
      <c r="S32" s="4">
        <v>43.125503540039063</v>
      </c>
      <c r="T32" s="4">
        <v>42.202968597412109</v>
      </c>
      <c r="U32" s="4">
        <v>41.400421142578125</v>
      </c>
      <c r="V32" s="4">
        <v>40.627365112304688</v>
      </c>
      <c r="W32" s="4">
        <v>39.951618194580078</v>
      </c>
      <c r="X32" s="4">
        <v>38.706218719482422</v>
      </c>
      <c r="Y32" s="4">
        <v>37.814472198486328</v>
      </c>
      <c r="Z32" s="4">
        <v>37.062152862548828</v>
      </c>
      <c r="AA32" s="4">
        <v>36.663414001464844</v>
      </c>
      <c r="AB32" s="4">
        <v>36.441493988037109</v>
      </c>
      <c r="AC32" s="4">
        <v>36.477668762207031</v>
      </c>
      <c r="AD32" s="4">
        <v>36.392059326171875</v>
      </c>
      <c r="AE32" s="4"/>
      <c r="AG32" s="4">
        <f t="shared" si="0"/>
        <v>39.850775978781961</v>
      </c>
    </row>
    <row r="33" spans="1:33" x14ac:dyDescent="0.2">
      <c r="A33" s="3" t="s">
        <v>114</v>
      </c>
      <c r="B33" s="3" t="s">
        <v>115</v>
      </c>
      <c r="C33" s="4">
        <v>23.080686569213867</v>
      </c>
      <c r="D33" s="4">
        <v>22.842073440551758</v>
      </c>
      <c r="E33" s="4">
        <v>22.666566848754883</v>
      </c>
      <c r="F33" s="4">
        <v>22.438512802124023</v>
      </c>
      <c r="G33" s="4">
        <v>22.037822723388672</v>
      </c>
      <c r="H33" s="4">
        <v>21.595405578613281</v>
      </c>
      <c r="I33" s="4">
        <v>21.136936187744141</v>
      </c>
      <c r="J33" s="4">
        <v>20.776630401611328</v>
      </c>
      <c r="K33" s="4">
        <v>20.463834762573242</v>
      </c>
      <c r="L33" s="4">
        <v>20.159603118896484</v>
      </c>
      <c r="M33" s="4">
        <v>19.975742340087891</v>
      </c>
      <c r="N33" s="4">
        <v>19.755571365356445</v>
      </c>
      <c r="O33" s="4">
        <v>19.58173942565918</v>
      </c>
      <c r="P33" s="4">
        <v>19.479156494140625</v>
      </c>
      <c r="Q33" s="4">
        <v>19.305034637451172</v>
      </c>
      <c r="R33" s="4">
        <v>19.095335006713867</v>
      </c>
      <c r="S33" s="4">
        <v>18.800243377685547</v>
      </c>
      <c r="T33" s="4">
        <v>18.50140380859375</v>
      </c>
      <c r="U33" s="4">
        <v>18.141231536865234</v>
      </c>
      <c r="V33" s="4">
        <v>17.769241333007813</v>
      </c>
      <c r="W33" s="4">
        <v>17.656095504760742</v>
      </c>
      <c r="X33" s="4">
        <v>17.426246643066406</v>
      </c>
      <c r="Y33" s="4">
        <v>17.151617050170898</v>
      </c>
      <c r="Z33" s="4">
        <v>17.011035919189453</v>
      </c>
      <c r="AA33" s="4">
        <v>16.797914505004883</v>
      </c>
      <c r="AB33" s="4">
        <v>16.582534790039063</v>
      </c>
      <c r="AC33" s="4">
        <v>16.383676528930664</v>
      </c>
      <c r="AD33" s="4">
        <v>16.2196044921875</v>
      </c>
      <c r="AE33" s="4">
        <v>16.053699493408203</v>
      </c>
      <c r="AG33" s="4">
        <f t="shared" si="0"/>
        <v>17.721172679554332</v>
      </c>
    </row>
    <row r="34" spans="1:33" x14ac:dyDescent="0.2">
      <c r="A34" s="3" t="s">
        <v>116</v>
      </c>
      <c r="B34" s="3" t="s">
        <v>117</v>
      </c>
      <c r="C34" s="4">
        <v>18.88764762878418</v>
      </c>
      <c r="D34" s="4">
        <v>18.606061935424805</v>
      </c>
      <c r="E34" s="4">
        <v>18.165237426757813</v>
      </c>
      <c r="F34" s="4">
        <v>17.6141357421875</v>
      </c>
      <c r="G34" s="4">
        <v>17.145936965942383</v>
      </c>
      <c r="H34" s="4">
        <v>16.753711700439453</v>
      </c>
      <c r="I34" s="4">
        <v>16.320756912231445</v>
      </c>
      <c r="J34" s="4">
        <v>15.84958553314209</v>
      </c>
      <c r="K34" s="4">
        <v>15.354787826538086</v>
      </c>
      <c r="L34" s="4">
        <v>14.897082328796387</v>
      </c>
      <c r="M34" s="4">
        <v>14.507928848266602</v>
      </c>
      <c r="N34" s="4">
        <v>14.144793510437012</v>
      </c>
      <c r="O34" s="4">
        <v>13.774612426757813</v>
      </c>
      <c r="P34" s="4">
        <v>13.379284858703613</v>
      </c>
      <c r="Q34" s="4">
        <v>12.981782913208008</v>
      </c>
      <c r="R34" s="4">
        <v>12.565180778503418</v>
      </c>
      <c r="S34" s="4">
        <v>12.219554901123047</v>
      </c>
      <c r="T34" s="4">
        <v>11.90015983581543</v>
      </c>
      <c r="U34" s="4">
        <v>11.574294090270996</v>
      </c>
      <c r="V34" s="4">
        <v>11.182310104370117</v>
      </c>
      <c r="W34" s="4">
        <v>10.803558349609375</v>
      </c>
      <c r="X34" s="4">
        <v>10.445053100585938</v>
      </c>
      <c r="Y34" s="4">
        <v>10.102781295776367</v>
      </c>
      <c r="Z34" s="4">
        <v>9.7755537033081055</v>
      </c>
      <c r="AA34" s="4">
        <v>9.4836664199829102</v>
      </c>
      <c r="AB34" s="4">
        <v>9.212611198425293</v>
      </c>
      <c r="AC34" s="4">
        <v>8.9545230865478516</v>
      </c>
      <c r="AD34" s="4">
        <v>8.7205610275268555</v>
      </c>
      <c r="AE34" s="4">
        <v>8.5519781112670898</v>
      </c>
      <c r="AG34" s="4">
        <f t="shared" si="0"/>
        <v>10.842247616161</v>
      </c>
    </row>
    <row r="35" spans="1:33" x14ac:dyDescent="0.2">
      <c r="A35" s="3" t="s">
        <v>118</v>
      </c>
      <c r="B35" s="3" t="s">
        <v>119</v>
      </c>
      <c r="C35" s="4">
        <v>35.384994506835938</v>
      </c>
      <c r="D35" s="4">
        <v>35.598030090332031</v>
      </c>
      <c r="E35" s="4">
        <v>35.386283874511719</v>
      </c>
      <c r="F35" s="4">
        <v>35.288101196289063</v>
      </c>
      <c r="G35" s="4">
        <v>35.003986358642578</v>
      </c>
      <c r="H35" s="4">
        <v>34.867431640625</v>
      </c>
      <c r="I35" s="4">
        <v>34.450431823730469</v>
      </c>
      <c r="J35" s="4">
        <v>34.181262969970703</v>
      </c>
      <c r="K35" s="4">
        <v>33.901313781738281</v>
      </c>
      <c r="L35" s="4">
        <v>33.760009765625</v>
      </c>
      <c r="M35" s="4">
        <v>34.213039398193359</v>
      </c>
      <c r="N35" s="4">
        <v>34.264190673828125</v>
      </c>
      <c r="O35" s="4">
        <v>34.2730712890625</v>
      </c>
      <c r="P35" s="4">
        <v>34.4404296875</v>
      </c>
      <c r="Q35" s="4">
        <v>34.271919250488281</v>
      </c>
      <c r="R35" s="4">
        <v>34.198036193847656</v>
      </c>
      <c r="S35" s="4">
        <v>33.817916870117188</v>
      </c>
      <c r="T35" s="4">
        <v>33.501110076904297</v>
      </c>
      <c r="U35" s="4">
        <v>33.213050842285156</v>
      </c>
      <c r="V35" s="4">
        <v>33.116523742675781</v>
      </c>
      <c r="W35" s="4">
        <v>32.982463836669922</v>
      </c>
      <c r="X35" s="4">
        <v>32.781333923339844</v>
      </c>
      <c r="Y35" s="4">
        <v>32.475612640380859</v>
      </c>
      <c r="Z35" s="4">
        <v>32.019992828369141</v>
      </c>
      <c r="AA35" s="4">
        <v>31.600042343139648</v>
      </c>
      <c r="AB35" s="4">
        <v>31.215885162353516</v>
      </c>
      <c r="AC35" s="4">
        <v>30.82209587097168</v>
      </c>
      <c r="AD35" s="4">
        <v>30.457725524902344</v>
      </c>
      <c r="AE35" s="4">
        <v>30.160215377807617</v>
      </c>
      <c r="AG35" s="4">
        <f t="shared" si="0"/>
        <v>32.811088041825727</v>
      </c>
    </row>
    <row r="36" spans="1:33" x14ac:dyDescent="0.2">
      <c r="A36" s="3" t="s">
        <v>120</v>
      </c>
      <c r="B36" s="3" t="s">
        <v>121</v>
      </c>
      <c r="C36" s="4">
        <v>35.7703857421875</v>
      </c>
      <c r="D36" s="4">
        <v>35.861579895019531</v>
      </c>
      <c r="E36" s="4">
        <v>36.266944885253906</v>
      </c>
      <c r="F36" s="4">
        <v>36.442516326904297</v>
      </c>
      <c r="G36" s="4">
        <v>36.575950622558594</v>
      </c>
      <c r="H36" s="4">
        <v>36.762081146240234</v>
      </c>
      <c r="I36" s="4">
        <v>37.040508270263672</v>
      </c>
      <c r="J36" s="4">
        <v>37.218559265136719</v>
      </c>
      <c r="K36" s="4">
        <v>37.269367218017578</v>
      </c>
      <c r="L36" s="4">
        <v>37.495552062988281</v>
      </c>
      <c r="M36" s="4">
        <v>37.663204193115234</v>
      </c>
      <c r="N36" s="4">
        <v>37.811595916748047</v>
      </c>
      <c r="O36" s="4">
        <v>37.929096221923828</v>
      </c>
      <c r="P36" s="4">
        <v>38.248123168945313</v>
      </c>
      <c r="Q36" s="4">
        <v>38.489368438720703</v>
      </c>
      <c r="R36" s="4">
        <v>38.883255004882813</v>
      </c>
      <c r="S36" s="4">
        <v>39.173934936523438</v>
      </c>
      <c r="T36" s="4">
        <v>39.401050567626953</v>
      </c>
      <c r="U36" s="4">
        <v>39.743812561035156</v>
      </c>
      <c r="V36" s="4">
        <v>39.982425689697266</v>
      </c>
      <c r="W36" s="4">
        <v>40.475154876708984</v>
      </c>
      <c r="X36" s="4">
        <v>40.709621429443359</v>
      </c>
      <c r="Y36" s="4">
        <v>40.756023406982422</v>
      </c>
      <c r="Z36" s="4">
        <v>40.977512359619141</v>
      </c>
      <c r="AA36" s="4">
        <v>41.029926300048828</v>
      </c>
      <c r="AB36" s="4">
        <v>41.223800659179688</v>
      </c>
      <c r="AC36" s="4">
        <v>41.367061614990234</v>
      </c>
      <c r="AD36" s="4">
        <v>41.421501159667969</v>
      </c>
      <c r="AE36" s="4"/>
      <c r="AG36" s="4">
        <f t="shared" si="0"/>
        <v>40.214228890158914</v>
      </c>
    </row>
    <row r="37" spans="1:33" x14ac:dyDescent="0.2">
      <c r="A37" s="3" t="s">
        <v>122</v>
      </c>
      <c r="B37" s="3" t="s">
        <v>41</v>
      </c>
      <c r="C37" s="4">
        <v>38.501083374023438</v>
      </c>
      <c r="D37" s="4">
        <v>39.097675323486328</v>
      </c>
      <c r="E37" s="4">
        <v>38.567890167236328</v>
      </c>
      <c r="F37" s="4">
        <v>39.725852966308594</v>
      </c>
      <c r="G37" s="4">
        <v>43.108329772949219</v>
      </c>
      <c r="H37" s="4">
        <v>43.339515686035156</v>
      </c>
      <c r="I37" s="4">
        <v>43.824714660644531</v>
      </c>
      <c r="J37" s="4">
        <v>44.02972412109375</v>
      </c>
      <c r="K37" s="4">
        <v>44.9775390625</v>
      </c>
      <c r="L37" s="4">
        <v>45.382869720458984</v>
      </c>
      <c r="M37" s="4">
        <v>45.662899017333984</v>
      </c>
      <c r="N37" s="4">
        <v>46.181049346923828</v>
      </c>
      <c r="O37" s="4">
        <v>46.082008361816406</v>
      </c>
      <c r="P37" s="4">
        <v>46.392601013183594</v>
      </c>
      <c r="Q37" s="4">
        <v>46.346851348876953</v>
      </c>
      <c r="R37" s="4">
        <v>46.339149475097656</v>
      </c>
      <c r="S37" s="4">
        <v>46.492618560791016</v>
      </c>
      <c r="T37" s="4">
        <v>46.701015472412109</v>
      </c>
      <c r="U37" s="4">
        <v>46.69830322265625</v>
      </c>
      <c r="V37" s="4">
        <v>46.74688720703125</v>
      </c>
      <c r="W37" s="4">
        <v>46.193843841552734</v>
      </c>
      <c r="X37" s="4">
        <v>45.453895568847656</v>
      </c>
      <c r="Y37" s="4">
        <v>44.587623596191406</v>
      </c>
      <c r="Z37" s="4">
        <v>44.063835144042969</v>
      </c>
      <c r="AA37" s="4">
        <v>43.535377502441406</v>
      </c>
      <c r="AB37" s="4">
        <v>43.256412506103516</v>
      </c>
      <c r="AC37" s="4">
        <v>43.131561279296875</v>
      </c>
      <c r="AD37" s="4">
        <v>43.015312194824219</v>
      </c>
      <c r="AE37" s="4">
        <v>42.388538360595703</v>
      </c>
      <c r="AG37" s="4">
        <f t="shared" si="0"/>
        <v>45.46081473610618</v>
      </c>
    </row>
    <row r="38" spans="1:33" x14ac:dyDescent="0.2">
      <c r="A38" s="3" t="s">
        <v>123</v>
      </c>
      <c r="B38" s="3" t="s">
        <v>124</v>
      </c>
      <c r="C38" s="4">
        <v>42.402061462402344</v>
      </c>
      <c r="D38" s="4">
        <v>41.673366546630859</v>
      </c>
      <c r="E38" s="4">
        <v>41.577335357666016</v>
      </c>
      <c r="F38" s="4">
        <v>41.700229644775391</v>
      </c>
      <c r="G38" s="4">
        <v>43.003913879394531</v>
      </c>
      <c r="H38" s="4">
        <v>44.285266876220703</v>
      </c>
      <c r="I38" s="4">
        <v>44.872859954833984</v>
      </c>
      <c r="J38" s="4">
        <v>44.079574584960938</v>
      </c>
      <c r="K38" s="4">
        <v>44.471435546875</v>
      </c>
      <c r="L38" s="4">
        <v>45.225414276123047</v>
      </c>
      <c r="M38" s="4">
        <v>46.035633087158203</v>
      </c>
      <c r="N38" s="4">
        <v>45.946144104003906</v>
      </c>
      <c r="O38" s="4">
        <v>45.815849304199219</v>
      </c>
      <c r="P38" s="4">
        <v>45.970123291015625</v>
      </c>
      <c r="Q38" s="4">
        <v>46.267166137695313</v>
      </c>
      <c r="R38" s="4">
        <v>46.497329711914063</v>
      </c>
      <c r="S38" s="4">
        <v>46.256385803222656</v>
      </c>
      <c r="T38" s="4">
        <v>44.600479125976563</v>
      </c>
      <c r="U38" s="4">
        <v>45.154300689697266</v>
      </c>
      <c r="V38" s="4">
        <v>44.799240112304688</v>
      </c>
      <c r="W38" s="4">
        <v>44.023342132568359</v>
      </c>
      <c r="X38" s="4">
        <v>43.395156860351563</v>
      </c>
      <c r="Y38" s="4">
        <v>42.067035675048828</v>
      </c>
      <c r="Z38" s="4">
        <v>39.855247497558594</v>
      </c>
      <c r="AA38" s="4">
        <v>39.166133880615234</v>
      </c>
      <c r="AB38" s="4">
        <v>39.048408508300781</v>
      </c>
      <c r="AC38" s="4">
        <v>38.961387634277344</v>
      </c>
      <c r="AD38" s="4">
        <v>39.039665222167969</v>
      </c>
      <c r="AE38" s="4"/>
      <c r="AG38" s="4">
        <f t="shared" si="0"/>
        <v>43.169369090687148</v>
      </c>
    </row>
    <row r="39" spans="1:33" x14ac:dyDescent="0.2">
      <c r="A39" s="3" t="s">
        <v>125</v>
      </c>
      <c r="B39" s="3" t="s">
        <v>126</v>
      </c>
      <c r="C39" s="4">
        <v>27.776599884033203</v>
      </c>
      <c r="D39" s="4">
        <v>27.521774291992188</v>
      </c>
      <c r="E39" s="4">
        <v>27.332788467407227</v>
      </c>
      <c r="F39" s="4">
        <v>27.131000518798828</v>
      </c>
      <c r="G39" s="4">
        <v>26.892915725708008</v>
      </c>
      <c r="H39" s="4">
        <v>26.615486145019531</v>
      </c>
      <c r="I39" s="4">
        <v>26.224693298339844</v>
      </c>
      <c r="J39" s="4">
        <v>26.146528244018555</v>
      </c>
      <c r="K39" s="4">
        <v>25.912862777709961</v>
      </c>
      <c r="L39" s="4">
        <v>25.486278533935547</v>
      </c>
      <c r="M39" s="4">
        <v>25.233009338378906</v>
      </c>
      <c r="N39" s="4">
        <v>25.140979766845703</v>
      </c>
      <c r="O39" s="4">
        <v>24.864635467529297</v>
      </c>
      <c r="P39" s="4">
        <v>24.65641975402832</v>
      </c>
      <c r="Q39" s="4">
        <v>24.395797729492188</v>
      </c>
      <c r="R39" s="4">
        <v>24.386205673217773</v>
      </c>
      <c r="S39" s="4">
        <v>24.177970886230469</v>
      </c>
      <c r="T39" s="4">
        <v>24.008407592773438</v>
      </c>
      <c r="U39" s="4">
        <v>23.599576950073242</v>
      </c>
      <c r="V39" s="4">
        <v>23.214672088623047</v>
      </c>
      <c r="W39" s="4">
        <v>22.83098030090332</v>
      </c>
      <c r="X39" s="4">
        <v>22.456594467163086</v>
      </c>
      <c r="Y39" s="4">
        <v>22.484832763671875</v>
      </c>
      <c r="Z39" s="4">
        <v>22.209871292114258</v>
      </c>
      <c r="AA39" s="4">
        <v>22.008443832397461</v>
      </c>
      <c r="AB39" s="4">
        <v>21.732320785522461</v>
      </c>
      <c r="AC39" s="4">
        <v>21.367599487304688</v>
      </c>
      <c r="AD39" s="4">
        <v>21.300849914550781</v>
      </c>
      <c r="AE39" s="4">
        <v>21.114774703979492</v>
      </c>
      <c r="AG39" s="4">
        <f t="shared" si="0"/>
        <v>23.009988784790039</v>
      </c>
    </row>
    <row r="40" spans="1:33" x14ac:dyDescent="0.2">
      <c r="A40" s="3" t="s">
        <v>9</v>
      </c>
      <c r="B40" s="3" t="s">
        <v>42</v>
      </c>
      <c r="C40" s="4">
        <v>44.137649536132813</v>
      </c>
      <c r="D40" s="4">
        <v>44.791343688964844</v>
      </c>
      <c r="E40" s="4">
        <v>45.211299896240234</v>
      </c>
      <c r="F40" s="4">
        <v>45.730884552001953</v>
      </c>
      <c r="G40" s="4">
        <v>46.138710021972656</v>
      </c>
      <c r="H40" s="4">
        <v>46.401512145996094</v>
      </c>
      <c r="I40" s="4">
        <v>46.434585571289063</v>
      </c>
      <c r="J40" s="4">
        <v>46.392475128173828</v>
      </c>
      <c r="K40" s="4">
        <v>46.806301116943359</v>
      </c>
      <c r="L40" s="4">
        <v>46.627540588378906</v>
      </c>
      <c r="M40" s="4">
        <v>46.805717468261719</v>
      </c>
      <c r="N40" s="4">
        <v>46.95855712890625</v>
      </c>
      <c r="O40" s="4">
        <v>46.969379425048828</v>
      </c>
      <c r="P40" s="4">
        <v>47.183906555175781</v>
      </c>
      <c r="Q40" s="4">
        <v>47.131507873535156</v>
      </c>
      <c r="R40" s="4">
        <v>47.157962799072266</v>
      </c>
      <c r="S40" s="4">
        <v>47.172203063964844</v>
      </c>
      <c r="T40" s="4">
        <v>47.005329132080078</v>
      </c>
      <c r="U40" s="4">
        <v>46.804489135742188</v>
      </c>
      <c r="V40" s="4">
        <v>46.651115417480469</v>
      </c>
      <c r="W40" s="4">
        <v>46.328479766845703</v>
      </c>
      <c r="X40" s="4">
        <v>46.499710083007813</v>
      </c>
      <c r="Y40" s="4">
        <v>46.321083068847656</v>
      </c>
      <c r="Z40" s="4">
        <v>45.767433166503906</v>
      </c>
      <c r="AA40" s="4">
        <v>45.020206451416016</v>
      </c>
      <c r="AB40" s="4">
        <v>44.260478973388672</v>
      </c>
      <c r="AC40" s="4">
        <v>43.491847991943359</v>
      </c>
      <c r="AD40" s="4">
        <v>42.774459838867188</v>
      </c>
      <c r="AE40" s="4">
        <v>42.042930603027344</v>
      </c>
      <c r="AG40" s="4">
        <f t="shared" si="0"/>
        <v>46.271681005304508</v>
      </c>
    </row>
    <row r="41" spans="1:33" x14ac:dyDescent="0.2">
      <c r="A41" s="3" t="s">
        <v>127</v>
      </c>
      <c r="B41" s="3" t="s">
        <v>128</v>
      </c>
      <c r="C41" s="4">
        <v>33.823280334472656</v>
      </c>
      <c r="D41" s="4">
        <v>33.324043273925781</v>
      </c>
      <c r="E41" s="4">
        <v>32.704296112060547</v>
      </c>
      <c r="F41" s="4">
        <v>32.688339233398438</v>
      </c>
      <c r="G41" s="4">
        <v>32.238529205322266</v>
      </c>
      <c r="H41" s="4">
        <v>32.216800689697266</v>
      </c>
      <c r="I41" s="4">
        <v>32.263545989990234</v>
      </c>
      <c r="J41" s="4">
        <v>32.120670318603516</v>
      </c>
      <c r="K41" s="4">
        <v>31.8939208984375</v>
      </c>
      <c r="L41" s="4">
        <v>31.711452484130859</v>
      </c>
      <c r="M41" s="4">
        <v>31.710535049438477</v>
      </c>
      <c r="N41" s="4">
        <v>31.585052490234375</v>
      </c>
      <c r="O41" s="4">
        <v>31.427824020385742</v>
      </c>
      <c r="P41" s="4">
        <v>31.305498123168945</v>
      </c>
      <c r="Q41" s="4">
        <v>31.044239044189453</v>
      </c>
      <c r="R41" s="4">
        <v>30.80463981628418</v>
      </c>
      <c r="S41" s="4">
        <v>30.639535903930664</v>
      </c>
      <c r="T41" s="4">
        <v>30.400253295898438</v>
      </c>
      <c r="U41" s="4">
        <v>30.18089485168457</v>
      </c>
      <c r="V41" s="4">
        <v>29.836156845092773</v>
      </c>
      <c r="W41" s="4">
        <v>29.517129898071289</v>
      </c>
      <c r="X41" s="4">
        <v>29.218461990356445</v>
      </c>
      <c r="Y41" s="4">
        <v>28.999507904052734</v>
      </c>
      <c r="Z41" s="4">
        <v>28.785852432250977</v>
      </c>
      <c r="AA41" s="4">
        <v>28.912633895874023</v>
      </c>
      <c r="AB41" s="4">
        <v>28.949647903442383</v>
      </c>
      <c r="AC41" s="4">
        <v>28.875753402709961</v>
      </c>
      <c r="AD41" s="4">
        <v>28.673171997070313</v>
      </c>
      <c r="AE41" s="4">
        <v>28.661224365234375</v>
      </c>
      <c r="AG41" s="4">
        <f t="shared" si="0"/>
        <v>29.65861043063077</v>
      </c>
    </row>
    <row r="42" spans="1:33" x14ac:dyDescent="0.2">
      <c r="A42" s="3" t="s">
        <v>129</v>
      </c>
      <c r="B42" s="3" t="s">
        <v>130</v>
      </c>
      <c r="C42" s="4">
        <v>28.651090621948242</v>
      </c>
      <c r="D42" s="4">
        <v>28.333047866821289</v>
      </c>
      <c r="E42" s="4">
        <v>28.084615707397461</v>
      </c>
      <c r="F42" s="4">
        <v>27.899143218994141</v>
      </c>
      <c r="G42" s="4">
        <v>27.778301239013672</v>
      </c>
      <c r="H42" s="4">
        <v>27.870872497558594</v>
      </c>
      <c r="I42" s="4">
        <v>27.703014373779297</v>
      </c>
      <c r="J42" s="4">
        <v>27.493719100952148</v>
      </c>
      <c r="K42" s="4">
        <v>27.3953857421875</v>
      </c>
      <c r="L42" s="4">
        <v>27.333461761474609</v>
      </c>
      <c r="M42" s="4">
        <v>27.310100555419922</v>
      </c>
      <c r="N42" s="4">
        <v>27.209966659545898</v>
      </c>
      <c r="O42" s="4">
        <v>27.066438674926758</v>
      </c>
      <c r="P42" s="4">
        <v>26.955165863037109</v>
      </c>
      <c r="Q42" s="4">
        <v>27.020481109619141</v>
      </c>
      <c r="R42" s="4">
        <v>26.973611831665039</v>
      </c>
      <c r="S42" s="4">
        <v>26.674610137939453</v>
      </c>
      <c r="T42" s="4">
        <v>26.500152587890625</v>
      </c>
      <c r="U42" s="4">
        <v>26.24567985534668</v>
      </c>
      <c r="V42" s="4">
        <v>25.901168823242188</v>
      </c>
      <c r="W42" s="4">
        <v>25.743631362915039</v>
      </c>
      <c r="X42" s="4">
        <v>25.537303924560547</v>
      </c>
      <c r="Y42" s="4">
        <v>25.43797492980957</v>
      </c>
      <c r="Z42" s="4">
        <v>25.197416305541992</v>
      </c>
      <c r="AA42" s="4">
        <v>25.207420349121094</v>
      </c>
      <c r="AB42" s="4">
        <v>25.32275390625</v>
      </c>
      <c r="AC42" s="4">
        <v>25.365123748779297</v>
      </c>
      <c r="AD42" s="4">
        <v>25.30335807800293</v>
      </c>
      <c r="AE42" s="4">
        <v>25.230068206787109</v>
      </c>
      <c r="AG42" s="4">
        <f t="shared" si="0"/>
        <v>25.885611274025656</v>
      </c>
    </row>
    <row r="43" spans="1:33" x14ac:dyDescent="0.2">
      <c r="A43" s="3" t="s">
        <v>131</v>
      </c>
      <c r="B43" s="3" t="s">
        <v>132</v>
      </c>
      <c r="C43" s="4">
        <v>18.024585723876953</v>
      </c>
      <c r="D43" s="4">
        <v>17.807086944580078</v>
      </c>
      <c r="E43" s="4">
        <v>17.834667205810547</v>
      </c>
      <c r="F43" s="4">
        <v>17.72138786315918</v>
      </c>
      <c r="G43" s="4">
        <v>17.664646148681641</v>
      </c>
      <c r="H43" s="4">
        <v>17.641153335571289</v>
      </c>
      <c r="I43" s="4">
        <v>17.603975296020508</v>
      </c>
      <c r="J43" s="4">
        <v>17.51637077331543</v>
      </c>
      <c r="K43" s="4">
        <v>17.462120056152344</v>
      </c>
      <c r="L43" s="4">
        <v>17.367738723754883</v>
      </c>
      <c r="M43" s="4">
        <v>17.272430419921875</v>
      </c>
      <c r="N43" s="4">
        <v>17.189836502075195</v>
      </c>
      <c r="O43" s="4">
        <v>17.099227905273438</v>
      </c>
      <c r="P43" s="4">
        <v>17.025327682495117</v>
      </c>
      <c r="Q43" s="4">
        <v>17.013778686523438</v>
      </c>
      <c r="R43" s="4">
        <v>17.046234130859375</v>
      </c>
      <c r="S43" s="4">
        <v>17.02733039855957</v>
      </c>
      <c r="T43" s="4">
        <v>17.005548477172852</v>
      </c>
      <c r="U43" s="4">
        <v>16.949338912963867</v>
      </c>
      <c r="V43" s="4">
        <v>16.79286003112793</v>
      </c>
      <c r="W43" s="4">
        <v>16.694801330566406</v>
      </c>
      <c r="X43" s="4">
        <v>16.672002792358398</v>
      </c>
      <c r="Y43" s="4">
        <v>16.680492401123047</v>
      </c>
      <c r="Z43" s="4">
        <v>16.657676696777344</v>
      </c>
      <c r="AA43" s="4">
        <v>16.682758331298828</v>
      </c>
      <c r="AB43" s="4">
        <v>16.67451286315918</v>
      </c>
      <c r="AC43" s="4">
        <v>16.660879135131836</v>
      </c>
      <c r="AD43" s="4">
        <v>16.648548126220703</v>
      </c>
      <c r="AE43" s="4">
        <v>16.572839736938477</v>
      </c>
      <c r="AG43" s="4">
        <f t="shared" si="0"/>
        <v>16.807596033269707</v>
      </c>
    </row>
    <row r="44" spans="1:33" x14ac:dyDescent="0.2">
      <c r="A44" s="3" t="s">
        <v>133</v>
      </c>
      <c r="B44" s="3" t="s">
        <v>134</v>
      </c>
      <c r="C44" s="4">
        <v>17.956567764282227</v>
      </c>
      <c r="D44" s="4">
        <v>17.8538818359375</v>
      </c>
      <c r="E44" s="4">
        <v>17.775936126708984</v>
      </c>
      <c r="F44" s="4">
        <v>17.662271499633789</v>
      </c>
      <c r="G44" s="4">
        <v>17.694395065307617</v>
      </c>
      <c r="H44" s="4">
        <v>17.645853042602539</v>
      </c>
      <c r="I44" s="4">
        <v>17.599088668823242</v>
      </c>
      <c r="J44" s="4">
        <v>17.529266357421875</v>
      </c>
      <c r="K44" s="4">
        <v>17.455121994018555</v>
      </c>
      <c r="L44" s="4">
        <v>17.391677856445313</v>
      </c>
      <c r="M44" s="4">
        <v>17.322511672973633</v>
      </c>
      <c r="N44" s="4">
        <v>17.240316390991211</v>
      </c>
      <c r="O44" s="4">
        <v>17.150386810302734</v>
      </c>
      <c r="P44" s="4">
        <v>17.09068489074707</v>
      </c>
      <c r="Q44" s="4">
        <v>17.033391952514648</v>
      </c>
      <c r="R44" s="4">
        <v>17.022129058837891</v>
      </c>
      <c r="S44" s="4">
        <v>16.973163604736328</v>
      </c>
      <c r="T44" s="4">
        <v>16.900068283081055</v>
      </c>
      <c r="U44" s="4">
        <v>16.80988883972168</v>
      </c>
      <c r="V44" s="4">
        <v>16.623214721679688</v>
      </c>
      <c r="W44" s="4">
        <v>16.548074722290039</v>
      </c>
      <c r="X44" s="4">
        <v>16.541498184204102</v>
      </c>
      <c r="Y44" s="4">
        <v>16.503534317016602</v>
      </c>
      <c r="Z44" s="4">
        <v>16.493288040161133</v>
      </c>
      <c r="AA44" s="4">
        <v>16.510354995727539</v>
      </c>
      <c r="AB44" s="4">
        <v>16.494821548461914</v>
      </c>
      <c r="AC44" s="4">
        <v>16.48619270324707</v>
      </c>
      <c r="AD44" s="4">
        <v>16.46257209777832</v>
      </c>
      <c r="AE44" s="4">
        <v>16.428075790405273</v>
      </c>
      <c r="AG44" s="4">
        <f t="shared" si="0"/>
        <v>16.674548755992543</v>
      </c>
    </row>
    <row r="45" spans="1:33" x14ac:dyDescent="0.2">
      <c r="A45" s="3" t="s">
        <v>135</v>
      </c>
      <c r="B45" s="3" t="s">
        <v>136</v>
      </c>
      <c r="C45" s="4">
        <v>38.388156890869141</v>
      </c>
      <c r="D45" s="4">
        <v>38.167636871337891</v>
      </c>
      <c r="E45" s="4">
        <v>38.127586364746094</v>
      </c>
      <c r="F45" s="4">
        <v>37.548702239990234</v>
      </c>
      <c r="G45" s="4">
        <v>36.812602996826172</v>
      </c>
      <c r="H45" s="4">
        <v>36.273849487304688</v>
      </c>
      <c r="I45" s="4">
        <v>35.793899536132813</v>
      </c>
      <c r="J45" s="4">
        <v>35.296985626220703</v>
      </c>
      <c r="K45" s="4">
        <v>34.815528869628906</v>
      </c>
      <c r="L45" s="4">
        <v>34.201164245605469</v>
      </c>
      <c r="M45" s="4">
        <v>33.439548492431641</v>
      </c>
      <c r="N45" s="4">
        <v>32.63897705078125</v>
      </c>
      <c r="O45" s="4">
        <v>32.128612518310547</v>
      </c>
      <c r="P45" s="4">
        <v>31.705669403076172</v>
      </c>
      <c r="Q45" s="4">
        <v>31.54241943359375</v>
      </c>
      <c r="R45" s="4">
        <v>31.20793342590332</v>
      </c>
      <c r="S45" s="4">
        <v>30.928882598876953</v>
      </c>
      <c r="T45" s="4">
        <v>30.501201629638672</v>
      </c>
      <c r="U45" s="4">
        <v>30.075029373168945</v>
      </c>
      <c r="V45" s="4">
        <v>29.554712295532227</v>
      </c>
      <c r="W45" s="4">
        <v>29.315567016601563</v>
      </c>
      <c r="X45" s="4">
        <v>29.132419586181641</v>
      </c>
      <c r="Y45" s="4">
        <v>28.809776306152344</v>
      </c>
      <c r="Z45" s="4">
        <v>28.467660903930664</v>
      </c>
      <c r="AA45" s="4">
        <v>28.295616149902344</v>
      </c>
      <c r="AB45" s="4">
        <v>27.955944061279297</v>
      </c>
      <c r="AC45" s="4">
        <v>27.605432510375977</v>
      </c>
      <c r="AD45" s="4">
        <v>27.20390510559082</v>
      </c>
      <c r="AE45" s="4">
        <v>26.815557479858398</v>
      </c>
      <c r="AG45" s="4">
        <f t="shared" si="0"/>
        <v>29.476794849742543</v>
      </c>
    </row>
    <row r="46" spans="1:33" x14ac:dyDescent="0.2">
      <c r="A46" s="3" t="s">
        <v>137</v>
      </c>
      <c r="B46" s="3" t="s">
        <v>138</v>
      </c>
      <c r="C46" s="4">
        <v>28.237253189086914</v>
      </c>
      <c r="D46" s="4">
        <v>28.777256011962891</v>
      </c>
      <c r="E46" s="4">
        <v>29.078975677490234</v>
      </c>
      <c r="F46" s="4">
        <v>28.837984085083008</v>
      </c>
      <c r="G46" s="4">
        <v>28.870847702026367</v>
      </c>
      <c r="H46" s="4">
        <v>29.206428527832031</v>
      </c>
      <c r="I46" s="4">
        <v>29.235849380493164</v>
      </c>
      <c r="J46" s="4">
        <v>29.53520393371582</v>
      </c>
      <c r="K46" s="4">
        <v>29.732767105102539</v>
      </c>
      <c r="L46" s="4">
        <v>29.943477630615234</v>
      </c>
      <c r="M46" s="4">
        <v>30.287500381469727</v>
      </c>
      <c r="N46" s="4">
        <v>30.853017807006836</v>
      </c>
      <c r="O46" s="4">
        <v>30.438190460205078</v>
      </c>
      <c r="P46" s="4">
        <v>30.41943359375</v>
      </c>
      <c r="Q46" s="4">
        <v>30.793649673461914</v>
      </c>
      <c r="R46" s="4">
        <v>30.650091171264648</v>
      </c>
      <c r="S46" s="4">
        <v>30.62995719909668</v>
      </c>
      <c r="T46" s="4">
        <v>30.401172637939453</v>
      </c>
      <c r="U46" s="4">
        <v>30.200040817260742</v>
      </c>
      <c r="V46" s="4">
        <v>29.886266708374023</v>
      </c>
      <c r="W46" s="4">
        <v>29.626745223999023</v>
      </c>
      <c r="X46" s="4">
        <v>29.389875411987305</v>
      </c>
      <c r="Y46" s="4">
        <v>29.158031463623047</v>
      </c>
      <c r="Z46" s="4">
        <v>28.847944259643555</v>
      </c>
      <c r="AA46" s="4">
        <v>28.474924087524414</v>
      </c>
      <c r="AB46" s="4">
        <v>28.395328521728516</v>
      </c>
      <c r="AC46" s="4">
        <v>28.38250732421875</v>
      </c>
      <c r="AD46" s="4">
        <v>28.312469482421875</v>
      </c>
      <c r="AE46" s="4">
        <v>28.105306625366211</v>
      </c>
      <c r="AG46" s="4">
        <f t="shared" si="0"/>
        <v>29.605488863858309</v>
      </c>
    </row>
    <row r="47" spans="1:33" x14ac:dyDescent="0.2">
      <c r="A47" s="3" t="s">
        <v>139</v>
      </c>
      <c r="B47" s="3" t="s">
        <v>43</v>
      </c>
      <c r="C47" s="4">
        <v>39.176582336425781</v>
      </c>
      <c r="D47" s="4">
        <v>39.255630493164063</v>
      </c>
      <c r="E47" s="4">
        <v>39.018829345703125</v>
      </c>
      <c r="F47" s="4">
        <v>38.742877960205078</v>
      </c>
      <c r="G47" s="4">
        <v>38.369258880615234</v>
      </c>
      <c r="H47" s="4">
        <v>38.073307037353516</v>
      </c>
      <c r="I47" s="4">
        <v>37.908920288085938</v>
      </c>
      <c r="J47" s="4">
        <v>37.637615203857422</v>
      </c>
      <c r="K47" s="4">
        <v>36.970687866210938</v>
      </c>
      <c r="L47" s="4">
        <v>36.398651123046875</v>
      </c>
      <c r="M47" s="4">
        <v>35.727310180664063</v>
      </c>
      <c r="N47" s="4">
        <v>35.272006988525391</v>
      </c>
      <c r="O47" s="4">
        <v>34.620685577392578</v>
      </c>
      <c r="P47" s="4">
        <v>33.940723419189453</v>
      </c>
      <c r="Q47" s="4">
        <v>33.754585266113281</v>
      </c>
      <c r="R47" s="4">
        <v>33.3577880859375</v>
      </c>
      <c r="S47" s="4">
        <v>32.909584045410156</v>
      </c>
      <c r="T47" s="4">
        <v>33.100505828857422</v>
      </c>
      <c r="U47" s="4">
        <v>32.524555206298828</v>
      </c>
      <c r="V47" s="4">
        <v>32.16339111328125</v>
      </c>
      <c r="W47" s="4">
        <v>31.795969009399414</v>
      </c>
      <c r="X47" s="4">
        <v>31.48552131652832</v>
      </c>
      <c r="Y47" s="4">
        <v>31.169193267822266</v>
      </c>
      <c r="Z47" s="4">
        <v>30.862764358520508</v>
      </c>
      <c r="AA47" s="4">
        <v>30.560796737670898</v>
      </c>
      <c r="AB47" s="4">
        <v>30.246940612792969</v>
      </c>
      <c r="AC47" s="4">
        <v>29.932821273803711</v>
      </c>
      <c r="AD47" s="4">
        <v>29.559825897216797</v>
      </c>
      <c r="AE47" s="4">
        <v>29.273637771606445</v>
      </c>
      <c r="AG47" s="4">
        <f t="shared" si="0"/>
        <v>31.834273598410867</v>
      </c>
    </row>
    <row r="48" spans="1:33" x14ac:dyDescent="0.2">
      <c r="A48" s="3" t="s">
        <v>140</v>
      </c>
      <c r="B48" s="3" t="s">
        <v>141</v>
      </c>
      <c r="C48" s="4">
        <v>49.680767059326172</v>
      </c>
      <c r="D48" s="4">
        <v>49.652423858642578</v>
      </c>
      <c r="E48" s="4">
        <v>49.504680633544922</v>
      </c>
      <c r="F48" s="4">
        <v>49.414722442626953</v>
      </c>
      <c r="G48" s="4">
        <v>49.092693328857422</v>
      </c>
      <c r="H48" s="4">
        <v>48.291923522949219</v>
      </c>
      <c r="I48" s="4">
        <v>47.843303680419922</v>
      </c>
      <c r="J48" s="4">
        <v>47.224861145019531</v>
      </c>
      <c r="K48" s="4">
        <v>46.914268493652344</v>
      </c>
      <c r="L48" s="4">
        <v>46.386604309082031</v>
      </c>
      <c r="M48" s="4">
        <v>45.799358367919922</v>
      </c>
      <c r="N48" s="4">
        <v>45.332290649414063</v>
      </c>
      <c r="O48" s="4">
        <v>44.743003845214844</v>
      </c>
      <c r="P48" s="4">
        <v>44.436908721923828</v>
      </c>
      <c r="Q48" s="4">
        <v>43.89678955078125</v>
      </c>
      <c r="R48" s="4">
        <v>43.575931549072266</v>
      </c>
      <c r="S48" s="4">
        <v>43.293567657470703</v>
      </c>
      <c r="T48" s="4">
        <v>43.001724243164063</v>
      </c>
      <c r="U48" s="4">
        <v>42.570777893066406</v>
      </c>
      <c r="V48" s="4">
        <v>42.221565246582031</v>
      </c>
      <c r="W48" s="4">
        <v>42.269561767578125</v>
      </c>
      <c r="X48" s="4">
        <v>42.125312805175781</v>
      </c>
      <c r="Y48" s="4">
        <v>41.984447479248047</v>
      </c>
      <c r="Z48" s="4">
        <v>41.728950500488281</v>
      </c>
      <c r="AA48" s="4">
        <v>41.464820861816406</v>
      </c>
      <c r="AB48" s="4">
        <v>41.204135894775391</v>
      </c>
      <c r="AC48" s="4">
        <v>40.961532592773438</v>
      </c>
      <c r="AD48" s="4">
        <v>40.786109924316406</v>
      </c>
      <c r="AE48" s="4"/>
      <c r="AG48" s="4">
        <f t="shared" si="0"/>
        <v>42.31279962713068</v>
      </c>
    </row>
    <row r="49" spans="1:33" x14ac:dyDescent="0.2">
      <c r="A49" s="3" t="s">
        <v>142</v>
      </c>
      <c r="B49" s="3" t="s">
        <v>143</v>
      </c>
      <c r="C49" s="4">
        <v>63.884330749511719</v>
      </c>
      <c r="D49" s="4">
        <v>63.947422027587891</v>
      </c>
      <c r="E49" s="4">
        <v>64.240852355957031</v>
      </c>
      <c r="F49" s="4">
        <v>64.423347473144531</v>
      </c>
      <c r="G49" s="4">
        <v>65.308082580566406</v>
      </c>
      <c r="H49" s="4">
        <v>61.407958984375</v>
      </c>
      <c r="I49" s="4">
        <v>54.543399810791016</v>
      </c>
      <c r="J49" s="4">
        <v>49.57232666015625</v>
      </c>
      <c r="K49" s="4">
        <v>44.586746215820313</v>
      </c>
      <c r="L49" s="4">
        <v>42.920665740966797</v>
      </c>
      <c r="M49" s="4">
        <v>40.24493408203125</v>
      </c>
      <c r="N49" s="4">
        <v>37.020107269287109</v>
      </c>
      <c r="O49" s="4">
        <v>35.652442932128906</v>
      </c>
      <c r="P49" s="4">
        <v>34.425712585449219</v>
      </c>
      <c r="Q49" s="4">
        <v>33.515220642089844</v>
      </c>
      <c r="R49" s="4">
        <v>32.211109161376953</v>
      </c>
      <c r="S49" s="4">
        <v>31.24456787109375</v>
      </c>
      <c r="T49" s="4">
        <v>30.100471496582031</v>
      </c>
      <c r="U49" s="4">
        <v>28.764423370361328</v>
      </c>
      <c r="V49" s="4">
        <v>27.090009689331055</v>
      </c>
      <c r="W49" s="4">
        <v>26.46565055847168</v>
      </c>
      <c r="X49" s="4">
        <v>25.74281120300293</v>
      </c>
      <c r="Y49" s="4">
        <v>24.729253768920898</v>
      </c>
      <c r="Z49" s="4">
        <v>24.48588752746582</v>
      </c>
      <c r="AA49" s="4">
        <v>24.455375671386719</v>
      </c>
      <c r="AB49" s="4">
        <v>24.605491638183594</v>
      </c>
      <c r="AC49" s="4">
        <v>24.950986862182617</v>
      </c>
      <c r="AD49" s="4">
        <v>25.413808822631836</v>
      </c>
      <c r="AE49" s="4"/>
      <c r="AG49" s="4">
        <f t="shared" si="0"/>
        <v>27.263186541470613</v>
      </c>
    </row>
    <row r="50" spans="1:33" x14ac:dyDescent="0.2">
      <c r="A50" s="3" t="s">
        <v>144</v>
      </c>
      <c r="B50" s="3" t="s">
        <v>145</v>
      </c>
      <c r="C50" s="4">
        <v>33.445693969726563</v>
      </c>
      <c r="D50" s="4">
        <v>33.197597503662109</v>
      </c>
      <c r="E50" s="4">
        <v>32.782817840576172</v>
      </c>
      <c r="F50" s="4">
        <v>31.974946975708008</v>
      </c>
      <c r="G50" s="4">
        <v>31.616783142089844</v>
      </c>
      <c r="H50" s="4">
        <v>31.097339630126953</v>
      </c>
      <c r="I50" s="4">
        <v>31.425249099731445</v>
      </c>
      <c r="J50" s="4">
        <v>31.6094970703125</v>
      </c>
      <c r="K50" s="4">
        <v>31.503238677978516</v>
      </c>
      <c r="L50" s="4">
        <v>31.279087066650391</v>
      </c>
      <c r="M50" s="4">
        <v>31.372076034545898</v>
      </c>
      <c r="N50" s="4">
        <v>31.230852127075195</v>
      </c>
      <c r="O50" s="4">
        <v>30.947986602783203</v>
      </c>
      <c r="P50" s="4">
        <v>30.797710418701172</v>
      </c>
      <c r="Q50" s="4">
        <v>30.459148406982422</v>
      </c>
      <c r="R50" s="4">
        <v>30.25733757019043</v>
      </c>
      <c r="S50" s="4">
        <v>30.059619903564453</v>
      </c>
      <c r="T50" s="4">
        <v>29.501686096191406</v>
      </c>
      <c r="U50" s="4">
        <v>28.942647933959961</v>
      </c>
      <c r="V50" s="4">
        <v>28.244787216186523</v>
      </c>
      <c r="W50" s="4">
        <v>27.957927703857422</v>
      </c>
      <c r="X50" s="4">
        <v>28.183742523193359</v>
      </c>
      <c r="Y50" s="4">
        <v>28.070024490356445</v>
      </c>
      <c r="Z50" s="4">
        <v>27.97950553894043</v>
      </c>
      <c r="AA50" s="4">
        <v>27.87718391418457</v>
      </c>
      <c r="AB50" s="4">
        <v>27.826210021972656</v>
      </c>
      <c r="AC50" s="4">
        <v>27.686592102050781</v>
      </c>
      <c r="AD50" s="4">
        <v>27.635456085205078</v>
      </c>
      <c r="AE50" s="4">
        <v>27.480972290039063</v>
      </c>
      <c r="AG50" s="4">
        <f t="shared" si="0"/>
        <v>28.627333901145242</v>
      </c>
    </row>
    <row r="51" spans="1:33" x14ac:dyDescent="0.2">
      <c r="A51" s="3" t="s">
        <v>146</v>
      </c>
      <c r="B51" s="3" t="s">
        <v>147</v>
      </c>
      <c r="C51" s="4">
        <v>41.958431243896484</v>
      </c>
      <c r="D51" s="4">
        <v>41.305713653564453</v>
      </c>
      <c r="E51" s="4">
        <v>40.339485168457031</v>
      </c>
      <c r="F51" s="4">
        <v>39.830787658691406</v>
      </c>
      <c r="G51" s="4">
        <v>39.279834747314453</v>
      </c>
      <c r="H51" s="4">
        <v>40.075927734375</v>
      </c>
      <c r="I51" s="4">
        <v>38.988037109375</v>
      </c>
      <c r="J51" s="4">
        <v>38.978584289550781</v>
      </c>
      <c r="K51" s="4">
        <v>38.447677612304688</v>
      </c>
      <c r="L51" s="4">
        <v>38.326610565185547</v>
      </c>
      <c r="M51" s="4">
        <v>38.832027435302734</v>
      </c>
      <c r="N51" s="4">
        <v>38.852058410644531</v>
      </c>
      <c r="O51" s="4">
        <v>38.929019927978516</v>
      </c>
      <c r="P51" s="4">
        <v>38.845287322998047</v>
      </c>
      <c r="Q51" s="4">
        <v>38.689895629882813</v>
      </c>
      <c r="R51" s="4">
        <v>38.861324310302734</v>
      </c>
      <c r="S51" s="4">
        <v>38.900165557861328</v>
      </c>
      <c r="T51" s="4">
        <v>38.487411499023438</v>
      </c>
      <c r="U51" s="4">
        <v>38.507637023925781</v>
      </c>
      <c r="V51" s="4">
        <v>38.606449127197266</v>
      </c>
      <c r="W51" s="4">
        <v>38.880142211914063</v>
      </c>
      <c r="X51" s="4">
        <v>39.227424621582031</v>
      </c>
      <c r="Y51" s="4">
        <v>39.42596435546875</v>
      </c>
      <c r="Z51" s="4">
        <v>39.541591644287109</v>
      </c>
      <c r="AA51" s="4">
        <v>39.640911102294922</v>
      </c>
      <c r="AB51" s="4">
        <v>39.746513366699219</v>
      </c>
      <c r="AC51" s="4">
        <v>39.677829742431641</v>
      </c>
      <c r="AD51" s="4">
        <v>39.770130157470703</v>
      </c>
      <c r="AE51" s="4"/>
      <c r="AG51" s="4">
        <f t="shared" si="0"/>
        <v>39.075048620050602</v>
      </c>
    </row>
    <row r="52" spans="1:33" x14ac:dyDescent="0.2">
      <c r="A52" s="3" t="s">
        <v>148</v>
      </c>
      <c r="B52" s="3" t="s">
        <v>149</v>
      </c>
      <c r="C52" s="4">
        <v>36.917736053466797</v>
      </c>
      <c r="D52" s="4">
        <v>37.132785797119141</v>
      </c>
      <c r="E52" s="4">
        <v>37.675647735595703</v>
      </c>
      <c r="F52" s="4">
        <v>37.616069793701172</v>
      </c>
      <c r="G52" s="4">
        <v>37.519245147705078</v>
      </c>
      <c r="H52" s="4">
        <v>37.78045654296875</v>
      </c>
      <c r="I52" s="4">
        <v>37.767444610595703</v>
      </c>
      <c r="J52" s="4">
        <v>37.860645294189453</v>
      </c>
      <c r="K52" s="4">
        <v>37.585174560546875</v>
      </c>
      <c r="L52" s="4">
        <v>37.346759796142578</v>
      </c>
      <c r="M52" s="4">
        <v>36.975852966308594</v>
      </c>
      <c r="N52" s="4">
        <v>37.032825469970703</v>
      </c>
      <c r="O52" s="4">
        <v>36.815132141113281</v>
      </c>
      <c r="P52" s="4">
        <v>36.756553649902344</v>
      </c>
      <c r="Q52" s="4">
        <v>36.221279144287109</v>
      </c>
      <c r="R52" s="4">
        <v>35.907463073730469</v>
      </c>
      <c r="S52" s="4">
        <v>35.395286560058594</v>
      </c>
      <c r="T52" s="4">
        <v>35.101787567138672</v>
      </c>
      <c r="U52" s="4">
        <v>34.697669982910156</v>
      </c>
      <c r="V52" s="4">
        <v>33.916744232177734</v>
      </c>
      <c r="W52" s="4">
        <v>33.067245483398438</v>
      </c>
      <c r="X52" s="4">
        <v>31.841987609863281</v>
      </c>
      <c r="Y52" s="4">
        <v>30.447826385498047</v>
      </c>
      <c r="Z52" s="4">
        <v>29.182117462158203</v>
      </c>
      <c r="AA52" s="4">
        <v>27.806278228759766</v>
      </c>
      <c r="AB52" s="4">
        <v>26.479425430297852</v>
      </c>
      <c r="AC52" s="4">
        <v>25.226119995117188</v>
      </c>
      <c r="AD52" s="4">
        <v>24.184755325317383</v>
      </c>
      <c r="AE52" s="4">
        <v>23.325193405151367</v>
      </c>
      <c r="AG52" s="4">
        <f t="shared" si="0"/>
        <v>32.167621092362836</v>
      </c>
    </row>
    <row r="53" spans="1:33" x14ac:dyDescent="0.2">
      <c r="A53" s="3" t="s">
        <v>150</v>
      </c>
      <c r="B53" s="3" t="s">
        <v>151</v>
      </c>
      <c r="C53" s="4">
        <v>34.777217864990234</v>
      </c>
      <c r="D53" s="4">
        <v>34.6043701171875</v>
      </c>
      <c r="E53" s="4">
        <v>34.6417236328125</v>
      </c>
      <c r="F53" s="4">
        <v>34.399112701416016</v>
      </c>
      <c r="G53" s="4">
        <v>34.673873901367188</v>
      </c>
      <c r="H53" s="4">
        <v>34.664196014404297</v>
      </c>
      <c r="I53" s="4">
        <v>34.791175842285156</v>
      </c>
      <c r="J53" s="4">
        <v>34.803901672363281</v>
      </c>
      <c r="K53" s="4">
        <v>34.392684936523438</v>
      </c>
      <c r="L53" s="4">
        <v>34.2708740234375</v>
      </c>
      <c r="M53" s="4">
        <v>33.843772888183594</v>
      </c>
      <c r="N53" s="4">
        <v>33.538619995117188</v>
      </c>
      <c r="O53" s="4">
        <v>33.296329498291016</v>
      </c>
      <c r="P53" s="4">
        <v>33.359592437744141</v>
      </c>
      <c r="Q53" s="4">
        <v>33.3780517578125</v>
      </c>
      <c r="R53" s="4">
        <v>33.020381927490234</v>
      </c>
      <c r="S53" s="4">
        <v>32.477737426757813</v>
      </c>
      <c r="T53" s="4">
        <v>32.602165222167969</v>
      </c>
      <c r="U53" s="4">
        <v>32.364845275878906</v>
      </c>
      <c r="V53" s="4">
        <v>32.415473937988281</v>
      </c>
      <c r="W53" s="4">
        <v>32.539455413818359</v>
      </c>
      <c r="X53" s="4">
        <v>32.135250091552734</v>
      </c>
      <c r="Y53" s="4">
        <v>31.941827774047852</v>
      </c>
      <c r="Z53" s="4">
        <v>31.314823150634766</v>
      </c>
      <c r="AA53" s="4">
        <v>31.025705337524414</v>
      </c>
      <c r="AB53" s="4">
        <v>30.770986557006836</v>
      </c>
      <c r="AC53" s="4">
        <v>30.432886123657227</v>
      </c>
      <c r="AD53" s="4">
        <v>30.27147102355957</v>
      </c>
      <c r="AE53" s="4"/>
      <c r="AG53" s="4">
        <f t="shared" si="0"/>
        <v>32.055332010442562</v>
      </c>
    </row>
    <row r="54" spans="1:33" x14ac:dyDescent="0.2">
      <c r="A54" s="3" t="s">
        <v>152</v>
      </c>
      <c r="B54" s="3" t="s">
        <v>153</v>
      </c>
      <c r="C54" s="4">
        <v>18.794418334960938</v>
      </c>
      <c r="D54" s="4">
        <v>18.441450119018555</v>
      </c>
      <c r="E54" s="4">
        <v>18.144357681274414</v>
      </c>
      <c r="F54" s="4">
        <v>17.948909759521484</v>
      </c>
      <c r="G54" s="4">
        <v>17.902809143066406</v>
      </c>
      <c r="H54" s="4">
        <v>17.955368041992188</v>
      </c>
      <c r="I54" s="4">
        <v>17.915594100952148</v>
      </c>
      <c r="J54" s="4">
        <v>17.903688430786133</v>
      </c>
      <c r="K54" s="4">
        <v>17.836618423461914</v>
      </c>
      <c r="L54" s="4">
        <v>17.771812438964844</v>
      </c>
      <c r="M54" s="4">
        <v>17.691123962402344</v>
      </c>
      <c r="N54" s="4">
        <v>17.579061508178711</v>
      </c>
      <c r="O54" s="4">
        <v>17.469608306884766</v>
      </c>
      <c r="P54" s="4">
        <v>17.367830276489258</v>
      </c>
      <c r="Q54" s="4">
        <v>17.267621994018555</v>
      </c>
      <c r="R54" s="4">
        <v>17.188892364501953</v>
      </c>
      <c r="S54" s="4">
        <v>17.09742546081543</v>
      </c>
      <c r="T54" s="4">
        <v>17.002811431884766</v>
      </c>
      <c r="U54" s="4">
        <v>16.88599967956543</v>
      </c>
      <c r="V54" s="4">
        <v>16.664953231811523</v>
      </c>
      <c r="W54" s="4">
        <v>16.568901062011719</v>
      </c>
      <c r="X54" s="4">
        <v>16.504543304443359</v>
      </c>
      <c r="Y54" s="4">
        <v>16.443658828735352</v>
      </c>
      <c r="Z54" s="4">
        <v>16.362009048461914</v>
      </c>
      <c r="AA54" s="4">
        <v>16.322860717773438</v>
      </c>
      <c r="AB54" s="4">
        <v>16.271949768066406</v>
      </c>
      <c r="AC54" s="4">
        <v>16.224653244018555</v>
      </c>
      <c r="AD54" s="4">
        <v>16.161823272705078</v>
      </c>
      <c r="AE54" s="4">
        <v>16.095335006713867</v>
      </c>
      <c r="AG54" s="4">
        <f t="shared" si="0"/>
        <v>16.664909536188301</v>
      </c>
    </row>
    <row r="55" spans="1:33" x14ac:dyDescent="0.2">
      <c r="A55" s="3" t="s">
        <v>154</v>
      </c>
      <c r="B55" s="3" t="s">
        <v>155</v>
      </c>
      <c r="C55" s="4">
        <v>16.011384963989258</v>
      </c>
      <c r="D55" s="4">
        <v>15.86951732635498</v>
      </c>
      <c r="E55" s="4">
        <v>15.720304489135742</v>
      </c>
      <c r="F55" s="4">
        <v>15.58570671081543</v>
      </c>
      <c r="G55" s="4">
        <v>15.519201278686523</v>
      </c>
      <c r="H55" s="4">
        <v>15.47593879699707</v>
      </c>
      <c r="I55" s="4">
        <v>15.419096946716309</v>
      </c>
      <c r="J55" s="4">
        <v>15.347480773925781</v>
      </c>
      <c r="K55" s="4">
        <v>15.316716194152832</v>
      </c>
      <c r="L55" s="4">
        <v>15.277759552001953</v>
      </c>
      <c r="M55" s="4">
        <v>15.235490798950195</v>
      </c>
      <c r="N55" s="4">
        <v>15.15836238861084</v>
      </c>
      <c r="O55" s="4">
        <v>15.055007934570313</v>
      </c>
      <c r="P55" s="4">
        <v>14.966877937316895</v>
      </c>
      <c r="Q55" s="4">
        <v>14.916476249694824</v>
      </c>
      <c r="R55" s="4">
        <v>14.846986770629883</v>
      </c>
      <c r="S55" s="4">
        <v>14.771993637084961</v>
      </c>
      <c r="T55" s="4">
        <v>14.700346946716309</v>
      </c>
      <c r="U55" s="4">
        <v>14.586286544799805</v>
      </c>
      <c r="V55" s="4">
        <v>14.447264671325684</v>
      </c>
      <c r="W55" s="4">
        <v>14.388177871704102</v>
      </c>
      <c r="X55" s="4">
        <v>14.346540451049805</v>
      </c>
      <c r="Y55" s="4">
        <v>14.294939994812012</v>
      </c>
      <c r="Z55" s="4">
        <v>14.25360107421875</v>
      </c>
      <c r="AA55" s="4">
        <v>14.226720809936523</v>
      </c>
      <c r="AB55" s="4">
        <v>14.172331809997559</v>
      </c>
      <c r="AC55" s="4">
        <v>14.127926826477051</v>
      </c>
      <c r="AD55" s="4">
        <v>14.090575218200684</v>
      </c>
      <c r="AE55" s="4">
        <v>14.055492401123047</v>
      </c>
      <c r="AG55" s="4">
        <f t="shared" si="0"/>
        <v>14.457744598388672</v>
      </c>
    </row>
    <row r="56" spans="1:33" x14ac:dyDescent="0.2">
      <c r="A56" s="3" t="s">
        <v>156</v>
      </c>
      <c r="B56" s="3" t="s">
        <v>157</v>
      </c>
      <c r="C56" s="4">
        <v>42.887588500976563</v>
      </c>
      <c r="D56" s="4">
        <v>43.109199523925781</v>
      </c>
      <c r="E56" s="4">
        <v>43.706722259521484</v>
      </c>
      <c r="F56" s="4">
        <v>45.315708160400391</v>
      </c>
      <c r="G56" s="4">
        <v>44.474372863769531</v>
      </c>
      <c r="H56" s="4">
        <v>44.859989166259766</v>
      </c>
      <c r="I56" s="4">
        <v>45.045642852783203</v>
      </c>
      <c r="J56" s="4">
        <v>44.546348571777344</v>
      </c>
      <c r="K56" s="4">
        <v>43.614860534667969</v>
      </c>
      <c r="L56" s="4">
        <v>44.472431182861328</v>
      </c>
      <c r="M56" s="4">
        <v>45.028301239013672</v>
      </c>
      <c r="N56" s="4">
        <v>44.966663360595703</v>
      </c>
      <c r="O56" s="4">
        <v>44.901718139648438</v>
      </c>
      <c r="P56" s="4">
        <v>45.019683837890625</v>
      </c>
      <c r="Q56" s="4">
        <v>45.370285034179688</v>
      </c>
      <c r="R56" s="4">
        <v>49.516464233398438</v>
      </c>
      <c r="S56" s="4">
        <v>47.031551361083984</v>
      </c>
      <c r="T56" s="4">
        <v>47.300655364990234</v>
      </c>
      <c r="U56" s="4">
        <v>47.585300445556641</v>
      </c>
      <c r="V56" s="4">
        <v>47.025211334228516</v>
      </c>
      <c r="W56" s="4">
        <v>46.704299926757813</v>
      </c>
      <c r="X56" s="4">
        <v>46.419837951660156</v>
      </c>
      <c r="Y56" s="4">
        <v>45.465312957763672</v>
      </c>
      <c r="Z56" s="4">
        <v>44.599403381347656</v>
      </c>
      <c r="AA56" s="4">
        <v>43.789882659912109</v>
      </c>
      <c r="AB56" s="4">
        <v>43.592464447021484</v>
      </c>
      <c r="AC56" s="4">
        <v>43.207233428955078</v>
      </c>
      <c r="AD56" s="4">
        <v>43.002414703369141</v>
      </c>
      <c r="AE56" s="4"/>
      <c r="AG56" s="4">
        <f t="shared" si="0"/>
        <v>46.275489460338243</v>
      </c>
    </row>
    <row r="57" spans="1:33" x14ac:dyDescent="0.2">
      <c r="A57" s="3" t="s">
        <v>158</v>
      </c>
      <c r="B57" s="3" t="s">
        <v>159</v>
      </c>
      <c r="C57" s="4">
        <v>52.750629425048828</v>
      </c>
      <c r="D57" s="4">
        <v>51.701522827148438</v>
      </c>
      <c r="E57" s="4">
        <v>50.313591003417969</v>
      </c>
      <c r="F57" s="4">
        <v>49.430774688720703</v>
      </c>
      <c r="G57" s="4">
        <v>48.893756866455078</v>
      </c>
      <c r="H57" s="4">
        <v>48.336139678955078</v>
      </c>
      <c r="I57" s="4">
        <v>47.703334808349609</v>
      </c>
      <c r="J57" s="4">
        <v>47.470008850097656</v>
      </c>
      <c r="K57" s="4">
        <v>47.181400299072266</v>
      </c>
      <c r="L57" s="4">
        <v>46.917812347412109</v>
      </c>
      <c r="M57" s="4">
        <v>46.688480377197266</v>
      </c>
      <c r="N57" s="4">
        <v>45.943431854248047</v>
      </c>
      <c r="O57" s="4">
        <v>44.268489837646484</v>
      </c>
      <c r="P57" s="4">
        <v>42.893146514892578</v>
      </c>
      <c r="Q57" s="4">
        <v>42.149822235107422</v>
      </c>
      <c r="R57" s="4">
        <v>41.766853332519531</v>
      </c>
      <c r="S57" s="4">
        <v>41.366050720214844</v>
      </c>
      <c r="T57" s="4">
        <v>40.900699615478516</v>
      </c>
      <c r="U57" s="4">
        <v>40.479999542236328</v>
      </c>
      <c r="V57" s="4">
        <v>40.129508972167969</v>
      </c>
      <c r="W57" s="4">
        <v>40.312232971191406</v>
      </c>
      <c r="X57" s="4">
        <v>40.116054534912109</v>
      </c>
      <c r="Y57" s="4">
        <v>40.142593383789063</v>
      </c>
      <c r="Z57" s="4">
        <v>40.111190795898438</v>
      </c>
      <c r="AA57" s="4">
        <v>39.957027435302734</v>
      </c>
      <c r="AB57" s="4">
        <v>39.815814971923828</v>
      </c>
      <c r="AC57" s="4">
        <v>39.842170715332031</v>
      </c>
      <c r="AD57" s="4">
        <v>39.403602600097656</v>
      </c>
      <c r="AE57" s="4"/>
      <c r="AG57" s="4">
        <f t="shared" si="0"/>
        <v>40.463456934148617</v>
      </c>
    </row>
    <row r="58" spans="1:33" x14ac:dyDescent="0.2">
      <c r="A58" s="3" t="s">
        <v>160</v>
      </c>
      <c r="B58" s="3" t="s">
        <v>161</v>
      </c>
      <c r="C58" s="4">
        <v>55.612892150878906</v>
      </c>
      <c r="D58" s="4">
        <v>54.206241607666016</v>
      </c>
      <c r="E58" s="4">
        <v>52.420764923095703</v>
      </c>
      <c r="F58" s="4">
        <v>64.13055419921875</v>
      </c>
      <c r="G58" s="4">
        <v>63.572345733642578</v>
      </c>
      <c r="H58" s="4">
        <v>63.364555358886719</v>
      </c>
      <c r="I58" s="4">
        <v>64.248748779296875</v>
      </c>
      <c r="J58" s="4">
        <v>64.991424560546875</v>
      </c>
      <c r="K58" s="4">
        <v>64.549102783203125</v>
      </c>
      <c r="L58" s="4">
        <v>65.013175964355469</v>
      </c>
      <c r="M58" s="4">
        <v>66.357429504394531</v>
      </c>
      <c r="N58" s="4">
        <v>66.438766479492188</v>
      </c>
      <c r="O58" s="4">
        <v>66.137138366699219</v>
      </c>
      <c r="P58" s="4">
        <v>65.761550903320313</v>
      </c>
      <c r="Q58" s="4">
        <v>64.85552978515625</v>
      </c>
      <c r="R58" s="4">
        <v>63.798427581787109</v>
      </c>
      <c r="S58" s="4">
        <v>63.459770202636719</v>
      </c>
      <c r="T58" s="4">
        <v>62.100231170654297</v>
      </c>
      <c r="U58" s="4">
        <v>60.722332000732422</v>
      </c>
      <c r="V58" s="4">
        <v>61.176979064941406</v>
      </c>
      <c r="W58" s="4">
        <v>60.772789001464844</v>
      </c>
      <c r="X58" s="4">
        <v>60.522861480712891</v>
      </c>
      <c r="Y58" s="4">
        <v>60.197311401367188</v>
      </c>
      <c r="Z58" s="4">
        <v>59.609149932861328</v>
      </c>
      <c r="AA58" s="4">
        <v>58.995594024658203</v>
      </c>
      <c r="AB58" s="4">
        <v>58.344467163085938</v>
      </c>
      <c r="AC58" s="4">
        <v>57.439022064208984</v>
      </c>
      <c r="AD58" s="4">
        <v>57.044727325439453</v>
      </c>
      <c r="AE58" s="4">
        <v>56.558139801025391</v>
      </c>
      <c r="AG58" s="4">
        <f t="shared" si="0"/>
        <v>60.881810274991125</v>
      </c>
    </row>
    <row r="59" spans="1:33" x14ac:dyDescent="0.2">
      <c r="A59" s="3" t="s">
        <v>162</v>
      </c>
      <c r="B59" s="3" t="s">
        <v>163</v>
      </c>
      <c r="C59" s="4">
        <v>16.671306610107422</v>
      </c>
      <c r="D59" s="4">
        <v>16.483053207397461</v>
      </c>
      <c r="E59" s="4">
        <v>16.299106597900391</v>
      </c>
      <c r="F59" s="4">
        <v>16.15736198425293</v>
      </c>
      <c r="G59" s="4">
        <v>16.054903030395508</v>
      </c>
      <c r="H59" s="4">
        <v>15.973368644714355</v>
      </c>
      <c r="I59" s="4">
        <v>15.885316848754883</v>
      </c>
      <c r="J59" s="4">
        <v>15.790488243103027</v>
      </c>
      <c r="K59" s="4">
        <v>15.735127449035645</v>
      </c>
      <c r="L59" s="4">
        <v>15.679186820983887</v>
      </c>
      <c r="M59" s="4">
        <v>15.650345802307129</v>
      </c>
      <c r="N59" s="4">
        <v>15.559358596801758</v>
      </c>
      <c r="O59" s="4">
        <v>15.480889320373535</v>
      </c>
      <c r="P59" s="4">
        <v>15.404288291931152</v>
      </c>
      <c r="Q59" s="4">
        <v>15.387752532958984</v>
      </c>
      <c r="R59" s="4">
        <v>15.35446834564209</v>
      </c>
      <c r="S59" s="4">
        <v>15.315201759338379</v>
      </c>
      <c r="T59" s="4">
        <v>15.300254821777344</v>
      </c>
      <c r="U59" s="4">
        <v>15.255112648010254</v>
      </c>
      <c r="V59" s="4">
        <v>15.19289493560791</v>
      </c>
      <c r="W59" s="4">
        <v>15.175193786621094</v>
      </c>
      <c r="X59" s="4">
        <v>15.179659843444824</v>
      </c>
      <c r="Y59" s="4">
        <v>15.1768798828125</v>
      </c>
      <c r="Z59" s="4">
        <v>15.16892147064209</v>
      </c>
      <c r="AA59" s="4">
        <v>15.167654037475586</v>
      </c>
      <c r="AB59" s="4">
        <v>15.126469612121582</v>
      </c>
      <c r="AC59" s="4">
        <v>15.094693183898926</v>
      </c>
      <c r="AD59" s="4">
        <v>15.07215690612793</v>
      </c>
      <c r="AE59" s="4">
        <v>15.039570808410645</v>
      </c>
      <c r="AG59" s="4">
        <f t="shared" si="0"/>
        <v>15.21933737668124</v>
      </c>
    </row>
    <row r="60" spans="1:33" x14ac:dyDescent="0.2">
      <c r="A60" s="3" t="s">
        <v>11</v>
      </c>
      <c r="B60" s="3" t="s">
        <v>44</v>
      </c>
      <c r="C60" s="4">
        <v>40.800056457519531</v>
      </c>
      <c r="D60" s="4">
        <v>40.412334442138672</v>
      </c>
      <c r="E60" s="4">
        <v>40.33795166015625</v>
      </c>
      <c r="F60" s="4">
        <v>40.203868865966797</v>
      </c>
      <c r="G60" s="4">
        <v>40.134487152099609</v>
      </c>
      <c r="H60" s="4">
        <v>40.184051513671875</v>
      </c>
      <c r="I60" s="4">
        <v>40.113990783691406</v>
      </c>
      <c r="J60" s="4">
        <v>40.233707427978516</v>
      </c>
      <c r="K60" s="4">
        <v>40.116455078125</v>
      </c>
      <c r="L60" s="4">
        <v>40.298923492431641</v>
      </c>
      <c r="M60" s="4">
        <v>39.675777435302734</v>
      </c>
      <c r="N60" s="4">
        <v>39.232028961181641</v>
      </c>
      <c r="O60" s="4">
        <v>39.408397674560547</v>
      </c>
      <c r="P60" s="4">
        <v>39.153560638427734</v>
      </c>
      <c r="Q60" s="4">
        <v>39.013534545898438</v>
      </c>
      <c r="R60" s="4">
        <v>38.887638092041016</v>
      </c>
      <c r="S60" s="4">
        <v>38.631591796875</v>
      </c>
      <c r="T60" s="5">
        <v>38.300792694091797</v>
      </c>
      <c r="U60" s="4">
        <v>37.94488525390625</v>
      </c>
      <c r="V60" s="4">
        <v>37.753368377685547</v>
      </c>
      <c r="W60" s="4">
        <v>37.923954010009766</v>
      </c>
      <c r="X60" s="4">
        <v>37.85418701171875</v>
      </c>
      <c r="Y60" s="4">
        <v>37.773811340332031</v>
      </c>
      <c r="Z60" s="4">
        <v>38.060897827148438</v>
      </c>
      <c r="AA60" s="4">
        <v>37.880928039550781</v>
      </c>
      <c r="AB60" s="4">
        <v>37.939140319824219</v>
      </c>
      <c r="AC60" s="4">
        <v>38.033409118652344</v>
      </c>
      <c r="AD60" s="4">
        <v>38.257102966308594</v>
      </c>
      <c r="AE60" s="4">
        <v>38.204689025878906</v>
      </c>
      <c r="AG60" s="4">
        <f t="shared" si="0"/>
        <v>38.086472251198508</v>
      </c>
    </row>
    <row r="61" spans="1:33" x14ac:dyDescent="0.2">
      <c r="A61" s="3" t="s">
        <v>164</v>
      </c>
      <c r="B61" s="3" t="s">
        <v>165</v>
      </c>
      <c r="C61" s="4">
        <v>28.762678146362305</v>
      </c>
      <c r="D61" s="4">
        <v>28.495588302612305</v>
      </c>
      <c r="E61" s="4">
        <v>28.412654876708984</v>
      </c>
      <c r="F61" s="4">
        <v>28.319284439086914</v>
      </c>
      <c r="G61" s="4">
        <v>28.339376449584961</v>
      </c>
      <c r="H61" s="4">
        <v>28.252586364746094</v>
      </c>
      <c r="I61" s="4">
        <v>28.109001159667969</v>
      </c>
      <c r="J61" s="4">
        <v>27.912448883056641</v>
      </c>
      <c r="K61" s="4">
        <v>27.908245086669922</v>
      </c>
      <c r="L61" s="4">
        <v>27.703098297119141</v>
      </c>
      <c r="M61" s="4">
        <v>27.480962753295898</v>
      </c>
      <c r="N61" s="4">
        <v>27.243831634521484</v>
      </c>
      <c r="O61" s="4">
        <v>27.167242050170898</v>
      </c>
      <c r="P61" s="4">
        <v>27.080600738525391</v>
      </c>
      <c r="Q61" s="4">
        <v>26.980649948120117</v>
      </c>
      <c r="R61" s="4">
        <v>26.84111213684082</v>
      </c>
      <c r="S61" s="4">
        <v>26.69249153137207</v>
      </c>
      <c r="T61" s="4">
        <v>26.500160217285156</v>
      </c>
      <c r="U61" s="4">
        <v>26.334873199462891</v>
      </c>
      <c r="V61" s="4">
        <v>26.067253112792969</v>
      </c>
      <c r="W61" s="4">
        <v>25.902324676513672</v>
      </c>
      <c r="X61" s="4">
        <v>25.585302352905273</v>
      </c>
      <c r="Y61" s="4">
        <v>25.409408569335938</v>
      </c>
      <c r="Z61" s="4">
        <v>25.481805801391602</v>
      </c>
      <c r="AA61" s="4">
        <v>25.67097282409668</v>
      </c>
      <c r="AB61" s="4">
        <v>25.778112411499023</v>
      </c>
      <c r="AC61" s="4">
        <v>25.874114990234375</v>
      </c>
      <c r="AD61" s="4">
        <v>26.00764274597168</v>
      </c>
      <c r="AE61" s="4">
        <v>26.175086975097656</v>
      </c>
      <c r="AG61" s="4">
        <f t="shared" si="0"/>
        <v>26.023983348499645</v>
      </c>
    </row>
    <row r="62" spans="1:33" x14ac:dyDescent="0.2">
      <c r="A62" s="3" t="s">
        <v>12</v>
      </c>
      <c r="B62" s="3" t="s">
        <v>45</v>
      </c>
      <c r="C62" s="4">
        <v>51.468944549560547</v>
      </c>
      <c r="D62" s="4">
        <v>51.556743621826172</v>
      </c>
      <c r="E62" s="4">
        <v>51.407211303710938</v>
      </c>
      <c r="F62" s="4">
        <v>51.196392059326172</v>
      </c>
      <c r="G62" s="4">
        <v>51.079387664794922</v>
      </c>
      <c r="H62" s="4">
        <v>50.676052093505859</v>
      </c>
      <c r="I62" s="4">
        <v>50.597400665283203</v>
      </c>
      <c r="J62" s="4">
        <v>50.160324096679688</v>
      </c>
      <c r="K62" s="4">
        <v>49.576377868652344</v>
      </c>
      <c r="L62" s="4">
        <v>49.040641784667969</v>
      </c>
      <c r="M62" s="4">
        <v>48.815708160400391</v>
      </c>
      <c r="N62" s="4">
        <v>48.668418884277344</v>
      </c>
      <c r="O62" s="4">
        <v>48.289760589599609</v>
      </c>
      <c r="P62" s="4">
        <v>48.131649017333984</v>
      </c>
      <c r="Q62" s="4">
        <v>48.137371063232422</v>
      </c>
      <c r="R62" s="4">
        <v>48.356868743896484</v>
      </c>
      <c r="S62" s="4">
        <v>48.392356872558594</v>
      </c>
      <c r="T62" s="4">
        <v>47.902030944824219</v>
      </c>
      <c r="U62" s="4">
        <v>47.536884307861328</v>
      </c>
      <c r="V62" s="4">
        <v>47.304737091064453</v>
      </c>
      <c r="W62" s="4">
        <v>47.105194091796875</v>
      </c>
      <c r="X62" s="4">
        <v>47.052288055419922</v>
      </c>
      <c r="Y62" s="4">
        <v>47.836025238037109</v>
      </c>
      <c r="Z62" s="4">
        <v>47.069080352783203</v>
      </c>
      <c r="AA62" s="4">
        <v>47.159137725830078</v>
      </c>
      <c r="AB62" s="4">
        <v>47.122039794921875</v>
      </c>
      <c r="AC62" s="4">
        <v>47.154613494873047</v>
      </c>
      <c r="AD62" s="4">
        <v>47.079307556152344</v>
      </c>
      <c r="AE62" s="4">
        <v>46.966190338134766</v>
      </c>
      <c r="AG62" s="4">
        <f t="shared" si="0"/>
        <v>47.530603928999469</v>
      </c>
    </row>
    <row r="63" spans="1:33" x14ac:dyDescent="0.2">
      <c r="A63" s="3" t="s">
        <v>166</v>
      </c>
      <c r="B63" s="3" t="s">
        <v>167</v>
      </c>
      <c r="C63" s="4">
        <v>46.567329406738281</v>
      </c>
      <c r="D63" s="4">
        <v>45.996303558349609</v>
      </c>
      <c r="E63" s="4">
        <v>45.985118865966797</v>
      </c>
      <c r="F63" s="4">
        <v>45.910923004150391</v>
      </c>
      <c r="G63" s="4">
        <v>45.851669311523438</v>
      </c>
      <c r="H63" s="4">
        <v>45.694538116455078</v>
      </c>
      <c r="I63" s="4">
        <v>45.483158111572266</v>
      </c>
      <c r="J63" s="4">
        <v>45.144565582275391</v>
      </c>
      <c r="K63" s="4">
        <v>44.966335296630859</v>
      </c>
      <c r="L63" s="4">
        <v>44.619705200195313</v>
      </c>
      <c r="M63" s="4">
        <v>44.263984680175781</v>
      </c>
      <c r="N63" s="4">
        <v>44.028091430664063</v>
      </c>
      <c r="O63" s="4">
        <v>43.444004058837891</v>
      </c>
      <c r="P63" s="4">
        <v>42.783470153808594</v>
      </c>
      <c r="Q63" s="4">
        <v>42.060222625732422</v>
      </c>
      <c r="R63" s="4">
        <v>41.173999786376953</v>
      </c>
      <c r="S63" s="4">
        <v>40.393768310546875</v>
      </c>
      <c r="T63" s="4">
        <v>39.200420379638672</v>
      </c>
      <c r="U63" s="4">
        <v>38.315711975097656</v>
      </c>
      <c r="V63" s="4">
        <v>37.411258697509766</v>
      </c>
      <c r="W63" s="4">
        <v>36.641223907470703</v>
      </c>
      <c r="X63" s="4">
        <v>35.585491180419922</v>
      </c>
      <c r="Y63" s="4">
        <v>34.671333312988281</v>
      </c>
      <c r="Z63" s="4">
        <v>33.580703735351563</v>
      </c>
      <c r="AA63" s="4">
        <v>32.933254241943359</v>
      </c>
      <c r="AB63" s="4">
        <v>32.138679504394531</v>
      </c>
      <c r="AC63" s="4">
        <v>30.496688842773438</v>
      </c>
      <c r="AD63" s="4">
        <v>30.123054504394531</v>
      </c>
      <c r="AE63" s="4"/>
      <c r="AG63" s="4">
        <f t="shared" si="0"/>
        <v>36.54962227561257</v>
      </c>
    </row>
    <row r="64" spans="1:33" x14ac:dyDescent="0.2">
      <c r="A64" s="3" t="s">
        <v>168</v>
      </c>
      <c r="B64" s="3" t="s">
        <v>169</v>
      </c>
      <c r="C64" s="4">
        <v>41.391925811767578</v>
      </c>
      <c r="D64" s="4">
        <v>41.210700988769531</v>
      </c>
      <c r="E64" s="4">
        <v>40.616237640380859</v>
      </c>
      <c r="F64" s="4">
        <v>41.167449951171875</v>
      </c>
      <c r="G64" s="4">
        <v>41.133220672607422</v>
      </c>
      <c r="H64" s="4">
        <v>41.206916809082031</v>
      </c>
      <c r="I64" s="4">
        <v>41.188488006591797</v>
      </c>
      <c r="J64" s="4">
        <v>40.735317230224609</v>
      </c>
      <c r="K64" s="4">
        <v>40.657562255859375</v>
      </c>
      <c r="L64" s="4">
        <v>40.518955230712891</v>
      </c>
      <c r="M64" s="4">
        <v>40.675846099853516</v>
      </c>
      <c r="N64" s="4">
        <v>40.851287841796875</v>
      </c>
      <c r="O64" s="4">
        <v>40.949783325195313</v>
      </c>
      <c r="P64" s="4">
        <v>40.672637939453125</v>
      </c>
      <c r="Q64" s="4">
        <v>41.204166412353516</v>
      </c>
      <c r="R64" s="4">
        <v>41.087104797363281</v>
      </c>
      <c r="S64" s="4">
        <v>41.452682495117188</v>
      </c>
      <c r="T64" s="4">
        <v>41.600639343261719</v>
      </c>
      <c r="U64" s="4">
        <v>42.228893280029297</v>
      </c>
      <c r="V64" s="4">
        <v>42.057918548583984</v>
      </c>
      <c r="W64" s="4">
        <v>42.295120239257813</v>
      </c>
      <c r="X64" s="4">
        <v>42.566497802734375</v>
      </c>
      <c r="Y64" s="4">
        <v>42.641895294189453</v>
      </c>
      <c r="Z64" s="4">
        <v>42.664112091064453</v>
      </c>
      <c r="AA64" s="4">
        <v>42.421566009521484</v>
      </c>
      <c r="AB64" s="4">
        <v>42.555984497070313</v>
      </c>
      <c r="AC64" s="4">
        <v>42.930591583251953</v>
      </c>
      <c r="AD64" s="4">
        <v>42.693706512451172</v>
      </c>
      <c r="AE64" s="4"/>
      <c r="AG64" s="4">
        <f t="shared" si="0"/>
        <v>42.142946763472125</v>
      </c>
    </row>
    <row r="65" spans="1:33" x14ac:dyDescent="0.2">
      <c r="A65" s="3" t="s">
        <v>170</v>
      </c>
      <c r="B65" s="3" t="s">
        <v>171</v>
      </c>
      <c r="C65" s="4">
        <v>47.938556671142578</v>
      </c>
      <c r="D65" s="4">
        <v>50.672374725341797</v>
      </c>
      <c r="E65" s="4">
        <v>50.646717071533203</v>
      </c>
      <c r="F65" s="4">
        <v>50.450332641601563</v>
      </c>
      <c r="G65" s="4">
        <v>49.849308013916016</v>
      </c>
      <c r="H65" s="4">
        <v>49.115985870361328</v>
      </c>
      <c r="I65" s="4">
        <v>49.026329040527344</v>
      </c>
      <c r="J65" s="4">
        <v>48.767154693603516</v>
      </c>
      <c r="K65" s="4">
        <v>48.172142028808594</v>
      </c>
      <c r="L65" s="4">
        <v>47.850395202636719</v>
      </c>
      <c r="M65" s="4">
        <v>47.422660827636719</v>
      </c>
      <c r="N65" s="4">
        <v>46.805248260498047</v>
      </c>
      <c r="O65" s="4">
        <v>46.669933319091797</v>
      </c>
      <c r="P65" s="4">
        <v>46.411556243896484</v>
      </c>
      <c r="Q65" s="4">
        <v>45.84967041015625</v>
      </c>
      <c r="R65" s="4">
        <v>45.600517272949219</v>
      </c>
      <c r="S65" s="4">
        <v>45.629737854003906</v>
      </c>
      <c r="T65" s="4">
        <v>45.100303649902344</v>
      </c>
      <c r="U65" s="4">
        <v>44.576923370361328</v>
      </c>
      <c r="V65" s="4">
        <v>44.660076141357422</v>
      </c>
      <c r="W65" s="4">
        <v>44.678737640380859</v>
      </c>
      <c r="X65" s="4">
        <v>44.358440399169922</v>
      </c>
      <c r="Y65" s="4">
        <v>44.014564514160156</v>
      </c>
      <c r="Z65" s="4">
        <v>44.051235198974609</v>
      </c>
      <c r="AA65" s="4">
        <v>44.100376129150391</v>
      </c>
      <c r="AB65" s="4">
        <v>44.258708953857422</v>
      </c>
      <c r="AC65" s="4">
        <v>44.131023406982422</v>
      </c>
      <c r="AD65" s="4">
        <v>43.946571350097656</v>
      </c>
      <c r="AE65" s="4"/>
      <c r="AG65" s="4">
        <f t="shared" si="0"/>
        <v>44.639056465842508</v>
      </c>
    </row>
    <row r="66" spans="1:33" x14ac:dyDescent="0.2">
      <c r="A66" s="3" t="s">
        <v>172</v>
      </c>
      <c r="B66" s="3" t="s">
        <v>173</v>
      </c>
      <c r="C66" s="4">
        <v>27.084804534912109</v>
      </c>
      <c r="D66" s="4">
        <v>26.562162399291992</v>
      </c>
      <c r="E66" s="4">
        <v>26.000675201416016</v>
      </c>
      <c r="F66" s="4">
        <v>25.485542297363281</v>
      </c>
      <c r="G66" s="4">
        <v>25.329143524169922</v>
      </c>
      <c r="H66" s="4">
        <v>25.214382171630859</v>
      </c>
      <c r="I66" s="4">
        <v>25.100421905517578</v>
      </c>
      <c r="J66" s="4">
        <v>25.007328033447266</v>
      </c>
      <c r="K66" s="4">
        <v>24.975385665893555</v>
      </c>
      <c r="L66" s="4">
        <v>24.96483039855957</v>
      </c>
      <c r="M66" s="4">
        <v>24.840902328491211</v>
      </c>
      <c r="N66" s="4">
        <v>24.670051574707031</v>
      </c>
      <c r="O66" s="4">
        <v>24.476842880249023</v>
      </c>
      <c r="P66" s="4">
        <v>24.353885650634766</v>
      </c>
      <c r="Q66" s="4">
        <v>24.216629028320313</v>
      </c>
      <c r="R66" s="4">
        <v>24.042070388793945</v>
      </c>
      <c r="S66" s="4">
        <v>23.870256423950195</v>
      </c>
      <c r="T66" s="4">
        <v>23.703115463256836</v>
      </c>
      <c r="U66" s="4">
        <v>23.411468505859375</v>
      </c>
      <c r="V66" s="4">
        <v>23.146503448486328</v>
      </c>
      <c r="W66" s="4">
        <v>23.012418746948242</v>
      </c>
      <c r="X66" s="4">
        <v>23.002538681030273</v>
      </c>
      <c r="Y66" s="4">
        <v>23.034276962280273</v>
      </c>
      <c r="Z66" s="4">
        <v>23.104331970214844</v>
      </c>
      <c r="AA66" s="4">
        <v>23.255060195922852</v>
      </c>
      <c r="AB66" s="4">
        <v>23.252143859863281</v>
      </c>
      <c r="AC66" s="4">
        <v>23.344596862792969</v>
      </c>
      <c r="AD66" s="4">
        <v>23.31645393371582</v>
      </c>
      <c r="AE66" s="4">
        <v>23.223573684692383</v>
      </c>
      <c r="AG66" s="4">
        <f t="shared" si="0"/>
        <v>23.348562240600586</v>
      </c>
    </row>
    <row r="67" spans="1:33" x14ac:dyDescent="0.2">
      <c r="A67" s="3" t="s">
        <v>174</v>
      </c>
      <c r="B67" s="3" t="s">
        <v>175</v>
      </c>
      <c r="C67" s="4">
        <v>16.9320068359375</v>
      </c>
      <c r="D67" s="4">
        <v>16.79075813293457</v>
      </c>
      <c r="E67" s="4">
        <v>16.661811828613281</v>
      </c>
      <c r="F67" s="4">
        <v>16.5833740234375</v>
      </c>
      <c r="G67" s="4">
        <v>16.542730331420898</v>
      </c>
      <c r="H67" s="4">
        <v>16.577354431152344</v>
      </c>
      <c r="I67" s="4">
        <v>16.513242721557617</v>
      </c>
      <c r="J67" s="4">
        <v>16.375953674316406</v>
      </c>
      <c r="K67" s="4">
        <v>16.273841857910156</v>
      </c>
      <c r="L67" s="4">
        <v>16.206811904907227</v>
      </c>
      <c r="M67" s="4">
        <v>16.044826507568359</v>
      </c>
      <c r="N67" s="4">
        <v>15.925678253173828</v>
      </c>
      <c r="O67" s="4">
        <v>15.762392044067383</v>
      </c>
      <c r="P67" s="4">
        <v>15.673687934875488</v>
      </c>
      <c r="Q67" s="4">
        <v>15.512532234191895</v>
      </c>
      <c r="R67" s="4">
        <v>15.354000091552734</v>
      </c>
      <c r="S67" s="4">
        <v>15.137496948242188</v>
      </c>
      <c r="T67" s="4">
        <v>15.006047248840332</v>
      </c>
      <c r="U67" s="4">
        <v>14.900070190429688</v>
      </c>
      <c r="V67" s="4">
        <v>14.696555137634277</v>
      </c>
      <c r="W67" s="4">
        <v>14.749034881591797</v>
      </c>
      <c r="X67" s="4">
        <v>14.808366775512695</v>
      </c>
      <c r="Y67" s="4">
        <v>14.905529022216797</v>
      </c>
      <c r="Z67" s="4">
        <v>15.00130558013916</v>
      </c>
      <c r="AA67" s="4">
        <v>15.058280944824219</v>
      </c>
      <c r="AB67" s="4">
        <v>15.090753555297852</v>
      </c>
      <c r="AC67" s="4">
        <v>15.096649169921875</v>
      </c>
      <c r="AD67" s="4">
        <v>15.043957710266113</v>
      </c>
      <c r="AE67" s="4">
        <v>14.996015548706055</v>
      </c>
      <c r="AG67" s="4">
        <f t="shared" ref="AG67:AG130" si="1">AVERAGE($R67:$AB67)</f>
        <v>14.973403670571066</v>
      </c>
    </row>
    <row r="68" spans="1:33" x14ac:dyDescent="0.2">
      <c r="A68" s="3" t="s">
        <v>13</v>
      </c>
      <c r="B68" s="3" t="s">
        <v>46</v>
      </c>
      <c r="C68" s="4">
        <v>26.323104858398438</v>
      </c>
      <c r="D68" s="4">
        <v>26.13134765625</v>
      </c>
      <c r="E68" s="4">
        <v>25.930332183837891</v>
      </c>
      <c r="F68" s="4">
        <v>25.7271728515625</v>
      </c>
      <c r="G68" s="4">
        <v>25.441801071166992</v>
      </c>
      <c r="H68" s="4">
        <v>25.032356262207031</v>
      </c>
      <c r="I68" s="4">
        <v>24.715343475341797</v>
      </c>
      <c r="J68" s="4">
        <v>24.362960815429688</v>
      </c>
      <c r="K68" s="4">
        <v>24.013774871826172</v>
      </c>
      <c r="L68" s="4">
        <v>23.624574661254883</v>
      </c>
      <c r="M68" s="4">
        <v>23.387630462646484</v>
      </c>
      <c r="N68" s="4">
        <v>23.158475875854492</v>
      </c>
      <c r="O68" s="4">
        <v>22.948118209838867</v>
      </c>
      <c r="P68" s="4">
        <v>22.669794082641602</v>
      </c>
      <c r="Q68" s="4">
        <v>22.303991317749023</v>
      </c>
      <c r="R68" s="4">
        <v>21.795886993408203</v>
      </c>
      <c r="S68" s="4">
        <v>21.266304016113281</v>
      </c>
      <c r="T68" s="5">
        <v>20.700939178466797</v>
      </c>
      <c r="U68" s="4">
        <v>20.192964553833008</v>
      </c>
      <c r="V68" s="4">
        <v>19.695468902587891</v>
      </c>
      <c r="W68" s="4">
        <v>19.275066375732422</v>
      </c>
      <c r="X68" s="4">
        <v>18.850730895996094</v>
      </c>
      <c r="Y68" s="4">
        <v>18.458332061767578</v>
      </c>
      <c r="Z68" s="4">
        <v>18.140811920166016</v>
      </c>
      <c r="AA68" s="4">
        <v>17.840627670288086</v>
      </c>
      <c r="AB68" s="4">
        <v>17.566015243530273</v>
      </c>
      <c r="AC68" s="4">
        <v>17.269660949707031</v>
      </c>
      <c r="AD68" s="4">
        <v>16.960294723510742</v>
      </c>
      <c r="AE68" s="4">
        <v>16.653045654296875</v>
      </c>
      <c r="AG68" s="4">
        <f t="shared" si="1"/>
        <v>19.434831619262695</v>
      </c>
    </row>
    <row r="69" spans="1:33" x14ac:dyDescent="0.2">
      <c r="A69" s="3" t="s">
        <v>14</v>
      </c>
      <c r="B69" s="3" t="s">
        <v>47</v>
      </c>
      <c r="C69" s="4">
        <v>22.722509384155273</v>
      </c>
      <c r="D69" s="4">
        <v>22.149333953857422</v>
      </c>
      <c r="E69" s="4">
        <v>21.719663619995117</v>
      </c>
      <c r="F69" s="4">
        <v>21.272235870361328</v>
      </c>
      <c r="G69" s="4">
        <v>20.879810333251953</v>
      </c>
      <c r="H69" s="4">
        <v>20.250991821289063</v>
      </c>
      <c r="I69" s="4">
        <v>19.952507019042969</v>
      </c>
      <c r="J69" s="4">
        <v>19.576122283935547</v>
      </c>
      <c r="K69" s="4">
        <v>19.407167434692383</v>
      </c>
      <c r="L69" s="4">
        <v>19.338741302490234</v>
      </c>
      <c r="M69" s="4">
        <v>19.185680389404297</v>
      </c>
      <c r="N69" s="4">
        <v>19.038862228393555</v>
      </c>
      <c r="O69" s="4">
        <v>18.854721069335938</v>
      </c>
      <c r="P69" s="4">
        <v>18.682374954223633</v>
      </c>
      <c r="Q69" s="4">
        <v>18.501169204711914</v>
      </c>
      <c r="R69" s="4">
        <v>18.253488540649414</v>
      </c>
      <c r="S69" s="4">
        <v>18.02515983581543</v>
      </c>
      <c r="T69" s="5">
        <v>17.900320053100586</v>
      </c>
      <c r="U69" s="4">
        <v>17.685661315917969</v>
      </c>
      <c r="V69" s="4">
        <v>17.432538986206055</v>
      </c>
      <c r="W69" s="4">
        <v>17.270965576171875</v>
      </c>
      <c r="X69" s="4">
        <v>17.029758453369141</v>
      </c>
      <c r="Y69" s="4">
        <v>16.739225387573242</v>
      </c>
      <c r="Z69" s="4">
        <v>16.472682952880859</v>
      </c>
      <c r="AA69" s="4">
        <v>16.233072280883789</v>
      </c>
      <c r="AB69" s="4">
        <v>15.950048446655273</v>
      </c>
      <c r="AC69" s="4">
        <v>15.743973731994629</v>
      </c>
      <c r="AD69" s="4">
        <v>15.537893295288086</v>
      </c>
      <c r="AE69" s="4">
        <v>15.284904479980469</v>
      </c>
      <c r="AG69" s="4">
        <f t="shared" si="1"/>
        <v>17.181174711747602</v>
      </c>
    </row>
    <row r="70" spans="1:33" x14ac:dyDescent="0.2">
      <c r="A70" s="3" t="s">
        <v>176</v>
      </c>
      <c r="B70" s="3" t="s">
        <v>177</v>
      </c>
      <c r="C70" s="4">
        <v>18.113857269287109</v>
      </c>
      <c r="D70" s="4">
        <v>17.994977951049805</v>
      </c>
      <c r="E70" s="4">
        <v>17.901561737060547</v>
      </c>
      <c r="F70" s="4">
        <v>17.831169128417969</v>
      </c>
      <c r="G70" s="4">
        <v>17.779630661010742</v>
      </c>
      <c r="H70" s="4">
        <v>17.765995025634766</v>
      </c>
      <c r="I70" s="4">
        <v>17.723854064941406</v>
      </c>
      <c r="J70" s="4">
        <v>17.716527938842773</v>
      </c>
      <c r="K70" s="4">
        <v>17.820423126220703</v>
      </c>
      <c r="L70" s="4">
        <v>17.873752593994141</v>
      </c>
      <c r="M70" s="4">
        <v>17.790388107299805</v>
      </c>
      <c r="N70" s="4">
        <v>17.708700180053711</v>
      </c>
      <c r="O70" s="4">
        <v>17.686943054199219</v>
      </c>
      <c r="P70" s="4">
        <v>17.649024963378906</v>
      </c>
      <c r="Q70" s="4">
        <v>17.590934753417969</v>
      </c>
      <c r="R70" s="4">
        <v>17.567771911621094</v>
      </c>
      <c r="S70" s="4">
        <v>17.37565803527832</v>
      </c>
      <c r="T70" s="4">
        <v>17.300214767456055</v>
      </c>
      <c r="U70" s="4">
        <v>16.983648300170898</v>
      </c>
      <c r="V70" s="4">
        <v>16.82139778137207</v>
      </c>
      <c r="W70" s="4">
        <v>16.584611892700195</v>
      </c>
      <c r="X70" s="4">
        <v>16.389545440673828</v>
      </c>
      <c r="Y70" s="4">
        <v>16.324916839599609</v>
      </c>
      <c r="Z70" s="4">
        <v>16.258142471313477</v>
      </c>
      <c r="AA70" s="4">
        <v>16.116867065429688</v>
      </c>
      <c r="AB70" s="4">
        <v>16.093391418457031</v>
      </c>
      <c r="AC70" s="4">
        <v>16.151973724365234</v>
      </c>
      <c r="AD70" s="4">
        <v>16.098518371582031</v>
      </c>
      <c r="AE70" s="4">
        <v>16.093971252441406</v>
      </c>
      <c r="AG70" s="4">
        <f t="shared" si="1"/>
        <v>16.710560538552024</v>
      </c>
    </row>
    <row r="71" spans="1:33" x14ac:dyDescent="0.2">
      <c r="A71" s="3" t="s">
        <v>178</v>
      </c>
      <c r="B71" s="3" t="s">
        <v>179</v>
      </c>
      <c r="C71" s="4">
        <v>18.033313751220703</v>
      </c>
      <c r="D71" s="4">
        <v>17.854377746582031</v>
      </c>
      <c r="E71" s="4">
        <v>17.702297210693359</v>
      </c>
      <c r="F71" s="4">
        <v>17.657754898071289</v>
      </c>
      <c r="G71" s="4">
        <v>17.613666534423828</v>
      </c>
      <c r="H71" s="4">
        <v>17.68889045715332</v>
      </c>
      <c r="I71" s="4">
        <v>17.570127487182617</v>
      </c>
      <c r="J71" s="4">
        <v>17.377843856811523</v>
      </c>
      <c r="K71" s="4">
        <v>17.254461288452148</v>
      </c>
      <c r="L71" s="4">
        <v>17.138225555419922</v>
      </c>
      <c r="M71" s="4">
        <v>16.944372177124023</v>
      </c>
      <c r="N71" s="4">
        <v>16.71348762512207</v>
      </c>
      <c r="O71" s="4">
        <v>16.462991714477539</v>
      </c>
      <c r="P71" s="4">
        <v>16.239114761352539</v>
      </c>
      <c r="Q71" s="4">
        <v>16.047657012939453</v>
      </c>
      <c r="R71" s="4">
        <v>15.843319892883301</v>
      </c>
      <c r="S71" s="4">
        <v>15.593533515930176</v>
      </c>
      <c r="T71" s="4">
        <v>15.400223731994629</v>
      </c>
      <c r="U71" s="4">
        <v>15.123202323913574</v>
      </c>
      <c r="V71" s="4">
        <v>14.79654598236084</v>
      </c>
      <c r="W71" s="4">
        <v>14.651790618896484</v>
      </c>
      <c r="X71" s="4">
        <v>14.587576866149902</v>
      </c>
      <c r="Y71" s="4">
        <v>14.477949142456055</v>
      </c>
      <c r="Z71" s="4">
        <v>14.487123489379883</v>
      </c>
      <c r="AA71" s="4">
        <v>14.408570289611816</v>
      </c>
      <c r="AB71" s="4">
        <v>14.256734848022461</v>
      </c>
      <c r="AC71" s="4">
        <v>13.892724990844727</v>
      </c>
      <c r="AD71" s="4">
        <v>13.802472114562988</v>
      </c>
      <c r="AE71" s="4">
        <v>13.805371284484863</v>
      </c>
      <c r="AG71" s="4">
        <f t="shared" si="1"/>
        <v>14.875142791054465</v>
      </c>
    </row>
    <row r="72" spans="1:33" x14ac:dyDescent="0.2">
      <c r="A72" s="3" t="s">
        <v>180</v>
      </c>
      <c r="B72" s="3" t="s">
        <v>181</v>
      </c>
      <c r="C72" s="4">
        <v>22.925588607788086</v>
      </c>
      <c r="D72" s="4">
        <v>22.831207275390625</v>
      </c>
      <c r="E72" s="4">
        <v>22.670310974121094</v>
      </c>
      <c r="F72" s="4">
        <v>22.560085296630859</v>
      </c>
      <c r="G72" s="4">
        <v>22.535736083984375</v>
      </c>
      <c r="H72" s="4">
        <v>22.426847457885742</v>
      </c>
      <c r="I72" s="4">
        <v>22.232696533203125</v>
      </c>
      <c r="J72" s="4">
        <v>21.91224479675293</v>
      </c>
      <c r="K72" s="4">
        <v>21.654397964477539</v>
      </c>
      <c r="L72" s="4">
        <v>21.415979385375977</v>
      </c>
      <c r="M72" s="4">
        <v>21.301267623901367</v>
      </c>
      <c r="N72" s="4">
        <v>21.041172027587891</v>
      </c>
      <c r="O72" s="4">
        <v>20.835777282714844</v>
      </c>
      <c r="P72" s="4">
        <v>20.77580451965332</v>
      </c>
      <c r="Q72" s="4">
        <v>20.761100769042969</v>
      </c>
      <c r="R72" s="4">
        <v>20.760480880737305</v>
      </c>
      <c r="S72" s="4">
        <v>20.707084655761719</v>
      </c>
      <c r="T72" s="4">
        <v>20.703126907348633</v>
      </c>
      <c r="U72" s="4">
        <v>20.668428421020508</v>
      </c>
      <c r="V72" s="4">
        <v>20.645544052124023</v>
      </c>
      <c r="W72" s="4">
        <v>20.596977233886719</v>
      </c>
      <c r="X72" s="4">
        <v>20.491296768188477</v>
      </c>
      <c r="Y72" s="4">
        <v>20.417062759399414</v>
      </c>
      <c r="Z72" s="4">
        <v>20.308788299560547</v>
      </c>
      <c r="AA72" s="4">
        <v>20.215734481811523</v>
      </c>
      <c r="AB72" s="4">
        <v>20.117715835571289</v>
      </c>
      <c r="AC72" s="4">
        <v>19.965126037597656</v>
      </c>
      <c r="AD72" s="4">
        <v>19.814519882202148</v>
      </c>
      <c r="AE72" s="4">
        <v>19.63728141784668</v>
      </c>
      <c r="AG72" s="4">
        <f t="shared" si="1"/>
        <v>20.512021845037285</v>
      </c>
    </row>
    <row r="73" spans="1:33" x14ac:dyDescent="0.2">
      <c r="A73" s="3" t="s">
        <v>182</v>
      </c>
      <c r="B73" s="3" t="s">
        <v>183</v>
      </c>
      <c r="C73" s="4">
        <v>29.117042541503906</v>
      </c>
      <c r="D73" s="4">
        <v>28.98469352722168</v>
      </c>
      <c r="E73" s="4">
        <v>28.729496002197266</v>
      </c>
      <c r="F73" s="4">
        <v>28.464000701904297</v>
      </c>
      <c r="G73" s="4">
        <v>28.268352508544922</v>
      </c>
      <c r="H73" s="4">
        <v>28.141403198242188</v>
      </c>
      <c r="I73" s="4">
        <v>28.027109146118164</v>
      </c>
      <c r="J73" s="4">
        <v>27.869173049926758</v>
      </c>
      <c r="K73" s="4">
        <v>27.727777481079102</v>
      </c>
      <c r="L73" s="4">
        <v>27.619495391845703</v>
      </c>
      <c r="M73" s="4">
        <v>27.516921997070313</v>
      </c>
      <c r="N73" s="4">
        <v>27.421474456787109</v>
      </c>
      <c r="O73" s="4">
        <v>27.318990707397461</v>
      </c>
      <c r="P73" s="4">
        <v>27.253713607788086</v>
      </c>
      <c r="Q73" s="4">
        <v>27.150197982788086</v>
      </c>
      <c r="R73" s="4">
        <v>27.008926391601563</v>
      </c>
      <c r="S73" s="4">
        <v>26.926532745361328</v>
      </c>
      <c r="T73" s="4">
        <v>26.800912857055664</v>
      </c>
      <c r="U73" s="4">
        <v>26.612842559814453</v>
      </c>
      <c r="V73" s="4">
        <v>26.395919799804688</v>
      </c>
      <c r="W73" s="4">
        <v>26.247173309326172</v>
      </c>
      <c r="X73" s="4">
        <v>26.212728500366211</v>
      </c>
      <c r="Y73" s="4">
        <v>26.1656494140625</v>
      </c>
      <c r="Z73" s="4">
        <v>26.029495239257813</v>
      </c>
      <c r="AA73" s="4">
        <v>26.014705657958984</v>
      </c>
      <c r="AB73" s="4">
        <v>26.034307479858398</v>
      </c>
      <c r="AC73" s="4">
        <v>26.093414306640625</v>
      </c>
      <c r="AD73" s="4">
        <v>26.098173141479492</v>
      </c>
      <c r="AE73" s="4">
        <v>26.081108093261719</v>
      </c>
      <c r="AG73" s="4">
        <f t="shared" si="1"/>
        <v>26.404472177678887</v>
      </c>
    </row>
    <row r="74" spans="1:33" x14ac:dyDescent="0.2">
      <c r="A74" s="3" t="s">
        <v>184</v>
      </c>
      <c r="B74" s="3" t="s">
        <v>185</v>
      </c>
      <c r="C74" s="4">
        <v>34.378330230712891</v>
      </c>
      <c r="D74" s="4">
        <v>34.338191986083984</v>
      </c>
      <c r="E74" s="4">
        <v>34.205310821533203</v>
      </c>
      <c r="F74" s="4">
        <v>33.788616180419922</v>
      </c>
      <c r="G74" s="4">
        <v>33.746204376220703</v>
      </c>
      <c r="H74" s="4">
        <v>33.658344268798828</v>
      </c>
      <c r="I74" s="4">
        <v>33.189888000488281</v>
      </c>
      <c r="J74" s="4">
        <v>32.809524536132813</v>
      </c>
      <c r="K74" s="4">
        <v>32.644577026367188</v>
      </c>
      <c r="L74" s="4">
        <v>32.612430572509766</v>
      </c>
      <c r="M74" s="4">
        <v>32.4512939453125</v>
      </c>
      <c r="N74" s="4">
        <v>32.250789642333984</v>
      </c>
      <c r="O74" s="4">
        <v>32.524620056152344</v>
      </c>
      <c r="P74" s="4">
        <v>32.636104583740234</v>
      </c>
      <c r="Q74" s="4">
        <v>32.585624694824219</v>
      </c>
      <c r="R74" s="4">
        <v>32.448680877685547</v>
      </c>
      <c r="S74" s="4">
        <v>32.505146026611328</v>
      </c>
      <c r="T74" s="4">
        <v>32.501922607421875</v>
      </c>
      <c r="U74" s="4">
        <v>32.303508758544922</v>
      </c>
      <c r="V74" s="4">
        <v>32.159675598144531</v>
      </c>
      <c r="W74" s="4">
        <v>31.951496124267578</v>
      </c>
      <c r="X74" s="4">
        <v>31.904550552368164</v>
      </c>
      <c r="Y74" s="4">
        <v>31.815607070922852</v>
      </c>
      <c r="Z74" s="4">
        <v>31.773012161254883</v>
      </c>
      <c r="AA74" s="4">
        <v>31.734218597412109</v>
      </c>
      <c r="AB74" s="4">
        <v>31.724681854248047</v>
      </c>
      <c r="AC74" s="4">
        <v>31.798721313476563</v>
      </c>
      <c r="AD74" s="4">
        <v>31.776714324951172</v>
      </c>
      <c r="AE74" s="4">
        <v>31.724811553955078</v>
      </c>
      <c r="AG74" s="4">
        <f t="shared" si="1"/>
        <v>32.074772748080164</v>
      </c>
    </row>
    <row r="75" spans="1:33" x14ac:dyDescent="0.2">
      <c r="A75" s="3" t="s">
        <v>186</v>
      </c>
      <c r="B75" s="3" t="s">
        <v>187</v>
      </c>
      <c r="C75" s="4">
        <v>11.725110054016113</v>
      </c>
      <c r="D75" s="4">
        <v>11.589923858642578</v>
      </c>
      <c r="E75" s="4">
        <v>11.456301689147949</v>
      </c>
      <c r="F75" s="4">
        <v>11.337201118469238</v>
      </c>
      <c r="G75" s="4">
        <v>11.221928596496582</v>
      </c>
      <c r="H75" s="4">
        <v>11.119105339050293</v>
      </c>
      <c r="I75" s="4">
        <v>11.01300048828125</v>
      </c>
      <c r="J75" s="4">
        <v>10.920208930969238</v>
      </c>
      <c r="K75" s="4">
        <v>10.805789947509766</v>
      </c>
      <c r="L75" s="4">
        <v>10.696807861328125</v>
      </c>
      <c r="M75" s="4">
        <v>10.611603736877441</v>
      </c>
      <c r="N75" s="4">
        <v>10.533671379089355</v>
      </c>
      <c r="O75" s="4">
        <v>10.460753440856934</v>
      </c>
      <c r="P75" s="4">
        <v>10.41679573059082</v>
      </c>
      <c r="Q75" s="4">
        <v>10.394816398620605</v>
      </c>
      <c r="R75" s="4">
        <v>10.373858451843262</v>
      </c>
      <c r="S75" s="4">
        <v>10.354666709899902</v>
      </c>
      <c r="T75" s="4">
        <v>10.300143241882324</v>
      </c>
      <c r="U75" s="4">
        <v>10.271997451782227</v>
      </c>
      <c r="V75" s="4">
        <v>10.22944164276123</v>
      </c>
      <c r="W75" s="4">
        <v>10.231642723083496</v>
      </c>
      <c r="X75" s="4">
        <v>10.215290069580078</v>
      </c>
      <c r="Y75" s="4">
        <v>10.207785606384277</v>
      </c>
      <c r="Z75" s="4">
        <v>10.213778495788574</v>
      </c>
      <c r="AA75" s="4">
        <v>10.219457626342773</v>
      </c>
      <c r="AB75" s="4">
        <v>10.213905334472656</v>
      </c>
      <c r="AC75" s="4">
        <v>10.212501525878906</v>
      </c>
      <c r="AD75" s="4">
        <v>10.212284088134766</v>
      </c>
      <c r="AE75" s="4">
        <v>10.196504592895508</v>
      </c>
      <c r="AG75" s="4">
        <f t="shared" si="1"/>
        <v>10.257451577620072</v>
      </c>
    </row>
    <row r="76" spans="1:33" x14ac:dyDescent="0.2">
      <c r="A76" s="3" t="s">
        <v>188</v>
      </c>
      <c r="B76" s="3" t="s">
        <v>189</v>
      </c>
      <c r="C76" s="4">
        <v>17.473674774169922</v>
      </c>
      <c r="D76" s="4">
        <v>17.795417785644531</v>
      </c>
      <c r="E76" s="4">
        <v>17.843700408935547</v>
      </c>
      <c r="F76" s="4">
        <v>17.81096076965332</v>
      </c>
      <c r="G76" s="4">
        <v>17.734476089477539</v>
      </c>
      <c r="H76" s="4">
        <v>17.776096343994141</v>
      </c>
      <c r="I76" s="4">
        <v>17.614891052246094</v>
      </c>
      <c r="J76" s="4">
        <v>17.501926422119141</v>
      </c>
      <c r="K76" s="4">
        <v>17.534749984741211</v>
      </c>
      <c r="L76" s="4">
        <v>17.489740371704102</v>
      </c>
      <c r="M76" s="4">
        <v>17.475038528442383</v>
      </c>
      <c r="N76" s="4">
        <v>17.468843460083008</v>
      </c>
      <c r="O76" s="4">
        <v>17.469223022460938</v>
      </c>
      <c r="P76" s="4">
        <v>17.414211273193359</v>
      </c>
      <c r="Q76" s="4">
        <v>17.423471450805664</v>
      </c>
      <c r="R76" s="4">
        <v>17.317571640014648</v>
      </c>
      <c r="S76" s="4">
        <v>17.186212539672852</v>
      </c>
      <c r="T76" s="4">
        <v>17.200166702270508</v>
      </c>
      <c r="U76" s="4">
        <v>16.971271514892578</v>
      </c>
      <c r="V76" s="4">
        <v>16.834953308105469</v>
      </c>
      <c r="W76" s="4">
        <v>16.721639633178711</v>
      </c>
      <c r="X76" s="4">
        <v>16.600261688232422</v>
      </c>
      <c r="Y76" s="4">
        <v>16.502002716064453</v>
      </c>
      <c r="Z76" s="4">
        <v>16.292793273925781</v>
      </c>
      <c r="AA76" s="4">
        <v>16.170566558837891</v>
      </c>
      <c r="AB76" s="4">
        <v>16.057147979736328</v>
      </c>
      <c r="AC76" s="4">
        <v>15.873798370361328</v>
      </c>
      <c r="AD76" s="4">
        <v>15.824355125427246</v>
      </c>
      <c r="AE76" s="4">
        <v>15.758955001831055</v>
      </c>
      <c r="AG76" s="4">
        <f t="shared" si="1"/>
        <v>16.714053414084695</v>
      </c>
    </row>
    <row r="77" spans="1:33" x14ac:dyDescent="0.2">
      <c r="A77" s="3" t="s">
        <v>190</v>
      </c>
      <c r="B77" s="3" t="s">
        <v>191</v>
      </c>
      <c r="C77" s="4">
        <v>39.575523376464844</v>
      </c>
      <c r="D77" s="4">
        <v>38.695388793945313</v>
      </c>
      <c r="E77" s="4">
        <v>38.087089538574219</v>
      </c>
      <c r="F77" s="4">
        <v>37.437515258789063</v>
      </c>
      <c r="G77" s="4">
        <v>36.471576690673828</v>
      </c>
      <c r="H77" s="4">
        <v>36.310630798339844</v>
      </c>
      <c r="I77" s="4">
        <v>36.856483459472656</v>
      </c>
      <c r="J77" s="4">
        <v>37.208835601806641</v>
      </c>
      <c r="K77" s="4">
        <v>37.466232299804688</v>
      </c>
      <c r="L77" s="4">
        <v>37.478797912597656</v>
      </c>
      <c r="M77" s="4">
        <v>37.735984802246094</v>
      </c>
      <c r="N77" s="4">
        <v>38.278579711914063</v>
      </c>
      <c r="O77" s="4">
        <v>38.534133911132813</v>
      </c>
      <c r="P77" s="4">
        <v>38.860038757324219</v>
      </c>
      <c r="Q77" s="4">
        <v>39.022502899169922</v>
      </c>
      <c r="R77" s="4">
        <v>38.954334259033203</v>
      </c>
      <c r="S77" s="4">
        <v>38.731422424316406</v>
      </c>
      <c r="T77" s="4">
        <v>38.400150299072266</v>
      </c>
      <c r="U77" s="4">
        <v>38.193084716796875</v>
      </c>
      <c r="V77" s="4">
        <v>37.707881927490234</v>
      </c>
      <c r="W77" s="4">
        <v>37.538291931152344</v>
      </c>
      <c r="X77" s="4">
        <v>37.285549163818359</v>
      </c>
      <c r="Y77" s="4">
        <v>37.040672302246094</v>
      </c>
      <c r="Z77" s="4">
        <v>36.828777313232422</v>
      </c>
      <c r="AA77" s="4">
        <v>36.364524841308594</v>
      </c>
      <c r="AB77" s="4">
        <v>35.970626831054688</v>
      </c>
      <c r="AC77" s="4">
        <v>35.466030120849609</v>
      </c>
      <c r="AD77" s="4">
        <v>35.082260131835938</v>
      </c>
      <c r="AE77" s="4">
        <v>34.803569793701172</v>
      </c>
      <c r="AG77" s="4">
        <f t="shared" si="1"/>
        <v>37.5468469099565</v>
      </c>
    </row>
    <row r="78" spans="1:33" x14ac:dyDescent="0.2">
      <c r="A78" s="3" t="s">
        <v>16</v>
      </c>
      <c r="B78" s="3" t="s">
        <v>49</v>
      </c>
      <c r="C78" s="4">
        <v>29.798599243164063</v>
      </c>
      <c r="D78" s="4">
        <v>29.846885681152344</v>
      </c>
      <c r="E78" s="4">
        <v>29.864704132080078</v>
      </c>
      <c r="F78" s="4">
        <v>30.004718780517578</v>
      </c>
      <c r="G78" s="4">
        <v>30.111625671386719</v>
      </c>
      <c r="H78" s="4">
        <v>30.199333190917969</v>
      </c>
      <c r="I78" s="4">
        <v>30.352085113525391</v>
      </c>
      <c r="J78" s="4">
        <v>30.369468688964844</v>
      </c>
      <c r="K78" s="4">
        <v>30.345207214355469</v>
      </c>
      <c r="L78" s="4">
        <v>30.37785530090332</v>
      </c>
      <c r="M78" s="4">
        <v>30.325422286987305</v>
      </c>
      <c r="N78" s="4">
        <v>30.212514877319336</v>
      </c>
      <c r="O78" s="4">
        <v>30.142971038818359</v>
      </c>
      <c r="P78" s="4">
        <v>30.062213897705078</v>
      </c>
      <c r="Q78" s="4">
        <v>30.089145660400391</v>
      </c>
      <c r="R78" s="4">
        <v>29.928895950317383</v>
      </c>
      <c r="S78" s="4">
        <v>29.694648742675781</v>
      </c>
      <c r="T78" s="4">
        <v>29.502323150634766</v>
      </c>
      <c r="U78" s="4">
        <v>29.23484992980957</v>
      </c>
      <c r="V78" s="4">
        <v>28.86231803894043</v>
      </c>
      <c r="W78" s="4">
        <v>28.517988204956055</v>
      </c>
      <c r="X78" s="4">
        <v>28.169294357299805</v>
      </c>
      <c r="Y78" s="4">
        <v>27.809965133666992</v>
      </c>
      <c r="Z78" s="4">
        <v>27.492343902587891</v>
      </c>
      <c r="AA78" s="4">
        <v>27.134504318237305</v>
      </c>
      <c r="AB78" s="4">
        <v>26.740083694458008</v>
      </c>
      <c r="AC78" s="4">
        <v>26.519405364990234</v>
      </c>
      <c r="AD78" s="4">
        <v>26.280603408813477</v>
      </c>
      <c r="AE78" s="4">
        <v>26.01829719543457</v>
      </c>
      <c r="AG78" s="4">
        <f t="shared" si="1"/>
        <v>28.462474129416726</v>
      </c>
    </row>
    <row r="79" spans="1:33" x14ac:dyDescent="0.2">
      <c r="A79" s="3" t="s">
        <v>192</v>
      </c>
      <c r="B79" s="3" t="s">
        <v>193</v>
      </c>
      <c r="C79" s="4">
        <v>36.299396514892578</v>
      </c>
      <c r="D79" s="4">
        <v>35.122524261474609</v>
      </c>
      <c r="E79" s="4">
        <v>34.045768737792969</v>
      </c>
      <c r="F79" s="4">
        <v>33.042163848876953</v>
      </c>
      <c r="G79" s="4">
        <v>32.163505554199219</v>
      </c>
      <c r="H79" s="4">
        <v>31.280305862426758</v>
      </c>
      <c r="I79" s="4">
        <v>30.411594390869141</v>
      </c>
      <c r="J79" s="4">
        <v>29.696813583374023</v>
      </c>
      <c r="K79" s="4">
        <v>28.866628646850586</v>
      </c>
      <c r="L79" s="4">
        <v>28.542724609375</v>
      </c>
      <c r="M79" s="4">
        <v>28.219955444335938</v>
      </c>
      <c r="N79" s="4">
        <v>27.770116806030273</v>
      </c>
      <c r="O79" s="4">
        <v>27.388248443603516</v>
      </c>
      <c r="P79" s="4">
        <v>26.923641204833984</v>
      </c>
      <c r="Q79" s="4">
        <v>26.610967636108398</v>
      </c>
      <c r="R79" s="4">
        <v>26.293331146240234</v>
      </c>
      <c r="S79" s="4">
        <v>25.94517707824707</v>
      </c>
      <c r="T79" s="4">
        <v>25.600278854370117</v>
      </c>
      <c r="U79" s="4">
        <v>25.239955902099609</v>
      </c>
      <c r="V79" s="4">
        <v>24.865625381469727</v>
      </c>
      <c r="W79" s="4">
        <v>24.613712310791016</v>
      </c>
      <c r="X79" s="4">
        <v>24.366142272949219</v>
      </c>
      <c r="Y79" s="4">
        <v>24.191593170166016</v>
      </c>
      <c r="Z79" s="4">
        <v>24.030796051025391</v>
      </c>
      <c r="AA79" s="4">
        <v>23.901079177856445</v>
      </c>
      <c r="AB79" s="4">
        <v>23.724531173706055</v>
      </c>
      <c r="AC79" s="4">
        <v>23.508865356445313</v>
      </c>
      <c r="AD79" s="4">
        <v>23.270727157592773</v>
      </c>
      <c r="AE79" s="4">
        <v>23.030208587646484</v>
      </c>
      <c r="AG79" s="4">
        <f t="shared" si="1"/>
        <v>24.797474774447355</v>
      </c>
    </row>
    <row r="80" spans="1:33" x14ac:dyDescent="0.2">
      <c r="A80" s="3" t="s">
        <v>194</v>
      </c>
      <c r="B80" s="3" t="s">
        <v>195</v>
      </c>
      <c r="C80" s="4"/>
      <c r="D80" s="4"/>
      <c r="E80" s="4">
        <v>17.502666473388672</v>
      </c>
      <c r="F80" s="4">
        <v>17.761985778808594</v>
      </c>
      <c r="G80" s="4">
        <v>17.509321212768555</v>
      </c>
      <c r="H80" s="4">
        <v>17.400238037109375</v>
      </c>
      <c r="I80" s="4">
        <v>17.784963607788086</v>
      </c>
      <c r="J80" s="4">
        <v>17.855478286743164</v>
      </c>
      <c r="K80" s="4">
        <v>17.587898254394531</v>
      </c>
      <c r="L80" s="4">
        <v>17.481756210327148</v>
      </c>
      <c r="M80" s="4">
        <v>17.609649658203125</v>
      </c>
      <c r="N80" s="4">
        <v>17.504398345947266</v>
      </c>
      <c r="O80" s="4">
        <v>17.604181289672852</v>
      </c>
      <c r="P80" s="4">
        <v>17.697938919067383</v>
      </c>
      <c r="Q80" s="4">
        <v>17.843254089355469</v>
      </c>
      <c r="R80" s="4">
        <v>17.935600280761719</v>
      </c>
      <c r="S80" s="4">
        <v>17.90087890625</v>
      </c>
      <c r="T80" s="4">
        <v>17.542678833007813</v>
      </c>
      <c r="U80" s="4">
        <v>17.123464584350586</v>
      </c>
      <c r="V80" s="4">
        <v>16.748722076416016</v>
      </c>
      <c r="W80" s="4">
        <v>16.677959442138672</v>
      </c>
      <c r="X80" s="4">
        <v>16.443605422973633</v>
      </c>
      <c r="Y80" s="4">
        <v>16.286184310913086</v>
      </c>
      <c r="Z80" s="4">
        <v>15.929121971130371</v>
      </c>
      <c r="AA80" s="4">
        <v>15.671114921569824</v>
      </c>
      <c r="AB80" s="4">
        <v>15.309465408325195</v>
      </c>
      <c r="AC80" s="4">
        <v>14.959810256958008</v>
      </c>
      <c r="AD80" s="4">
        <v>14.735454559326172</v>
      </c>
      <c r="AE80" s="4">
        <v>14.535524368286133</v>
      </c>
      <c r="AG80" s="4">
        <f t="shared" si="1"/>
        <v>16.688072377985176</v>
      </c>
    </row>
    <row r="81" spans="1:33" x14ac:dyDescent="0.2">
      <c r="A81" s="3" t="s">
        <v>196</v>
      </c>
      <c r="B81" s="3" t="s">
        <v>197</v>
      </c>
      <c r="C81" s="4">
        <v>34.399524688720703</v>
      </c>
      <c r="D81" s="4">
        <v>35.144439697265625</v>
      </c>
      <c r="E81" s="4">
        <v>35.103675842285156</v>
      </c>
      <c r="F81" s="4">
        <v>35.002872467041016</v>
      </c>
      <c r="G81" s="4">
        <v>35.152511596679688</v>
      </c>
      <c r="H81" s="4">
        <v>35.036128997802734</v>
      </c>
      <c r="I81" s="4">
        <v>34.764404296875</v>
      </c>
      <c r="J81" s="4">
        <v>36.830501556396484</v>
      </c>
      <c r="K81" s="4">
        <v>37.477077484130859</v>
      </c>
      <c r="L81" s="4">
        <v>38.048919677734375</v>
      </c>
      <c r="M81" s="4">
        <v>38.099712371826172</v>
      </c>
      <c r="N81" s="4">
        <v>38.239784240722656</v>
      </c>
      <c r="O81" s="4">
        <v>38.522590637207031</v>
      </c>
      <c r="P81" s="4">
        <v>38.868389129638672</v>
      </c>
      <c r="Q81" s="4">
        <v>39.006080627441406</v>
      </c>
      <c r="R81" s="4">
        <v>39.246906280517578</v>
      </c>
      <c r="S81" s="4">
        <v>38.973293304443359</v>
      </c>
      <c r="T81" s="4">
        <v>38.800872802734375</v>
      </c>
      <c r="U81" s="4">
        <v>38.500560760498047</v>
      </c>
      <c r="V81" s="4">
        <v>37.990047454833984</v>
      </c>
      <c r="W81" s="4">
        <v>37.457569122314453</v>
      </c>
      <c r="X81" s="4">
        <v>37.034042358398438</v>
      </c>
      <c r="Y81" s="4">
        <v>36.735080718994141</v>
      </c>
      <c r="Z81" s="4">
        <v>36.635787963867188</v>
      </c>
      <c r="AA81" s="4">
        <v>36.806331634521484</v>
      </c>
      <c r="AB81" s="4">
        <v>36.623634338378906</v>
      </c>
      <c r="AC81" s="4">
        <v>36.412666320800781</v>
      </c>
      <c r="AD81" s="4">
        <v>35.981204986572266</v>
      </c>
      <c r="AE81" s="4">
        <v>35.530288696289063</v>
      </c>
      <c r="AG81" s="4">
        <f t="shared" si="1"/>
        <v>37.709466067227453</v>
      </c>
    </row>
    <row r="82" spans="1:33" x14ac:dyDescent="0.2">
      <c r="A82" s="3" t="s">
        <v>198</v>
      </c>
      <c r="B82" s="3" t="s">
        <v>50</v>
      </c>
      <c r="C82" s="4">
        <v>41.260631561279297</v>
      </c>
      <c r="D82" s="4">
        <v>40.131874084472656</v>
      </c>
      <c r="E82" s="4">
        <v>39.153923034667969</v>
      </c>
      <c r="F82" s="4">
        <v>38.259021759033203</v>
      </c>
      <c r="G82" s="4">
        <v>37.277542114257813</v>
      </c>
      <c r="H82" s="4">
        <v>36.433807373046875</v>
      </c>
      <c r="I82" s="4">
        <v>35.479179382324219</v>
      </c>
      <c r="J82" s="4">
        <v>34.664623260498047</v>
      </c>
      <c r="K82" s="4">
        <v>34.069625854492188</v>
      </c>
      <c r="L82" s="4">
        <v>33.190456390380859</v>
      </c>
      <c r="M82" s="4">
        <v>32.817966461181641</v>
      </c>
      <c r="N82" s="4">
        <v>32.436134338378906</v>
      </c>
      <c r="O82" s="4">
        <v>31.481864929199219</v>
      </c>
      <c r="P82" s="4">
        <v>31.076272964477539</v>
      </c>
      <c r="Q82" s="4">
        <v>30.402034759521484</v>
      </c>
      <c r="R82" s="4">
        <v>29.767936706542969</v>
      </c>
      <c r="S82" s="4">
        <v>29.012712478637695</v>
      </c>
      <c r="T82" s="4">
        <v>27.999967575073242</v>
      </c>
      <c r="U82" s="4">
        <v>27.186304092407227</v>
      </c>
      <c r="V82" s="4">
        <v>26.10316276550293</v>
      </c>
      <c r="W82" s="4">
        <v>25.822439193725586</v>
      </c>
      <c r="X82" s="4">
        <v>25.330585479736328</v>
      </c>
      <c r="Y82" s="4">
        <v>24.474269866943359</v>
      </c>
      <c r="Z82" s="4">
        <v>23.576234817504883</v>
      </c>
      <c r="AA82" s="4">
        <v>23.088596343994141</v>
      </c>
      <c r="AB82" s="4">
        <v>22.441873550415039</v>
      </c>
      <c r="AC82" s="4">
        <v>22.030981063842773</v>
      </c>
      <c r="AD82" s="4">
        <v>21.616317749023438</v>
      </c>
      <c r="AE82" s="4"/>
      <c r="AG82" s="4">
        <f t="shared" si="1"/>
        <v>25.891280260953035</v>
      </c>
    </row>
    <row r="83" spans="1:33" x14ac:dyDescent="0.2">
      <c r="A83" s="3" t="s">
        <v>199</v>
      </c>
      <c r="B83" s="3" t="s">
        <v>200</v>
      </c>
      <c r="C83" s="4">
        <v>27.475362777709961</v>
      </c>
      <c r="D83" s="4">
        <v>27.428531646728516</v>
      </c>
      <c r="E83" s="4">
        <v>27.033964157104492</v>
      </c>
      <c r="F83" s="4">
        <v>26.86326789855957</v>
      </c>
      <c r="G83" s="4">
        <v>26.852386474609375</v>
      </c>
      <c r="H83" s="4">
        <v>26.862886428833008</v>
      </c>
      <c r="I83" s="4">
        <v>27.151281356811523</v>
      </c>
      <c r="J83" s="4">
        <v>27.64405632019043</v>
      </c>
      <c r="K83" s="4">
        <v>27.645774841308594</v>
      </c>
      <c r="L83" s="4">
        <v>27.738180160522461</v>
      </c>
      <c r="M83" s="4">
        <v>27.577495574951172</v>
      </c>
      <c r="N83" s="4">
        <v>27.538993835449219</v>
      </c>
      <c r="O83" s="4">
        <v>27.454107284545898</v>
      </c>
      <c r="P83" s="4">
        <v>27.418888092041016</v>
      </c>
      <c r="Q83" s="4">
        <v>27.340688705444336</v>
      </c>
      <c r="R83" s="4">
        <v>27.260190963745117</v>
      </c>
      <c r="S83" s="4">
        <v>27.373477935791016</v>
      </c>
      <c r="T83" s="4">
        <v>27.202999114990234</v>
      </c>
      <c r="U83" s="4">
        <v>26.827939987182617</v>
      </c>
      <c r="V83" s="4">
        <v>26.132553100585938</v>
      </c>
      <c r="W83" s="4">
        <v>25.884908676147461</v>
      </c>
      <c r="X83" s="4">
        <v>25.963932037353516</v>
      </c>
      <c r="Y83" s="4">
        <v>26.059696197509766</v>
      </c>
      <c r="Z83" s="4">
        <v>26.195638656616211</v>
      </c>
      <c r="AA83" s="4">
        <v>26.131427764892578</v>
      </c>
      <c r="AB83" s="4">
        <v>26.129671096801758</v>
      </c>
      <c r="AC83" s="4">
        <v>26.098957061767578</v>
      </c>
      <c r="AD83" s="4">
        <v>26.089090347290039</v>
      </c>
      <c r="AE83" s="4">
        <v>26.04271125793457</v>
      </c>
      <c r="AG83" s="4">
        <f t="shared" si="1"/>
        <v>26.469312321056019</v>
      </c>
    </row>
    <row r="84" spans="1:33" x14ac:dyDescent="0.2">
      <c r="A84" s="3" t="s">
        <v>201</v>
      </c>
      <c r="B84" s="3" t="s">
        <v>202</v>
      </c>
      <c r="C84" s="4">
        <v>29.342252731323242</v>
      </c>
      <c r="D84" s="4">
        <v>30.999433517456055</v>
      </c>
      <c r="E84" s="4">
        <v>32.351036071777344</v>
      </c>
      <c r="F84" s="4">
        <v>32.285919189453125</v>
      </c>
      <c r="G84" s="4">
        <v>32.064804077148438</v>
      </c>
      <c r="H84" s="4">
        <v>31.796360015869141</v>
      </c>
      <c r="I84" s="4">
        <v>31.257143020629883</v>
      </c>
      <c r="J84" s="4">
        <v>30.533010482788086</v>
      </c>
      <c r="K84" s="4">
        <v>30.571109771728516</v>
      </c>
      <c r="L84" s="4">
        <v>30.879861831665039</v>
      </c>
      <c r="M84" s="4">
        <v>31.104526519775391</v>
      </c>
      <c r="N84" s="4">
        <v>31.280147552490234</v>
      </c>
      <c r="O84" s="4">
        <v>31.82634162902832</v>
      </c>
      <c r="P84" s="4">
        <v>32.179401397705078</v>
      </c>
      <c r="Q84" s="4">
        <v>32.343334197998047</v>
      </c>
      <c r="R84" s="4">
        <v>32.667758941650391</v>
      </c>
      <c r="S84" s="4">
        <v>32.584602355957031</v>
      </c>
      <c r="T84" s="4">
        <v>32.004299163818359</v>
      </c>
      <c r="U84" s="4">
        <v>32.192516326904297</v>
      </c>
      <c r="V84" s="4">
        <v>31.773796081542969</v>
      </c>
      <c r="W84" s="4">
        <v>31.510711669921875</v>
      </c>
      <c r="X84" s="4">
        <v>31.357002258300781</v>
      </c>
      <c r="Y84" s="4">
        <v>31.193992614746094</v>
      </c>
      <c r="Z84" s="4">
        <v>31.156126022338867</v>
      </c>
      <c r="AA84" s="4">
        <v>31.166946411132813</v>
      </c>
      <c r="AB84" s="4">
        <v>31.093591690063477</v>
      </c>
      <c r="AC84" s="4">
        <v>30.976051330566406</v>
      </c>
      <c r="AD84" s="4">
        <v>30.670780181884766</v>
      </c>
      <c r="AE84" s="4"/>
      <c r="AG84" s="4">
        <f t="shared" si="1"/>
        <v>31.700122139670633</v>
      </c>
    </row>
    <row r="85" spans="1:33" x14ac:dyDescent="0.2">
      <c r="A85" s="3" t="s">
        <v>203</v>
      </c>
      <c r="B85" s="3" t="s">
        <v>204</v>
      </c>
      <c r="C85" s="4">
        <v>35.502605438232422</v>
      </c>
      <c r="D85" s="4">
        <v>33.999137878417969</v>
      </c>
      <c r="E85" s="4">
        <v>33.370067596435547</v>
      </c>
      <c r="F85" s="4">
        <v>32.389686584472656</v>
      </c>
      <c r="G85" s="4">
        <v>31.924966812133789</v>
      </c>
      <c r="H85" s="4">
        <v>30.872674942016602</v>
      </c>
      <c r="I85" s="4">
        <v>31.014743804931641</v>
      </c>
      <c r="J85" s="4">
        <v>29.428255081176758</v>
      </c>
      <c r="K85" s="4">
        <v>29.075080871582031</v>
      </c>
      <c r="L85" s="4">
        <v>30.796169281005859</v>
      </c>
      <c r="M85" s="4">
        <v>30.593013763427734</v>
      </c>
      <c r="N85" s="4">
        <v>29.985946655273438</v>
      </c>
      <c r="O85" s="4">
        <v>29.281578063964844</v>
      </c>
      <c r="P85" s="4">
        <v>29.468482971191406</v>
      </c>
      <c r="Q85" s="4">
        <v>28.825435638427734</v>
      </c>
      <c r="R85" s="4">
        <v>28.791999816894531</v>
      </c>
      <c r="S85" s="4">
        <v>28.962152481079102</v>
      </c>
      <c r="T85" s="4">
        <v>28.801029205322266</v>
      </c>
      <c r="U85" s="4">
        <v>28.527444839477539</v>
      </c>
      <c r="V85" s="4">
        <v>28.329765319824219</v>
      </c>
      <c r="W85" s="4">
        <v>28.551992416381836</v>
      </c>
      <c r="X85" s="4">
        <v>28.171142578125</v>
      </c>
      <c r="Y85" s="4">
        <v>28.084346771240234</v>
      </c>
      <c r="Z85" s="4">
        <v>27.778499603271484</v>
      </c>
      <c r="AA85" s="4">
        <v>27.339500427246094</v>
      </c>
      <c r="AB85" s="4">
        <v>27.035295486450195</v>
      </c>
      <c r="AC85" s="4">
        <v>26.753128051757813</v>
      </c>
      <c r="AD85" s="4">
        <v>26.604288101196289</v>
      </c>
      <c r="AE85" s="4"/>
      <c r="AG85" s="4">
        <f t="shared" si="1"/>
        <v>28.215742631392047</v>
      </c>
    </row>
    <row r="86" spans="1:33" x14ac:dyDescent="0.2">
      <c r="A86" s="3" t="s">
        <v>205</v>
      </c>
      <c r="B86" s="3" t="s">
        <v>206</v>
      </c>
      <c r="C86" s="4">
        <v>39.662696838378906</v>
      </c>
      <c r="D86" s="4">
        <v>40.096607208251953</v>
      </c>
      <c r="E86" s="4">
        <v>40.49444580078125</v>
      </c>
      <c r="F86" s="4">
        <v>40.998363494873047</v>
      </c>
      <c r="G86" s="4">
        <v>41.612388610839844</v>
      </c>
      <c r="H86" s="4">
        <v>42.347370147705078</v>
      </c>
      <c r="I86" s="4">
        <v>42.622570037841797</v>
      </c>
      <c r="J86" s="4">
        <v>42.759628295898438</v>
      </c>
      <c r="K86" s="4">
        <v>42.813270568847656</v>
      </c>
      <c r="L86" s="4">
        <v>42.599849700927734</v>
      </c>
      <c r="M86" s="4">
        <v>43.925323486328125</v>
      </c>
      <c r="N86" s="4">
        <v>43.779514312744141</v>
      </c>
      <c r="O86" s="4">
        <v>43.716533660888672</v>
      </c>
      <c r="P86" s="4">
        <v>43.972438812255859</v>
      </c>
      <c r="Q86" s="4">
        <v>44.208206176757813</v>
      </c>
      <c r="R86" s="4">
        <v>44.525623321533203</v>
      </c>
      <c r="S86" s="4">
        <v>44.867790222167969</v>
      </c>
      <c r="T86" s="4">
        <v>44.200244903564453</v>
      </c>
      <c r="U86" s="4">
        <v>44.485359191894531</v>
      </c>
      <c r="V86" s="4">
        <v>44.533599853515625</v>
      </c>
      <c r="W86" s="4">
        <v>44.482101440429688</v>
      </c>
      <c r="X86" s="4">
        <v>43.071186065673828</v>
      </c>
      <c r="Y86" s="4">
        <v>41.526420593261719</v>
      </c>
      <c r="Z86" s="4">
        <v>39.995094299316406</v>
      </c>
      <c r="AA86" s="4">
        <v>40.238998413085938</v>
      </c>
      <c r="AB86" s="4">
        <v>39.108516693115234</v>
      </c>
      <c r="AC86" s="4">
        <v>38.589679718017578</v>
      </c>
      <c r="AD86" s="4">
        <v>38.353778839111328</v>
      </c>
      <c r="AE86" s="4"/>
      <c r="AG86" s="4">
        <f t="shared" si="1"/>
        <v>42.821357727050781</v>
      </c>
    </row>
    <row r="87" spans="1:33" x14ac:dyDescent="0.2">
      <c r="A87" s="3" t="s">
        <v>207</v>
      </c>
      <c r="B87" s="3" t="s">
        <v>208</v>
      </c>
      <c r="C87" s="4">
        <v>30.954874038696289</v>
      </c>
      <c r="D87" s="4">
        <v>32.230358123779297</v>
      </c>
      <c r="E87" s="4">
        <v>31.831565856933594</v>
      </c>
      <c r="F87" s="4">
        <v>31.556364059448242</v>
      </c>
      <c r="G87" s="4">
        <v>31.068130493164063</v>
      </c>
      <c r="H87" s="4">
        <v>30.792146682739258</v>
      </c>
      <c r="I87" s="4">
        <v>30.973451614379883</v>
      </c>
      <c r="J87" s="4">
        <v>31.18187141418457</v>
      </c>
      <c r="K87" s="4">
        <v>31.157314300537109</v>
      </c>
      <c r="L87" s="4">
        <v>31.250339508056641</v>
      </c>
      <c r="M87" s="4">
        <v>30.951271057128906</v>
      </c>
      <c r="N87" s="4">
        <v>30.63140869140625</v>
      </c>
      <c r="O87" s="4">
        <v>30.61482048034668</v>
      </c>
      <c r="P87" s="4">
        <v>30.702766418457031</v>
      </c>
      <c r="Q87" s="4">
        <v>30.485513687133789</v>
      </c>
      <c r="R87" s="4">
        <v>30.367916107177734</v>
      </c>
      <c r="S87" s="4">
        <v>29.978412628173828</v>
      </c>
      <c r="T87" s="4">
        <v>29.700761795043945</v>
      </c>
      <c r="U87" s="4">
        <v>29.172647476196289</v>
      </c>
      <c r="V87" s="4">
        <v>28.578353881835938</v>
      </c>
      <c r="W87" s="4">
        <v>28.330364227294922</v>
      </c>
      <c r="X87" s="4">
        <v>28.297662734985352</v>
      </c>
      <c r="Y87" s="4">
        <v>28.398857116699219</v>
      </c>
      <c r="Z87" s="4">
        <v>28.421424865722656</v>
      </c>
      <c r="AA87" s="4">
        <v>28.398164749145508</v>
      </c>
      <c r="AB87" s="4">
        <v>28.294614791870117</v>
      </c>
      <c r="AC87" s="4">
        <v>28.301450729370117</v>
      </c>
      <c r="AD87" s="4">
        <v>28.139669418334961</v>
      </c>
      <c r="AE87" s="4">
        <v>27.915773391723633</v>
      </c>
      <c r="AG87" s="4">
        <f t="shared" si="1"/>
        <v>28.903561852195047</v>
      </c>
    </row>
    <row r="88" spans="1:33" x14ac:dyDescent="0.2">
      <c r="A88" s="3" t="s">
        <v>209</v>
      </c>
      <c r="B88" s="3" t="s">
        <v>210</v>
      </c>
      <c r="C88" s="4">
        <v>9.7879161834716797</v>
      </c>
      <c r="D88" s="4">
        <v>9.7699117660522461</v>
      </c>
      <c r="E88" s="4">
        <v>9.7503881454467773</v>
      </c>
      <c r="F88" s="4">
        <v>9.6927976608276367</v>
      </c>
      <c r="G88" s="4">
        <v>9.6633596420288086</v>
      </c>
      <c r="H88" s="4">
        <v>9.6457366943359375</v>
      </c>
      <c r="I88" s="4">
        <v>9.6346807479858398</v>
      </c>
      <c r="J88" s="4">
        <v>9.6294698715209961</v>
      </c>
      <c r="K88" s="4">
        <v>9.6359844207763672</v>
      </c>
      <c r="L88" s="4">
        <v>9.6119422912597656</v>
      </c>
      <c r="M88" s="4">
        <v>9.5953159332275391</v>
      </c>
      <c r="N88" s="4">
        <v>9.5978870391845703</v>
      </c>
      <c r="O88" s="4">
        <v>9.5713491439819336</v>
      </c>
      <c r="P88" s="4">
        <v>9.5056610107421875</v>
      </c>
      <c r="Q88" s="4">
        <v>9.4490041732788086</v>
      </c>
      <c r="R88" s="4">
        <v>9.3977365493774414</v>
      </c>
      <c r="S88" s="4">
        <v>9.3913030624389648</v>
      </c>
      <c r="T88" s="4">
        <v>9.4001827239990234</v>
      </c>
      <c r="U88" s="4">
        <v>9.3511133193969727</v>
      </c>
      <c r="V88" s="4">
        <v>9.305908203125</v>
      </c>
      <c r="W88" s="4">
        <v>9.3198127746582031</v>
      </c>
      <c r="X88" s="4">
        <v>9.2490739822387695</v>
      </c>
      <c r="Y88" s="4">
        <v>9.2242603302001953</v>
      </c>
      <c r="Z88" s="4">
        <v>9.1681098937988281</v>
      </c>
      <c r="AA88" s="4">
        <v>9.1711025238037109</v>
      </c>
      <c r="AB88" s="4">
        <v>9.1534337997436523</v>
      </c>
      <c r="AC88" s="4">
        <v>9.1223745346069336</v>
      </c>
      <c r="AD88" s="4">
        <v>9.074284553527832</v>
      </c>
      <c r="AE88" s="4">
        <v>9.0451078414916992</v>
      </c>
      <c r="AG88" s="4">
        <f t="shared" si="1"/>
        <v>9.2847306511618868</v>
      </c>
    </row>
    <row r="89" spans="1:33" x14ac:dyDescent="0.2">
      <c r="A89" s="3" t="s">
        <v>18</v>
      </c>
      <c r="B89" s="3" t="s">
        <v>51</v>
      </c>
      <c r="C89" s="4">
        <v>36.74102783203125</v>
      </c>
      <c r="D89" s="4">
        <v>37.289402008056641</v>
      </c>
      <c r="E89" s="4">
        <v>37.566013336181641</v>
      </c>
      <c r="F89" s="4">
        <v>37.88507080078125</v>
      </c>
      <c r="G89" s="4">
        <v>38.29779052734375</v>
      </c>
      <c r="H89" s="4">
        <v>38.663967132568359</v>
      </c>
      <c r="I89" s="4">
        <v>39.046211242675781</v>
      </c>
      <c r="J89" s="4">
        <v>39.149917602539063</v>
      </c>
      <c r="K89" s="4">
        <v>39.31878662109375</v>
      </c>
      <c r="L89" s="4">
        <v>39.512096405029297</v>
      </c>
      <c r="M89" s="4">
        <v>39.551898956298828</v>
      </c>
      <c r="N89" s="4">
        <v>39.362556457519531</v>
      </c>
      <c r="O89" s="4">
        <v>39.734645843505859</v>
      </c>
      <c r="P89" s="4">
        <v>39.590160369873047</v>
      </c>
      <c r="Q89" s="4">
        <v>39.623981475830078</v>
      </c>
      <c r="R89" s="4">
        <v>39.529331207275391</v>
      </c>
      <c r="S89" s="4">
        <v>39.341907501220703</v>
      </c>
      <c r="T89" s="4">
        <v>38.501976013183594</v>
      </c>
      <c r="U89" s="4">
        <v>37.68756103515625</v>
      </c>
      <c r="V89" s="4">
        <v>37.163497924804688</v>
      </c>
      <c r="W89" s="4">
        <v>36.873600006103516</v>
      </c>
      <c r="X89" s="4">
        <v>36.824954986572266</v>
      </c>
      <c r="Y89" s="4">
        <v>36.904438018798828</v>
      </c>
      <c r="Z89" s="4">
        <v>36.965896606445313</v>
      </c>
      <c r="AA89" s="4">
        <v>36.914302825927734</v>
      </c>
      <c r="AB89" s="4">
        <v>36.852993011474609</v>
      </c>
      <c r="AC89" s="4">
        <v>36.857124328613281</v>
      </c>
      <c r="AD89" s="4">
        <v>36.854656219482422</v>
      </c>
      <c r="AE89" s="4">
        <v>36.980484008789063</v>
      </c>
      <c r="AG89" s="4">
        <f t="shared" si="1"/>
        <v>37.596405376087539</v>
      </c>
    </row>
    <row r="90" spans="1:33" x14ac:dyDescent="0.2">
      <c r="A90" s="3" t="s">
        <v>211</v>
      </c>
      <c r="B90" s="3" t="s">
        <v>212</v>
      </c>
      <c r="C90" s="4">
        <v>40.361740112304688</v>
      </c>
      <c r="D90" s="4">
        <v>40.08306884765625</v>
      </c>
      <c r="E90" s="4">
        <v>39.750141143798828</v>
      </c>
      <c r="F90" s="4">
        <v>39.559764862060547</v>
      </c>
      <c r="G90" s="4">
        <v>39.769298553466797</v>
      </c>
      <c r="H90" s="4">
        <v>40.120513916015625</v>
      </c>
      <c r="I90" s="4">
        <v>40.431777954101563</v>
      </c>
      <c r="J90" s="4">
        <v>40.609390258789063</v>
      </c>
      <c r="K90" s="4">
        <v>40.702674865722656</v>
      </c>
      <c r="L90" s="4">
        <v>40.723365783691406</v>
      </c>
      <c r="M90" s="4">
        <v>40.665050506591797</v>
      </c>
      <c r="N90" s="4">
        <v>40.509738922119141</v>
      </c>
      <c r="O90" s="4">
        <v>40.726680755615234</v>
      </c>
      <c r="P90" s="4">
        <v>40.592674255371094</v>
      </c>
      <c r="Q90" s="4">
        <v>40.501731872558594</v>
      </c>
      <c r="R90" s="4">
        <v>40.206153869628906</v>
      </c>
      <c r="S90" s="4">
        <v>39.852352142333984</v>
      </c>
      <c r="T90" s="4">
        <v>39.401008605957031</v>
      </c>
      <c r="U90" s="4">
        <v>38.997074127197266</v>
      </c>
      <c r="V90" s="4">
        <v>39.013454437255859</v>
      </c>
      <c r="W90" s="4">
        <v>39.743900299072266</v>
      </c>
      <c r="X90" s="4">
        <v>40.071418762207031</v>
      </c>
      <c r="Y90" s="4">
        <v>40.293651580810547</v>
      </c>
      <c r="Z90" s="4">
        <v>40.503841400146484</v>
      </c>
      <c r="AA90" s="4">
        <v>40.585235595703125</v>
      </c>
      <c r="AB90" s="4">
        <v>40.743370056152344</v>
      </c>
      <c r="AC90" s="4">
        <v>40.78936767578125</v>
      </c>
      <c r="AD90" s="4">
        <v>40.872280120849609</v>
      </c>
      <c r="AE90" s="4">
        <v>40.942081451416016</v>
      </c>
      <c r="AG90" s="4">
        <f t="shared" si="1"/>
        <v>39.946496443314985</v>
      </c>
    </row>
    <row r="91" spans="1:33" x14ac:dyDescent="0.2">
      <c r="A91" s="3" t="s">
        <v>213</v>
      </c>
      <c r="B91" s="3" t="s">
        <v>214</v>
      </c>
      <c r="C91" s="4">
        <v>37.790046691894531</v>
      </c>
      <c r="D91" s="4">
        <v>36.702339172363281</v>
      </c>
      <c r="E91" s="4">
        <v>35.982902526855469</v>
      </c>
      <c r="F91" s="4">
        <v>35.159458160400391</v>
      </c>
      <c r="G91" s="4">
        <v>34.099491119384766</v>
      </c>
      <c r="H91" s="4">
        <v>32.953472137451172</v>
      </c>
      <c r="I91" s="4">
        <v>32.492412567138672</v>
      </c>
      <c r="J91" s="4">
        <v>31.497308731079102</v>
      </c>
      <c r="K91" s="4">
        <v>31.247871398925781</v>
      </c>
      <c r="L91" s="4">
        <v>31.151187896728516</v>
      </c>
      <c r="M91" s="4">
        <v>31.164928436279297</v>
      </c>
      <c r="N91" s="4">
        <v>30.782062530517578</v>
      </c>
      <c r="O91" s="4">
        <v>30.574012756347656</v>
      </c>
      <c r="P91" s="4">
        <v>30.410623550415039</v>
      </c>
      <c r="Q91" s="4">
        <v>30.176025390625</v>
      </c>
      <c r="R91" s="4">
        <v>29.908538818359375</v>
      </c>
      <c r="S91" s="4">
        <v>29.763198852539063</v>
      </c>
      <c r="T91" s="4">
        <v>29.600446701049805</v>
      </c>
      <c r="U91" s="4">
        <v>29.36024284362793</v>
      </c>
      <c r="V91" s="4">
        <v>29.126235961914063</v>
      </c>
      <c r="W91" s="4">
        <v>29.315164566040039</v>
      </c>
      <c r="X91" s="4">
        <v>29.13939094543457</v>
      </c>
      <c r="Y91" s="4">
        <v>28.819730758666992</v>
      </c>
      <c r="Z91" s="4">
        <v>28.580709457397461</v>
      </c>
      <c r="AA91" s="4">
        <v>28.155254364013672</v>
      </c>
      <c r="AB91" s="4">
        <v>27.718841552734375</v>
      </c>
      <c r="AC91" s="4">
        <v>27.291566848754883</v>
      </c>
      <c r="AD91" s="4">
        <v>26.898006439208984</v>
      </c>
      <c r="AE91" s="4">
        <v>26.542409896850586</v>
      </c>
      <c r="AG91" s="4">
        <f t="shared" si="1"/>
        <v>29.044341347434305</v>
      </c>
    </row>
    <row r="92" spans="1:33" x14ac:dyDescent="0.2">
      <c r="A92" s="3" t="s">
        <v>215</v>
      </c>
      <c r="B92" s="3" t="s">
        <v>216</v>
      </c>
      <c r="C92" s="4">
        <v>40.800449371337891</v>
      </c>
      <c r="D92" s="4">
        <v>39.919544219970703</v>
      </c>
      <c r="E92" s="4">
        <v>38.760814666748047</v>
      </c>
      <c r="F92" s="4">
        <v>37.908390045166016</v>
      </c>
      <c r="G92" s="4">
        <v>36.934009552001953</v>
      </c>
      <c r="H92" s="4">
        <v>36.324810028076172</v>
      </c>
      <c r="I92" s="4">
        <v>35.804553985595703</v>
      </c>
      <c r="J92" s="4">
        <v>34.571060180664063</v>
      </c>
      <c r="K92" s="4">
        <v>33.862747192382813</v>
      </c>
      <c r="L92" s="4">
        <v>32.928272247314453</v>
      </c>
      <c r="M92" s="4">
        <v>32.387924194335938</v>
      </c>
      <c r="N92" s="4">
        <v>32.215972900390625</v>
      </c>
      <c r="O92" s="4">
        <v>32.191993713378906</v>
      </c>
      <c r="P92" s="4">
        <v>31.957799911499023</v>
      </c>
      <c r="Q92" s="4">
        <v>31.445159912109375</v>
      </c>
      <c r="R92" s="4">
        <v>30.023706436157227</v>
      </c>
      <c r="S92" s="4">
        <v>28.944408416748047</v>
      </c>
      <c r="T92" s="4">
        <v>28.600290298461914</v>
      </c>
      <c r="U92" s="4">
        <v>27.207866668701172</v>
      </c>
      <c r="V92" s="4">
        <v>26.500999450683594</v>
      </c>
      <c r="W92" s="4">
        <v>26.311285018920898</v>
      </c>
      <c r="X92" s="4">
        <v>26.384487152099609</v>
      </c>
      <c r="Y92" s="4">
        <v>25.861888885498047</v>
      </c>
      <c r="Z92" s="4">
        <v>25.374359130859375</v>
      </c>
      <c r="AA92" s="4">
        <v>24.610063552856445</v>
      </c>
      <c r="AB92" s="4">
        <v>23.757173538208008</v>
      </c>
      <c r="AC92" s="4">
        <v>23.103542327880859</v>
      </c>
      <c r="AD92" s="4">
        <v>22.625324249267578</v>
      </c>
      <c r="AE92" s="4"/>
      <c r="AG92" s="4">
        <f t="shared" si="1"/>
        <v>26.688775322654031</v>
      </c>
    </row>
    <row r="93" spans="1:33" x14ac:dyDescent="0.2">
      <c r="A93" s="3" t="s">
        <v>19</v>
      </c>
      <c r="B93" s="3" t="s">
        <v>52</v>
      </c>
      <c r="C93" s="4">
        <v>51.219367980957031</v>
      </c>
      <c r="D93" s="4">
        <v>51.253593444824219</v>
      </c>
      <c r="E93" s="4">
        <v>51.049335479736328</v>
      </c>
      <c r="F93" s="4">
        <v>50.635646820068359</v>
      </c>
      <c r="G93" s="4">
        <v>50.804412841796875</v>
      </c>
      <c r="H93" s="4">
        <v>49.493686676025391</v>
      </c>
      <c r="I93" s="4">
        <v>47.859844207763672</v>
      </c>
      <c r="J93" s="4">
        <v>46.472980499267578</v>
      </c>
      <c r="K93" s="4">
        <v>45.231449127197266</v>
      </c>
      <c r="L93" s="4">
        <v>44.545822143554688</v>
      </c>
      <c r="M93" s="4">
        <v>43.802448272705078</v>
      </c>
      <c r="N93" s="4">
        <v>43.192733764648438</v>
      </c>
      <c r="O93" s="4">
        <v>42.564373016357422</v>
      </c>
      <c r="P93" s="4">
        <v>41.902675628662109</v>
      </c>
      <c r="Q93" s="4">
        <v>40.992172241210938</v>
      </c>
      <c r="R93" s="4">
        <v>40.736003875732422</v>
      </c>
      <c r="S93" s="4">
        <v>40.487586975097656</v>
      </c>
      <c r="T93" s="4">
        <v>39.900974273681641</v>
      </c>
      <c r="U93" s="4">
        <v>39.244621276855469</v>
      </c>
      <c r="V93" s="4">
        <v>38.805385589599609</v>
      </c>
      <c r="W93" s="4">
        <v>38.393104553222656</v>
      </c>
      <c r="X93" s="4">
        <v>37.378852844238281</v>
      </c>
      <c r="Y93" s="4">
        <v>37.307708740234375</v>
      </c>
      <c r="Z93" s="4">
        <v>36.843429565429688</v>
      </c>
      <c r="AA93" s="4">
        <v>36.414016723632813</v>
      </c>
      <c r="AB93" s="4">
        <v>35.588924407958984</v>
      </c>
      <c r="AC93" s="4">
        <v>35.002918243408203</v>
      </c>
      <c r="AD93" s="4">
        <v>34.371536254882813</v>
      </c>
      <c r="AE93" s="4">
        <v>33.783771514892578</v>
      </c>
      <c r="AG93" s="4">
        <f t="shared" si="1"/>
        <v>38.281873529607601</v>
      </c>
    </row>
    <row r="94" spans="1:33" x14ac:dyDescent="0.2">
      <c r="A94" s="3" t="s">
        <v>217</v>
      </c>
      <c r="B94" s="3" t="s">
        <v>218</v>
      </c>
      <c r="C94" s="4">
        <v>34.22967529296875</v>
      </c>
      <c r="D94" s="4">
        <v>33.703540802001953</v>
      </c>
      <c r="E94" s="4">
        <v>33.06048583984375</v>
      </c>
      <c r="F94" s="4">
        <v>32.503097534179688</v>
      </c>
      <c r="G94" s="4">
        <v>31.974098205566406</v>
      </c>
      <c r="H94" s="4">
        <v>31.523406982421875</v>
      </c>
      <c r="I94" s="4">
        <v>31.033664703369141</v>
      </c>
      <c r="J94" s="4">
        <v>30.554643630981445</v>
      </c>
      <c r="K94" s="4">
        <v>29.988872528076172</v>
      </c>
      <c r="L94" s="4">
        <v>29.496160507202148</v>
      </c>
      <c r="M94" s="4">
        <v>29.049474716186523</v>
      </c>
      <c r="N94" s="4">
        <v>28.590446472167969</v>
      </c>
      <c r="O94" s="4">
        <v>28.375396728515625</v>
      </c>
      <c r="P94" s="4">
        <v>28.056293487548828</v>
      </c>
      <c r="Q94" s="4">
        <v>27.613645553588867</v>
      </c>
      <c r="R94" s="4">
        <v>27.259525299072266</v>
      </c>
      <c r="S94" s="4">
        <v>26.846126556396484</v>
      </c>
      <c r="T94" s="4">
        <v>26.500057220458984</v>
      </c>
      <c r="U94" s="4">
        <v>26.130851745605469</v>
      </c>
      <c r="V94" s="4">
        <v>25.955045700073242</v>
      </c>
      <c r="W94" s="4">
        <v>25.797403335571289</v>
      </c>
      <c r="X94" s="4">
        <v>25.714004516601563</v>
      </c>
      <c r="Y94" s="4">
        <v>25.655481338500977</v>
      </c>
      <c r="Z94" s="4">
        <v>25.712564468383789</v>
      </c>
      <c r="AA94" s="4">
        <v>25.702058792114258</v>
      </c>
      <c r="AB94" s="4">
        <v>25.500869750976563</v>
      </c>
      <c r="AC94" s="4">
        <v>25.204181671142578</v>
      </c>
      <c r="AD94" s="4">
        <v>25.115901947021484</v>
      </c>
      <c r="AE94" s="4">
        <v>24.942350387573242</v>
      </c>
      <c r="AG94" s="4">
        <f t="shared" si="1"/>
        <v>26.070362611250445</v>
      </c>
    </row>
    <row r="95" spans="1:33" x14ac:dyDescent="0.2">
      <c r="A95" s="3" t="s">
        <v>219</v>
      </c>
      <c r="B95" s="3" t="s">
        <v>220</v>
      </c>
      <c r="C95" s="4">
        <v>34.914909362792969</v>
      </c>
      <c r="D95" s="4">
        <v>35.277183532714844</v>
      </c>
      <c r="E95" s="4">
        <v>35.168426513671875</v>
      </c>
      <c r="F95" s="4">
        <v>35.024833679199219</v>
      </c>
      <c r="G95" s="4">
        <v>35.111221313476563</v>
      </c>
      <c r="H95" s="4">
        <v>34.972625732421875</v>
      </c>
      <c r="I95" s="4">
        <v>35.253837585449219</v>
      </c>
      <c r="J95" s="4">
        <v>35.393840789794922</v>
      </c>
      <c r="K95" s="4">
        <v>35.544223785400391</v>
      </c>
      <c r="L95" s="4">
        <v>35.462631225585938</v>
      </c>
      <c r="M95" s="4">
        <v>34.869300842285156</v>
      </c>
      <c r="N95" s="4">
        <v>35.264225006103516</v>
      </c>
      <c r="O95" s="4">
        <v>34.788002014160156</v>
      </c>
      <c r="P95" s="4">
        <v>34.209568023681641</v>
      </c>
      <c r="Q95" s="4">
        <v>33.306980133056641</v>
      </c>
      <c r="R95" s="4">
        <v>32.161376953125</v>
      </c>
      <c r="S95" s="4">
        <v>31.700691223144531</v>
      </c>
      <c r="T95" s="4">
        <v>31.047836303710938</v>
      </c>
      <c r="U95" s="4">
        <v>30.813196182250977</v>
      </c>
      <c r="V95" s="4">
        <v>30.635965347290039</v>
      </c>
      <c r="W95" s="4">
        <v>30.14143180847168</v>
      </c>
      <c r="X95" s="4">
        <v>29.298561096191406</v>
      </c>
      <c r="Y95" s="4">
        <v>28.144336700439453</v>
      </c>
      <c r="Z95" s="4">
        <v>27.305253982543945</v>
      </c>
      <c r="AA95" s="4">
        <v>26.58575439453125</v>
      </c>
      <c r="AB95" s="4">
        <v>26.316360473632813</v>
      </c>
      <c r="AC95" s="4">
        <v>26.031032562255859</v>
      </c>
      <c r="AD95" s="4">
        <v>25.619220733642578</v>
      </c>
      <c r="AE95" s="4"/>
      <c r="AG95" s="4">
        <f t="shared" si="1"/>
        <v>29.468251315030184</v>
      </c>
    </row>
    <row r="96" spans="1:33" x14ac:dyDescent="0.2">
      <c r="A96" s="3" t="s">
        <v>20</v>
      </c>
      <c r="B96" s="3" t="s">
        <v>53</v>
      </c>
      <c r="C96" s="4">
        <v>25.817848205566406</v>
      </c>
      <c r="D96" s="4">
        <v>25.575229644775391</v>
      </c>
      <c r="E96" s="4">
        <v>25.296710968017578</v>
      </c>
      <c r="F96" s="4">
        <v>25.067371368408203</v>
      </c>
      <c r="G96" s="4">
        <v>24.801050186157227</v>
      </c>
      <c r="H96" s="4">
        <v>24.643621444702148</v>
      </c>
      <c r="I96" s="4">
        <v>24.508159637451172</v>
      </c>
      <c r="J96" s="4">
        <v>24.305553436279297</v>
      </c>
      <c r="K96" s="4">
        <v>24.155437469482422</v>
      </c>
      <c r="L96" s="4">
        <v>23.885026931762695</v>
      </c>
      <c r="M96" s="4">
        <v>23.660703659057617</v>
      </c>
      <c r="N96" s="4">
        <v>23.462884902954102</v>
      </c>
      <c r="O96" s="4">
        <v>23.207681655883789</v>
      </c>
      <c r="P96" s="4">
        <v>22.902080535888672</v>
      </c>
      <c r="Q96" s="4">
        <v>22.567977905273438</v>
      </c>
      <c r="R96" s="4">
        <v>22.297296524047852</v>
      </c>
      <c r="S96" s="4">
        <v>22.077491760253906</v>
      </c>
      <c r="T96" s="4">
        <v>21.90546989440918</v>
      </c>
      <c r="U96" s="4">
        <v>21.747627258300781</v>
      </c>
      <c r="V96" s="4">
        <v>21.34765625</v>
      </c>
      <c r="W96" s="4">
        <v>21.12940788269043</v>
      </c>
      <c r="X96" s="4">
        <v>20.912248611450195</v>
      </c>
      <c r="Y96" s="4">
        <v>20.693904876708984</v>
      </c>
      <c r="Z96" s="4">
        <v>20.573291778564453</v>
      </c>
      <c r="AA96" s="4">
        <v>20.466239929199219</v>
      </c>
      <c r="AB96" s="4">
        <v>20.408430099487305</v>
      </c>
      <c r="AC96" s="4">
        <v>20.308757781982422</v>
      </c>
      <c r="AD96" s="4">
        <v>20.209197998046875</v>
      </c>
      <c r="AE96" s="4"/>
      <c r="AG96" s="4">
        <f t="shared" si="1"/>
        <v>21.232642260464754</v>
      </c>
    </row>
    <row r="97" spans="1:33" x14ac:dyDescent="0.2">
      <c r="A97" s="3" t="s">
        <v>221</v>
      </c>
      <c r="B97" s="3" t="s">
        <v>222</v>
      </c>
      <c r="C97" s="4">
        <v>31.182357788085938</v>
      </c>
      <c r="D97" s="4">
        <v>31.023466110229492</v>
      </c>
      <c r="E97" s="4">
        <v>30.869287490844727</v>
      </c>
      <c r="F97" s="4">
        <v>30.808977127075195</v>
      </c>
      <c r="G97" s="4">
        <v>30.669307708740234</v>
      </c>
      <c r="H97" s="4">
        <v>30.396234512329102</v>
      </c>
      <c r="I97" s="4">
        <v>30.436479568481445</v>
      </c>
      <c r="J97" s="4">
        <v>30.485496520996094</v>
      </c>
      <c r="K97" s="4">
        <v>30.357778549194336</v>
      </c>
      <c r="L97" s="4">
        <v>30.086856842041016</v>
      </c>
      <c r="M97" s="4">
        <v>29.910030364990234</v>
      </c>
      <c r="N97" s="4">
        <v>29.685739517211914</v>
      </c>
      <c r="O97" s="4">
        <v>29.574930191040039</v>
      </c>
      <c r="P97" s="4">
        <v>29.394283294677734</v>
      </c>
      <c r="Q97" s="4">
        <v>29.391637802124023</v>
      </c>
      <c r="R97" s="4">
        <v>29.187301635742188</v>
      </c>
      <c r="S97" s="4">
        <v>29.052055358886719</v>
      </c>
      <c r="T97" s="4">
        <v>28.801187515258789</v>
      </c>
      <c r="U97" s="4">
        <v>28.547964096069336</v>
      </c>
      <c r="V97" s="4">
        <v>28.169750213623047</v>
      </c>
      <c r="W97" s="4">
        <v>28.337827682495117</v>
      </c>
      <c r="X97" s="4">
        <v>28.080385208129883</v>
      </c>
      <c r="Y97" s="4">
        <v>28.105779647827148</v>
      </c>
      <c r="Z97" s="4">
        <v>27.990547180175781</v>
      </c>
      <c r="AA97" s="4">
        <v>27.859106063842773</v>
      </c>
      <c r="AB97" s="4">
        <v>27.750862121582031</v>
      </c>
      <c r="AC97" s="4">
        <v>27.634012222290039</v>
      </c>
      <c r="AD97" s="4">
        <v>27.525949478149414</v>
      </c>
      <c r="AE97" s="4">
        <v>27.369791030883789</v>
      </c>
      <c r="AG97" s="4">
        <f t="shared" si="1"/>
        <v>28.352978793057527</v>
      </c>
    </row>
    <row r="98" spans="1:33" x14ac:dyDescent="0.2">
      <c r="A98" s="3" t="s">
        <v>223</v>
      </c>
      <c r="B98" s="3" t="s">
        <v>224</v>
      </c>
      <c r="C98" s="4">
        <v>42.295829772949219</v>
      </c>
      <c r="D98" s="4">
        <v>41.365337371826172</v>
      </c>
      <c r="E98" s="4">
        <v>41.000728607177734</v>
      </c>
      <c r="F98" s="4">
        <v>40.032863616943359</v>
      </c>
      <c r="G98" s="4">
        <v>39.809944152832031</v>
      </c>
      <c r="H98" s="4">
        <v>39.569602966308594</v>
      </c>
      <c r="I98" s="4">
        <v>40.31939697265625</v>
      </c>
      <c r="J98" s="4">
        <v>40.471328735351563</v>
      </c>
      <c r="K98" s="4">
        <v>42.625240325927734</v>
      </c>
      <c r="L98" s="4">
        <v>43.505245208740234</v>
      </c>
      <c r="M98" s="4">
        <v>44.291645050048828</v>
      </c>
      <c r="N98" s="4">
        <v>44.737510681152344</v>
      </c>
      <c r="O98" s="4">
        <v>44.927539825439453</v>
      </c>
      <c r="P98" s="4">
        <v>44.451404571533203</v>
      </c>
      <c r="Q98" s="4">
        <v>44.641323089599609</v>
      </c>
      <c r="R98" s="4">
        <v>44.772552490234375</v>
      </c>
      <c r="S98" s="4">
        <v>44.300704956054688</v>
      </c>
      <c r="T98" s="4">
        <v>43.962905883789063</v>
      </c>
      <c r="U98" s="4">
        <v>43.674335479736328</v>
      </c>
      <c r="V98" s="4">
        <v>43.083892822265625</v>
      </c>
      <c r="W98" s="4">
        <v>42.632762908935547</v>
      </c>
      <c r="X98" s="4">
        <v>42.418209075927734</v>
      </c>
      <c r="Y98" s="4">
        <v>42.323574066162109</v>
      </c>
      <c r="Z98" s="4">
        <v>42.712066650390625</v>
      </c>
      <c r="AA98" s="4">
        <v>42.900276184082031</v>
      </c>
      <c r="AB98" s="4">
        <v>42.996562957763672</v>
      </c>
      <c r="AC98" s="4">
        <v>43.171382904052734</v>
      </c>
      <c r="AD98" s="4">
        <v>43.080730438232422</v>
      </c>
      <c r="AE98" s="4">
        <v>42.880054473876953</v>
      </c>
      <c r="AG98" s="4">
        <f t="shared" si="1"/>
        <v>43.252531225031071</v>
      </c>
    </row>
    <row r="99" spans="1:33" x14ac:dyDescent="0.2">
      <c r="A99" s="3" t="s">
        <v>225</v>
      </c>
      <c r="B99" s="3" t="s">
        <v>226</v>
      </c>
      <c r="C99" s="4">
        <v>14.106292724609375</v>
      </c>
      <c r="D99" s="4">
        <v>15.601980209350586</v>
      </c>
      <c r="E99" s="4">
        <v>16.402046203613281</v>
      </c>
      <c r="F99" s="4">
        <v>16.392724990844727</v>
      </c>
      <c r="G99" s="4">
        <v>16.234851837158203</v>
      </c>
      <c r="H99" s="4">
        <v>16.6226806640625</v>
      </c>
      <c r="I99" s="4">
        <v>16.482254028320313</v>
      </c>
      <c r="J99" s="4">
        <v>16.350255966186523</v>
      </c>
      <c r="K99" s="4">
        <v>16.121284484863281</v>
      </c>
      <c r="L99" s="4">
        <v>16.140165328979492</v>
      </c>
      <c r="M99" s="4">
        <v>15.955598831176758</v>
      </c>
      <c r="N99" s="4">
        <v>15.987632751464844</v>
      </c>
      <c r="O99" s="4">
        <v>16.117397308349609</v>
      </c>
      <c r="P99" s="4">
        <v>16.198862075805664</v>
      </c>
      <c r="Q99" s="4">
        <v>16.350337982177734</v>
      </c>
      <c r="R99" s="4">
        <v>16.376798629760742</v>
      </c>
      <c r="S99" s="4">
        <v>16.542629241943359</v>
      </c>
      <c r="T99" s="4">
        <v>16.400733947753906</v>
      </c>
      <c r="U99" s="4">
        <v>16.381214141845703</v>
      </c>
      <c r="V99" s="4">
        <v>16.485130310058594</v>
      </c>
      <c r="W99" s="4">
        <v>16.451213836669922</v>
      </c>
      <c r="X99" s="4">
        <v>16.371477127075195</v>
      </c>
      <c r="Y99" s="4">
        <v>16.015453338623047</v>
      </c>
      <c r="Z99" s="4">
        <v>15.740124702453613</v>
      </c>
      <c r="AA99" s="4">
        <v>15.566391944885254</v>
      </c>
      <c r="AB99" s="4">
        <v>15.63519287109375</v>
      </c>
      <c r="AC99" s="4">
        <v>15.478813171386719</v>
      </c>
      <c r="AD99" s="4">
        <v>15.423150062561035</v>
      </c>
      <c r="AE99" s="4"/>
      <c r="AG99" s="4">
        <f t="shared" si="1"/>
        <v>16.178760008378461</v>
      </c>
    </row>
    <row r="100" spans="1:33" x14ac:dyDescent="0.2">
      <c r="A100" s="3" t="s">
        <v>227</v>
      </c>
      <c r="B100" s="3" t="s">
        <v>228</v>
      </c>
      <c r="C100" s="4">
        <v>36.828342437744141</v>
      </c>
      <c r="D100" s="4">
        <v>37.129554748535156</v>
      </c>
      <c r="E100" s="4">
        <v>35.708724975585938</v>
      </c>
      <c r="F100" s="4">
        <v>35.267581939697266</v>
      </c>
      <c r="G100" s="4">
        <v>36.319999694824219</v>
      </c>
      <c r="H100" s="4">
        <v>34.931529998779297</v>
      </c>
      <c r="I100" s="4">
        <v>36.288490295410156</v>
      </c>
      <c r="J100" s="4">
        <v>35.325965881347656</v>
      </c>
      <c r="K100" s="4">
        <v>35.642463684082031</v>
      </c>
      <c r="L100" s="4">
        <v>34.926830291748047</v>
      </c>
      <c r="M100" s="4">
        <v>34.421375274658203</v>
      </c>
      <c r="N100" s="4">
        <v>34.616245269775391</v>
      </c>
      <c r="O100" s="4">
        <v>34.391063690185547</v>
      </c>
      <c r="P100" s="4">
        <v>34.555049896240234</v>
      </c>
      <c r="Q100" s="4">
        <v>34.362491607666016</v>
      </c>
      <c r="R100" s="4">
        <v>33.778644561767578</v>
      </c>
      <c r="S100" s="4">
        <v>33.925834655761719</v>
      </c>
      <c r="T100" s="4">
        <v>33.10015869140625</v>
      </c>
      <c r="U100" s="4">
        <v>32.963951110839844</v>
      </c>
      <c r="V100" s="4">
        <v>32.981399536132813</v>
      </c>
      <c r="W100" s="4">
        <v>32.540653228759766</v>
      </c>
      <c r="X100" s="4">
        <v>32.3277587890625</v>
      </c>
      <c r="Y100" s="4">
        <v>31.704790115356445</v>
      </c>
      <c r="Z100" s="4">
        <v>31.267154693603516</v>
      </c>
      <c r="AA100" s="4">
        <v>30.839780807495117</v>
      </c>
      <c r="AB100" s="4">
        <v>30.514419555664063</v>
      </c>
      <c r="AC100" s="4">
        <v>30.204095840454102</v>
      </c>
      <c r="AD100" s="4">
        <v>29.935333251953125</v>
      </c>
      <c r="AE100" s="4">
        <v>29.637537002563477</v>
      </c>
      <c r="AG100" s="4">
        <f t="shared" si="1"/>
        <v>32.358595067804508</v>
      </c>
    </row>
    <row r="101" spans="1:33" x14ac:dyDescent="0.2">
      <c r="A101" s="3" t="s">
        <v>21</v>
      </c>
      <c r="B101" s="3" t="s">
        <v>54</v>
      </c>
      <c r="C101" s="4">
        <v>47.928150177001953</v>
      </c>
      <c r="D101" s="4">
        <v>47.594314575195313</v>
      </c>
      <c r="E101" s="4">
        <v>47.723442077636719</v>
      </c>
      <c r="F101" s="4">
        <v>47.455654144287109</v>
      </c>
      <c r="G101" s="4">
        <v>46.466072082519531</v>
      </c>
      <c r="H101" s="4">
        <v>46.358318328857422</v>
      </c>
      <c r="I101" s="4">
        <v>45.838417053222656</v>
      </c>
      <c r="J101" s="4">
        <v>45.054073333740234</v>
      </c>
      <c r="K101" s="4">
        <v>44.410125732421875</v>
      </c>
      <c r="L101" s="4">
        <v>43.624885559082031</v>
      </c>
      <c r="M101" s="4">
        <v>42.35693359375</v>
      </c>
      <c r="N101" s="4">
        <v>41.656455993652344</v>
      </c>
      <c r="O101" s="4">
        <v>40.724540710449219</v>
      </c>
      <c r="P101" s="4">
        <v>40.096714019775391</v>
      </c>
      <c r="Q101" s="4">
        <v>39.576534271240234</v>
      </c>
      <c r="R101" s="4">
        <v>39.073032379150391</v>
      </c>
      <c r="S101" s="4">
        <v>38.600605010986328</v>
      </c>
      <c r="T101" s="4">
        <v>38.168529510498047</v>
      </c>
      <c r="U101" s="4">
        <v>37.224018096923828</v>
      </c>
      <c r="V101" s="4">
        <v>36.33099365234375</v>
      </c>
      <c r="W101" s="4">
        <v>35.308925628662109</v>
      </c>
      <c r="X101" s="4">
        <v>34.160785675048828</v>
      </c>
      <c r="Y101" s="4">
        <v>32.217056274414063</v>
      </c>
      <c r="Z101" s="4">
        <v>30.091670989990234</v>
      </c>
      <c r="AA101" s="4">
        <v>28.152847290039063</v>
      </c>
      <c r="AB101" s="4">
        <v>27.210935592651367</v>
      </c>
      <c r="AC101" s="4">
        <v>26.852611541748047</v>
      </c>
      <c r="AD101" s="4">
        <v>26.335643768310547</v>
      </c>
      <c r="AE101" s="4">
        <v>26.007287979125977</v>
      </c>
      <c r="AG101" s="4">
        <f t="shared" si="1"/>
        <v>34.23085455460982</v>
      </c>
    </row>
    <row r="102" spans="1:33" x14ac:dyDescent="0.2">
      <c r="A102" s="3" t="s">
        <v>22</v>
      </c>
      <c r="B102" s="3" t="s">
        <v>55</v>
      </c>
      <c r="C102" s="4">
        <v>66.327491760253906</v>
      </c>
      <c r="D102" s="4">
        <v>65.753890991210938</v>
      </c>
      <c r="E102" s="4">
        <v>65.278839111328125</v>
      </c>
      <c r="F102" s="4">
        <v>65.215126037597656</v>
      </c>
      <c r="G102" s="4">
        <v>63.984352111816406</v>
      </c>
      <c r="H102" s="4">
        <v>62.695808410644531</v>
      </c>
      <c r="I102" s="4">
        <v>61.140251159667969</v>
      </c>
      <c r="J102" s="4">
        <v>59.634803771972656</v>
      </c>
      <c r="K102" s="4">
        <v>58.02288818359375</v>
      </c>
      <c r="L102" s="4">
        <v>56.28582763671875</v>
      </c>
      <c r="M102" s="4">
        <v>54.560981750488281</v>
      </c>
      <c r="N102" s="4">
        <v>53.937923431396484</v>
      </c>
      <c r="O102" s="4">
        <v>53.296684265136719</v>
      </c>
      <c r="P102" s="4">
        <v>52.019161224365234</v>
      </c>
      <c r="Q102" s="4">
        <v>50.105812072753906</v>
      </c>
      <c r="R102" s="4">
        <v>47.800498962402344</v>
      </c>
      <c r="S102" s="4">
        <v>45.43743896484375</v>
      </c>
      <c r="T102" s="4">
        <v>43.329555511474609</v>
      </c>
      <c r="U102" s="4">
        <v>41.408340454101563</v>
      </c>
      <c r="V102" s="4">
        <v>38.865394592285156</v>
      </c>
      <c r="W102" s="4">
        <v>36.508331298828125</v>
      </c>
      <c r="X102" s="4">
        <v>33.985977172851563</v>
      </c>
      <c r="Y102" s="4">
        <v>31.711238861083984</v>
      </c>
      <c r="Z102" s="4">
        <v>29.718055725097656</v>
      </c>
      <c r="AA102" s="4">
        <v>28.116369247436523</v>
      </c>
      <c r="AB102" s="4">
        <v>26.86260986328125</v>
      </c>
      <c r="AC102" s="4">
        <v>26.035848617553711</v>
      </c>
      <c r="AD102" s="4">
        <v>25.309988021850586</v>
      </c>
      <c r="AE102" s="4">
        <v>24.719804763793945</v>
      </c>
      <c r="AG102" s="4">
        <f t="shared" si="1"/>
        <v>36.703982786698774</v>
      </c>
    </row>
    <row r="103" spans="1:33" x14ac:dyDescent="0.2">
      <c r="A103" s="3" t="s">
        <v>229</v>
      </c>
      <c r="B103" s="3" t="s">
        <v>230</v>
      </c>
      <c r="C103" s="4">
        <v>32.226863861083984</v>
      </c>
      <c r="D103" s="4">
        <v>32.418014526367188</v>
      </c>
      <c r="E103" s="4">
        <v>32.362148284912109</v>
      </c>
      <c r="F103" s="4">
        <v>32.338218688964844</v>
      </c>
      <c r="G103" s="4">
        <v>32.223827362060547</v>
      </c>
      <c r="H103" s="4">
        <v>32.029445648193359</v>
      </c>
      <c r="I103" s="4">
        <v>31.768651962280273</v>
      </c>
      <c r="J103" s="4">
        <v>31.526237487792969</v>
      </c>
      <c r="K103" s="4">
        <v>31.327053070068359</v>
      </c>
      <c r="L103" s="4">
        <v>31.125226974487305</v>
      </c>
      <c r="M103" s="4">
        <v>30.556240081787109</v>
      </c>
      <c r="N103" s="4">
        <v>29.948616027832031</v>
      </c>
      <c r="O103" s="4">
        <v>30.381498336791992</v>
      </c>
      <c r="P103" s="4">
        <v>30.046356201171875</v>
      </c>
      <c r="Q103" s="4">
        <v>28.897365570068359</v>
      </c>
      <c r="R103" s="4">
        <v>29.662925720214844</v>
      </c>
      <c r="S103" s="4">
        <v>29.140121459960938</v>
      </c>
      <c r="T103" s="4">
        <v>28.500062942504883</v>
      </c>
      <c r="U103" s="4">
        <v>27.853784561157227</v>
      </c>
      <c r="V103" s="4">
        <v>27.116674423217773</v>
      </c>
      <c r="W103" s="4">
        <v>26.689580917358398</v>
      </c>
      <c r="X103" s="4">
        <v>26.418394088745117</v>
      </c>
      <c r="Y103" s="4">
        <v>26.223102569580078</v>
      </c>
      <c r="Z103" s="4">
        <v>25.483316421508789</v>
      </c>
      <c r="AA103" s="4">
        <v>24.836080551147461</v>
      </c>
      <c r="AB103" s="4">
        <v>23.947593688964844</v>
      </c>
      <c r="AC103" s="4">
        <v>23.426368713378906</v>
      </c>
      <c r="AD103" s="4">
        <v>23.279748916625977</v>
      </c>
      <c r="AE103" s="4"/>
      <c r="AG103" s="4">
        <f t="shared" si="1"/>
        <v>26.897421576760031</v>
      </c>
    </row>
    <row r="104" spans="1:33" x14ac:dyDescent="0.2">
      <c r="A104" s="3" t="s">
        <v>23</v>
      </c>
      <c r="B104" s="3" t="s">
        <v>56</v>
      </c>
      <c r="C104" s="4">
        <v>44.887523651123047</v>
      </c>
      <c r="D104" s="4">
        <v>44.318153381347656</v>
      </c>
      <c r="E104" s="4">
        <v>43.935234069824219</v>
      </c>
      <c r="F104" s="4">
        <v>43.218120574951172</v>
      </c>
      <c r="G104" s="4">
        <v>42.814945220947266</v>
      </c>
      <c r="H104" s="4">
        <v>41.969333648681641</v>
      </c>
      <c r="I104" s="4">
        <v>41.29913330078125</v>
      </c>
      <c r="J104" s="4">
        <v>40.802707672119141</v>
      </c>
      <c r="K104" s="4">
        <v>40.204372406005859</v>
      </c>
      <c r="L104" s="4">
        <v>39.180644989013672</v>
      </c>
      <c r="M104" s="4">
        <v>39.444709777832031</v>
      </c>
      <c r="N104" s="4">
        <v>38.844539642333984</v>
      </c>
      <c r="O104" s="4">
        <v>38.291324615478516</v>
      </c>
      <c r="P104" s="4">
        <v>37.792022705078125</v>
      </c>
      <c r="Q104" s="4">
        <v>37.233737945556641</v>
      </c>
      <c r="R104" s="4">
        <v>36.823783874511719</v>
      </c>
      <c r="S104" s="4">
        <v>36.431060791015625</v>
      </c>
      <c r="T104" s="4">
        <v>36.000816345214844</v>
      </c>
      <c r="U104" s="4">
        <v>35.652095794677734</v>
      </c>
      <c r="V104" s="4">
        <v>35.334186553955078</v>
      </c>
      <c r="W104" s="4">
        <v>34.990890502929688</v>
      </c>
      <c r="X104" s="4">
        <v>34.702724456787109</v>
      </c>
      <c r="Y104" s="4">
        <v>34.481273651123047</v>
      </c>
      <c r="Z104" s="4">
        <v>34.247337341308594</v>
      </c>
      <c r="AA104" s="4">
        <v>33.939239501953125</v>
      </c>
      <c r="AB104" s="4">
        <v>33.461063385009766</v>
      </c>
      <c r="AC104" s="4">
        <v>33.241249084472656</v>
      </c>
      <c r="AD104" s="4">
        <v>32.813446044921875</v>
      </c>
      <c r="AE104" s="4"/>
      <c r="AG104" s="4">
        <f t="shared" si="1"/>
        <v>35.096770199862391</v>
      </c>
    </row>
    <row r="105" spans="1:33" x14ac:dyDescent="0.2">
      <c r="A105" s="3" t="s">
        <v>231</v>
      </c>
      <c r="B105" s="3" t="s">
        <v>232</v>
      </c>
      <c r="C105" s="4">
        <v>13.791775703430176</v>
      </c>
      <c r="D105" s="4">
        <v>13.748775482177734</v>
      </c>
      <c r="E105" s="4">
        <v>13.692596435546875</v>
      </c>
      <c r="F105" s="4">
        <v>13.633525848388672</v>
      </c>
      <c r="G105" s="4">
        <v>13.584552764892578</v>
      </c>
      <c r="H105" s="4">
        <v>13.572870254516602</v>
      </c>
      <c r="I105" s="4">
        <v>13.565446853637695</v>
      </c>
      <c r="J105" s="4">
        <v>13.540351867675781</v>
      </c>
      <c r="K105" s="4">
        <v>13.485675811767578</v>
      </c>
      <c r="L105" s="4">
        <v>13.439136505126953</v>
      </c>
      <c r="M105" s="4">
        <v>13.37717342376709</v>
      </c>
      <c r="N105" s="4">
        <v>13.302194595336914</v>
      </c>
      <c r="O105" s="4">
        <v>13.215109825134277</v>
      </c>
      <c r="P105" s="4">
        <v>13.151936531066895</v>
      </c>
      <c r="Q105" s="4">
        <v>13.089248657226563</v>
      </c>
      <c r="R105" s="4">
        <v>13.06413745880127</v>
      </c>
      <c r="S105" s="4">
        <v>13.016600608825684</v>
      </c>
      <c r="T105" s="4">
        <v>13.000699996948242</v>
      </c>
      <c r="U105" s="4">
        <v>12.914691925048828</v>
      </c>
      <c r="V105" s="4">
        <v>12.778584480285645</v>
      </c>
      <c r="W105" s="4">
        <v>12.739049911499023</v>
      </c>
      <c r="X105" s="4">
        <v>12.699410438537598</v>
      </c>
      <c r="Y105" s="4">
        <v>12.672201156616211</v>
      </c>
      <c r="Z105" s="4">
        <v>12.668196678161621</v>
      </c>
      <c r="AA105" s="4">
        <v>12.648938179016113</v>
      </c>
      <c r="AB105" s="4">
        <v>12.634489059448242</v>
      </c>
      <c r="AC105" s="4">
        <v>12.607507705688477</v>
      </c>
      <c r="AD105" s="4">
        <v>12.593319892883301</v>
      </c>
      <c r="AE105" s="4">
        <v>12.573948860168457</v>
      </c>
      <c r="AG105" s="4">
        <f t="shared" si="1"/>
        <v>12.803363626653498</v>
      </c>
    </row>
    <row r="106" spans="1:33" x14ac:dyDescent="0.2">
      <c r="A106" s="3" t="s">
        <v>233</v>
      </c>
      <c r="B106" s="3" t="s">
        <v>234</v>
      </c>
      <c r="C106" s="4">
        <v>13.155669212341309</v>
      </c>
      <c r="D106" s="4">
        <v>13.066466331481934</v>
      </c>
      <c r="E106" s="4">
        <v>13.042113304138184</v>
      </c>
      <c r="F106" s="4">
        <v>13.039461135864258</v>
      </c>
      <c r="G106" s="4">
        <v>13.053074836730957</v>
      </c>
      <c r="H106" s="4">
        <v>13.032528877258301</v>
      </c>
      <c r="I106" s="4">
        <v>12.984492301940918</v>
      </c>
      <c r="J106" s="4">
        <v>12.845391273498535</v>
      </c>
      <c r="K106" s="4">
        <v>12.722301483154297</v>
      </c>
      <c r="L106" s="4">
        <v>12.645752906799316</v>
      </c>
      <c r="M106" s="4">
        <v>12.598773956298828</v>
      </c>
      <c r="N106" s="4">
        <v>12.541669845581055</v>
      </c>
      <c r="O106" s="4">
        <v>12.487033843994141</v>
      </c>
      <c r="P106" s="4">
        <v>12.380799293518066</v>
      </c>
      <c r="Q106" s="4">
        <v>12.302506446838379</v>
      </c>
      <c r="R106" s="4">
        <v>12.20576286315918</v>
      </c>
      <c r="S106" s="4">
        <v>12.106443405151367</v>
      </c>
      <c r="T106" s="4">
        <v>12.000544548034668</v>
      </c>
      <c r="U106" s="4">
        <v>11.884415626525879</v>
      </c>
      <c r="V106" s="4">
        <v>11.780572891235352</v>
      </c>
      <c r="W106" s="4">
        <v>11.72276496887207</v>
      </c>
      <c r="X106" s="4">
        <v>11.695283889770508</v>
      </c>
      <c r="Y106" s="4">
        <v>11.62703800201416</v>
      </c>
      <c r="Z106" s="4">
        <v>11.594093322753906</v>
      </c>
      <c r="AA106" s="4">
        <v>11.566531181335449</v>
      </c>
      <c r="AB106" s="4">
        <v>11.486669540405273</v>
      </c>
      <c r="AC106" s="4">
        <v>11.434352874755859</v>
      </c>
      <c r="AD106" s="4">
        <v>11.403915405273438</v>
      </c>
      <c r="AE106" s="4">
        <v>11.324314117431641</v>
      </c>
      <c r="AG106" s="4">
        <f t="shared" si="1"/>
        <v>11.788192749023438</v>
      </c>
    </row>
    <row r="107" spans="1:33" x14ac:dyDescent="0.2">
      <c r="A107" s="3" t="s">
        <v>235</v>
      </c>
      <c r="B107" s="3" t="s">
        <v>236</v>
      </c>
      <c r="C107" s="4">
        <v>41.055042266845703</v>
      </c>
      <c r="D107" s="4">
        <v>41.956462860107422</v>
      </c>
      <c r="E107" s="4">
        <v>42.100696563720703</v>
      </c>
      <c r="F107" s="4">
        <v>42.144374847412109</v>
      </c>
      <c r="G107" s="4">
        <v>42.368091583251953</v>
      </c>
      <c r="H107" s="4">
        <v>42.451034545898438</v>
      </c>
      <c r="I107" s="4">
        <v>42.729232788085938</v>
      </c>
      <c r="J107" s="4">
        <v>43.009029388427734</v>
      </c>
      <c r="K107" s="4">
        <v>43.053401947021484</v>
      </c>
      <c r="L107" s="4">
        <v>43.062252044677734</v>
      </c>
      <c r="M107" s="4">
        <v>43.131526947021484</v>
      </c>
      <c r="N107" s="4">
        <v>43.271072387695313</v>
      </c>
      <c r="O107" s="4">
        <v>42.981945037841797</v>
      </c>
      <c r="P107" s="4">
        <v>43.4337158203125</v>
      </c>
      <c r="Q107" s="4">
        <v>43.443187713623047</v>
      </c>
      <c r="R107" s="4">
        <v>43.477077484130859</v>
      </c>
      <c r="S107" s="4">
        <v>43.300186157226563</v>
      </c>
      <c r="T107" s="4">
        <v>43.100826263427734</v>
      </c>
      <c r="U107" s="4">
        <v>42.942283630371094</v>
      </c>
      <c r="V107" s="4">
        <v>42.795619964599609</v>
      </c>
      <c r="W107" s="4">
        <v>42.833255767822266</v>
      </c>
      <c r="X107" s="4">
        <v>42.837730407714844</v>
      </c>
      <c r="Y107" s="4">
        <v>42.68115234375</v>
      </c>
      <c r="Z107" s="4">
        <v>42.381626129150391</v>
      </c>
      <c r="AA107" s="4">
        <v>42.163162231445313</v>
      </c>
      <c r="AB107" s="4">
        <v>41.752388000488281</v>
      </c>
      <c r="AC107" s="4">
        <v>41.34307861328125</v>
      </c>
      <c r="AD107" s="4">
        <v>40.966110229492188</v>
      </c>
      <c r="AE107" s="4"/>
      <c r="AG107" s="4">
        <f t="shared" si="1"/>
        <v>42.751391670920633</v>
      </c>
    </row>
    <row r="108" spans="1:33" x14ac:dyDescent="0.2">
      <c r="A108" s="3" t="s">
        <v>24</v>
      </c>
      <c r="B108" s="3" t="s">
        <v>57</v>
      </c>
      <c r="C108" s="4">
        <v>34.974269866943359</v>
      </c>
      <c r="D108" s="4">
        <v>35.415210723876953</v>
      </c>
      <c r="E108" s="4">
        <v>35.721935272216797</v>
      </c>
      <c r="F108" s="4">
        <v>35.945529937744141</v>
      </c>
      <c r="G108" s="4">
        <v>36.434593200683594</v>
      </c>
      <c r="H108" s="4">
        <v>36.826580047607422</v>
      </c>
      <c r="I108" s="4">
        <v>37.087333679199219</v>
      </c>
      <c r="J108" s="4">
        <v>37.354843139648438</v>
      </c>
      <c r="K108" s="4">
        <v>37.707229614257813</v>
      </c>
      <c r="L108" s="4">
        <v>37.988445281982422</v>
      </c>
      <c r="M108" s="4">
        <v>38.221855163574219</v>
      </c>
      <c r="N108" s="4">
        <v>38.433860778808594</v>
      </c>
      <c r="O108" s="4">
        <v>38.501117706298828</v>
      </c>
      <c r="P108" s="4">
        <v>38.572746276855469</v>
      </c>
      <c r="Q108" s="4">
        <v>38.68994140625</v>
      </c>
      <c r="R108" s="4">
        <v>38.578659057617188</v>
      </c>
      <c r="S108" s="4">
        <v>38.600982666015625</v>
      </c>
      <c r="T108" s="4">
        <v>38.632289886474609</v>
      </c>
      <c r="U108" s="4">
        <v>38.411857604980469</v>
      </c>
      <c r="V108" s="4">
        <v>38.128406524658203</v>
      </c>
      <c r="W108" s="4">
        <v>38.096149444580078</v>
      </c>
      <c r="X108" s="4">
        <v>37.772304534912109</v>
      </c>
      <c r="Y108" s="4">
        <v>37.546245574951172</v>
      </c>
      <c r="Z108" s="4">
        <v>37.251583099365234</v>
      </c>
      <c r="AA108" s="4">
        <v>36.770603179931641</v>
      </c>
      <c r="AB108" s="4">
        <v>36.444934844970703</v>
      </c>
      <c r="AC108" s="4">
        <v>36.220279693603516</v>
      </c>
      <c r="AD108" s="4">
        <v>36.075332641601563</v>
      </c>
      <c r="AE108" s="4">
        <v>35.947982788085938</v>
      </c>
      <c r="AG108" s="4">
        <f t="shared" si="1"/>
        <v>37.839456038041547</v>
      </c>
    </row>
    <row r="109" spans="1:33" ht="12" customHeight="1" x14ac:dyDescent="0.2">
      <c r="A109" s="3" t="s">
        <v>237</v>
      </c>
      <c r="B109" s="3" t="s">
        <v>238</v>
      </c>
      <c r="C109" s="4">
        <v>50.473625183105469</v>
      </c>
      <c r="D109" s="4">
        <v>50.572757720947266</v>
      </c>
      <c r="E109" s="4">
        <v>50.78179931640625</v>
      </c>
      <c r="F109" s="4">
        <v>50.832374572753906</v>
      </c>
      <c r="G109" s="4">
        <v>50.911773681640625</v>
      </c>
      <c r="H109" s="4">
        <v>51.225406646728516</v>
      </c>
      <c r="I109" s="4">
        <v>51.587032318115234</v>
      </c>
      <c r="J109" s="4">
        <v>51.829921722412109</v>
      </c>
      <c r="K109" s="4">
        <v>52.077228546142578</v>
      </c>
      <c r="L109" s="4">
        <v>52.614242553710938</v>
      </c>
      <c r="M109" s="4">
        <v>52.507843017578125</v>
      </c>
      <c r="N109" s="4">
        <v>53.037887573242188</v>
      </c>
      <c r="O109" s="4">
        <v>53.713596343994141</v>
      </c>
      <c r="P109" s="4">
        <v>54.121295928955078</v>
      </c>
      <c r="Q109" s="4">
        <v>53.735054016113281</v>
      </c>
      <c r="R109" s="4">
        <v>53.58551025390625</v>
      </c>
      <c r="S109" s="4">
        <v>53.006851196289063</v>
      </c>
      <c r="T109" s="4">
        <v>52.786605834960938</v>
      </c>
      <c r="U109" s="4">
        <v>52.560596466064453</v>
      </c>
      <c r="V109" s="4">
        <v>52.209068298339844</v>
      </c>
      <c r="W109" s="4">
        <v>51.549552917480469</v>
      </c>
      <c r="X109" s="4">
        <v>50.887542724609375</v>
      </c>
      <c r="Y109" s="4">
        <v>50.496410369873047</v>
      </c>
      <c r="Z109" s="4">
        <v>50.055652618408203</v>
      </c>
      <c r="AA109" s="4">
        <v>49.409111022949219</v>
      </c>
      <c r="AB109" s="4">
        <v>49.120319366455078</v>
      </c>
      <c r="AC109" s="4">
        <v>48.957386016845703</v>
      </c>
      <c r="AD109" s="4">
        <v>48.591808319091797</v>
      </c>
      <c r="AE109" s="4">
        <v>48.167079925537109</v>
      </c>
      <c r="AG109" s="4">
        <f t="shared" si="1"/>
        <v>51.424292824485086</v>
      </c>
    </row>
    <row r="110" spans="1:33" x14ac:dyDescent="0.2">
      <c r="A110" s="3" t="s">
        <v>239</v>
      </c>
      <c r="B110" s="3" t="s">
        <v>240</v>
      </c>
      <c r="C110" s="4">
        <v>39.499996185302734</v>
      </c>
      <c r="D110" s="4">
        <v>38.782527923583984</v>
      </c>
      <c r="E110" s="4">
        <v>38.154144287109375</v>
      </c>
      <c r="F110" s="4">
        <v>37.542884826660156</v>
      </c>
      <c r="G110" s="4">
        <v>37.013988494873047</v>
      </c>
      <c r="H110" s="4">
        <v>36.102275848388672</v>
      </c>
      <c r="I110" s="4">
        <v>35.614360809326172</v>
      </c>
      <c r="J110" s="4">
        <v>35.085659027099609</v>
      </c>
      <c r="K110" s="4">
        <v>35.079906463623047</v>
      </c>
      <c r="L110" s="4">
        <v>35.207305908203125</v>
      </c>
      <c r="M110" s="4">
        <v>35.327739715576172</v>
      </c>
      <c r="N110" s="4">
        <v>34.60693359375</v>
      </c>
      <c r="O110" s="4">
        <v>35.013900756835938</v>
      </c>
      <c r="P110" s="4">
        <v>35.108123779296875</v>
      </c>
      <c r="Q110" s="4">
        <v>34.557933807373047</v>
      </c>
      <c r="R110" s="4">
        <v>34.896312713623047</v>
      </c>
      <c r="S110" s="4">
        <v>34.968235015869141</v>
      </c>
      <c r="T110" s="4">
        <v>34.900299072265625</v>
      </c>
      <c r="U110" s="4">
        <v>34.963836669921875</v>
      </c>
      <c r="V110" s="4">
        <v>34.987812042236328</v>
      </c>
      <c r="W110" s="4">
        <v>34.577011108398438</v>
      </c>
      <c r="X110" s="4">
        <v>34.345249176025391</v>
      </c>
      <c r="Y110" s="4">
        <v>34.170486450195313</v>
      </c>
      <c r="Z110" s="4">
        <v>34.403549194335938</v>
      </c>
      <c r="AA110" s="4">
        <v>34.418987274169922</v>
      </c>
      <c r="AB110" s="4">
        <v>34.240207672119141</v>
      </c>
      <c r="AC110" s="4">
        <v>34.159149169921875</v>
      </c>
      <c r="AD110" s="4">
        <v>33.824176788330078</v>
      </c>
      <c r="AE110" s="4">
        <v>33.624996185302734</v>
      </c>
      <c r="AG110" s="4">
        <f t="shared" si="1"/>
        <v>34.624726035378195</v>
      </c>
    </row>
    <row r="111" spans="1:33" x14ac:dyDescent="0.2">
      <c r="A111" s="3" t="s">
        <v>241</v>
      </c>
      <c r="B111" s="3" t="s">
        <v>242</v>
      </c>
      <c r="C111" s="4">
        <v>19.115261077880859</v>
      </c>
      <c r="D111" s="4">
        <v>18.965518951416016</v>
      </c>
      <c r="E111" s="4">
        <v>18.959871292114258</v>
      </c>
      <c r="F111" s="4">
        <v>18.878850936889648</v>
      </c>
      <c r="G111" s="4">
        <v>18.846250534057617</v>
      </c>
      <c r="H111" s="4">
        <v>18.856544494628906</v>
      </c>
      <c r="I111" s="4">
        <v>18.853937149047852</v>
      </c>
      <c r="J111" s="4">
        <v>18.774147033691406</v>
      </c>
      <c r="K111" s="4">
        <v>18.634355545043945</v>
      </c>
      <c r="L111" s="4">
        <v>18.547031402587891</v>
      </c>
      <c r="M111" s="4">
        <v>18.517303466796875</v>
      </c>
      <c r="N111" s="4">
        <v>18.407192230224609</v>
      </c>
      <c r="O111" s="4">
        <v>18.303998947143555</v>
      </c>
      <c r="P111" s="4">
        <v>18.197839736938477</v>
      </c>
      <c r="Q111" s="4">
        <v>18.143949508666992</v>
      </c>
      <c r="R111" s="4">
        <v>18.1053466796875</v>
      </c>
      <c r="S111" s="4">
        <v>18.063358306884766</v>
      </c>
      <c r="T111" s="4">
        <v>18.000938415527344</v>
      </c>
      <c r="U111" s="4">
        <v>17.932281494140625</v>
      </c>
      <c r="V111" s="4">
        <v>17.719614028930664</v>
      </c>
      <c r="W111" s="4">
        <v>17.623504638671875</v>
      </c>
      <c r="X111" s="4">
        <v>17.582431793212891</v>
      </c>
      <c r="Y111" s="4">
        <v>17.534246444702148</v>
      </c>
      <c r="Z111" s="4">
        <v>17.422458648681641</v>
      </c>
      <c r="AA111" s="4">
        <v>17.32899284362793</v>
      </c>
      <c r="AB111" s="4">
        <v>17.17786979675293</v>
      </c>
      <c r="AC111" s="4">
        <v>17.040380477905273</v>
      </c>
      <c r="AD111" s="4">
        <v>16.939340591430664</v>
      </c>
      <c r="AE111" s="4">
        <v>16.852212905883789</v>
      </c>
      <c r="AG111" s="4">
        <f t="shared" si="1"/>
        <v>17.681003917347301</v>
      </c>
    </row>
    <row r="112" spans="1:33" x14ac:dyDescent="0.2">
      <c r="A112" s="3" t="s">
        <v>243</v>
      </c>
      <c r="B112" s="3" t="s">
        <v>244</v>
      </c>
      <c r="C112" s="4">
        <v>17.753072738647461</v>
      </c>
      <c r="D112" s="4">
        <v>18.161647796630859</v>
      </c>
      <c r="E112" s="4">
        <v>18.70075798034668</v>
      </c>
      <c r="F112" s="4">
        <v>18.80244255065918</v>
      </c>
      <c r="G112" s="4">
        <v>18.770513534545898</v>
      </c>
      <c r="H112" s="4">
        <v>19.497426986694336</v>
      </c>
      <c r="I112" s="4">
        <v>18.763782501220703</v>
      </c>
      <c r="J112" s="4">
        <v>18.589754104614258</v>
      </c>
      <c r="K112" s="4">
        <v>18.227424621582031</v>
      </c>
      <c r="L112" s="4">
        <v>18.152671813964844</v>
      </c>
      <c r="M112" s="4">
        <v>18.272676467895508</v>
      </c>
      <c r="N112" s="4">
        <v>18.34892463684082</v>
      </c>
      <c r="O112" s="4">
        <v>18.292749404907227</v>
      </c>
      <c r="P112" s="4">
        <v>17.528224945068359</v>
      </c>
      <c r="Q112" s="4">
        <v>17.462314605712891</v>
      </c>
      <c r="R112" s="4">
        <v>17.198816299438477</v>
      </c>
      <c r="S112" s="4">
        <v>17.600065231323242</v>
      </c>
      <c r="T112" s="4">
        <v>17.881649017333984</v>
      </c>
      <c r="U112" s="4">
        <v>18.072273254394531</v>
      </c>
      <c r="V112" s="4">
        <v>17.829496383666992</v>
      </c>
      <c r="W112" s="4">
        <v>17.806463241577148</v>
      </c>
      <c r="X112" s="4">
        <v>17.924459457397461</v>
      </c>
      <c r="Y112" s="4">
        <v>17.990987777709961</v>
      </c>
      <c r="Z112" s="4">
        <v>17.901876449584961</v>
      </c>
      <c r="AA112" s="4">
        <v>17.573856353759766</v>
      </c>
      <c r="AB112" s="4">
        <v>17.48536491394043</v>
      </c>
      <c r="AC112" s="4">
        <v>17.35670280456543</v>
      </c>
      <c r="AD112" s="4">
        <v>17.199197769165039</v>
      </c>
      <c r="AE112" s="4">
        <v>17.087217330932617</v>
      </c>
      <c r="AG112" s="4">
        <f t="shared" si="1"/>
        <v>17.751391670920633</v>
      </c>
    </row>
    <row r="113" spans="1:33" x14ac:dyDescent="0.2">
      <c r="A113" s="3" t="s">
        <v>245</v>
      </c>
      <c r="B113" s="3" t="s">
        <v>246</v>
      </c>
      <c r="C113" s="4">
        <v>36.229911804199219</v>
      </c>
      <c r="D113" s="4">
        <v>35.620597839355469</v>
      </c>
      <c r="E113" s="4">
        <v>35.592315673828125</v>
      </c>
      <c r="F113" s="4">
        <v>35.181137084960938</v>
      </c>
      <c r="G113" s="4">
        <v>35.083995819091797</v>
      </c>
      <c r="H113" s="4">
        <v>34.6986083984375</v>
      </c>
      <c r="I113" s="4">
        <v>34.339534759521484</v>
      </c>
      <c r="J113" s="4">
        <v>34.429775238037109</v>
      </c>
      <c r="K113" s="4">
        <v>34.500896453857422</v>
      </c>
      <c r="L113" s="4">
        <v>34.556472778320313</v>
      </c>
      <c r="M113" s="4">
        <v>34.20001220703125</v>
      </c>
      <c r="N113" s="4">
        <v>34.100498199462891</v>
      </c>
      <c r="O113" s="4">
        <v>34.070770263671875</v>
      </c>
      <c r="P113" s="4">
        <v>33.926689147949219</v>
      </c>
      <c r="Q113" s="4">
        <v>34.111675262451172</v>
      </c>
      <c r="R113" s="4">
        <v>34.017856597900391</v>
      </c>
      <c r="S113" s="4">
        <v>33.82135009765625</v>
      </c>
      <c r="T113" s="4">
        <v>33.600555419921875</v>
      </c>
      <c r="U113" s="4">
        <v>33.465995788574219</v>
      </c>
      <c r="V113" s="4">
        <v>33.338172912597656</v>
      </c>
      <c r="W113" s="4">
        <v>33.307601928710938</v>
      </c>
      <c r="X113" s="4">
        <v>33.394138336181641</v>
      </c>
      <c r="Y113" s="4">
        <v>33.367763519287109</v>
      </c>
      <c r="Z113" s="4">
        <v>33.305763244628906</v>
      </c>
      <c r="AA113" s="4">
        <v>33.138248443603516</v>
      </c>
      <c r="AB113" s="4">
        <v>32.950435638427734</v>
      </c>
      <c r="AC113" s="4">
        <v>32.9072265625</v>
      </c>
      <c r="AD113" s="4">
        <v>32.675163269042969</v>
      </c>
      <c r="AE113" s="4">
        <v>32.406394958496094</v>
      </c>
      <c r="AG113" s="4">
        <f t="shared" si="1"/>
        <v>33.427989266135476</v>
      </c>
    </row>
    <row r="114" spans="1:33" x14ac:dyDescent="0.2">
      <c r="A114" s="3" t="s">
        <v>247</v>
      </c>
      <c r="B114" s="3" t="s">
        <v>248</v>
      </c>
      <c r="C114" s="4">
        <v>65.797767639160156</v>
      </c>
      <c r="D114" s="4">
        <v>66.127845764160156</v>
      </c>
      <c r="E114" s="4">
        <v>66.590278625488281</v>
      </c>
      <c r="F114" s="4">
        <v>65.916458129882813</v>
      </c>
      <c r="G114" s="4">
        <v>64.958671569824219</v>
      </c>
      <c r="H114" s="4">
        <v>64.109024047851563</v>
      </c>
      <c r="I114" s="4">
        <v>63.289661407470703</v>
      </c>
      <c r="J114" s="4">
        <v>62.93206787109375</v>
      </c>
      <c r="K114" s="4">
        <v>62.123847961425781</v>
      </c>
      <c r="L114" s="4">
        <v>61.43463134765625</v>
      </c>
      <c r="M114" s="4">
        <v>60.511512756347656</v>
      </c>
      <c r="N114" s="4">
        <v>60.377536773681641</v>
      </c>
      <c r="O114" s="4">
        <v>60.611831665039063</v>
      </c>
      <c r="P114" s="4">
        <v>60.577564239501953</v>
      </c>
      <c r="Q114" s="4">
        <v>60.450584411621094</v>
      </c>
      <c r="R114" s="4">
        <v>60.537349700927734</v>
      </c>
      <c r="S114" s="4">
        <v>60.003047943115234</v>
      </c>
      <c r="T114" s="4">
        <v>59.026153564453125</v>
      </c>
      <c r="U114" s="4">
        <v>58.011661529541016</v>
      </c>
      <c r="V114" s="4">
        <v>57.71820068359375</v>
      </c>
      <c r="W114" s="4">
        <v>56.456775665283203</v>
      </c>
      <c r="X114" s="4">
        <v>55.129962921142578</v>
      </c>
      <c r="Y114" s="4">
        <v>53.825729370117188</v>
      </c>
      <c r="Z114" s="4">
        <v>52.179355621337891</v>
      </c>
      <c r="AA114" s="4">
        <v>50.345046997070313</v>
      </c>
      <c r="AB114" s="4">
        <v>48.881629943847656</v>
      </c>
      <c r="AC114" s="4">
        <v>47.454010009765625</v>
      </c>
      <c r="AD114" s="4">
        <v>46.041851043701172</v>
      </c>
      <c r="AE114" s="4"/>
      <c r="AG114" s="4">
        <f t="shared" si="1"/>
        <v>55.646810358220883</v>
      </c>
    </row>
    <row r="115" spans="1:33" x14ac:dyDescent="0.2">
      <c r="A115" s="3" t="s">
        <v>249</v>
      </c>
      <c r="B115" s="3" t="s">
        <v>250</v>
      </c>
      <c r="C115" s="4">
        <v>39.800365447998047</v>
      </c>
      <c r="D115" s="4">
        <v>39.306247711181641</v>
      </c>
      <c r="E115" s="4">
        <v>38.867584228515625</v>
      </c>
      <c r="F115" s="4">
        <v>38.510890960693359</v>
      </c>
      <c r="G115" s="4">
        <v>38.225547790527344</v>
      </c>
      <c r="H115" s="4">
        <v>37.987400054931641</v>
      </c>
      <c r="I115" s="4">
        <v>37.344520568847656</v>
      </c>
      <c r="J115" s="4">
        <v>37.621448516845703</v>
      </c>
      <c r="K115" s="4">
        <v>37.229549407958984</v>
      </c>
      <c r="L115" s="4">
        <v>36.884723663330078</v>
      </c>
      <c r="M115" s="4">
        <v>37.513324737548828</v>
      </c>
      <c r="N115" s="4">
        <v>37.128959655761719</v>
      </c>
      <c r="O115" s="4">
        <v>37.251129150390625</v>
      </c>
      <c r="P115" s="4">
        <v>37.398216247558594</v>
      </c>
      <c r="Q115" s="4">
        <v>37.685039520263672</v>
      </c>
      <c r="R115" s="4">
        <v>37.536518096923828</v>
      </c>
      <c r="S115" s="4">
        <v>37.400505065917969</v>
      </c>
      <c r="T115" s="4">
        <v>37.482063293457031</v>
      </c>
      <c r="U115" s="4">
        <v>37.396217346191406</v>
      </c>
      <c r="V115" s="4">
        <v>37.14581298828125</v>
      </c>
      <c r="W115" s="4">
        <v>36.848995208740234</v>
      </c>
      <c r="X115" s="4">
        <v>36.710529327392578</v>
      </c>
      <c r="Y115" s="4">
        <v>36.919837951660156</v>
      </c>
      <c r="Z115" s="4">
        <v>36.703170776367188</v>
      </c>
      <c r="AA115" s="4">
        <v>36.332149505615234</v>
      </c>
      <c r="AB115" s="4">
        <v>36.193023681640625</v>
      </c>
      <c r="AC115" s="4">
        <v>36.046806335449219</v>
      </c>
      <c r="AD115" s="4">
        <v>35.842021942138672</v>
      </c>
      <c r="AE115" s="4"/>
      <c r="AG115" s="4">
        <f t="shared" si="1"/>
        <v>36.969893022017047</v>
      </c>
    </row>
    <row r="116" spans="1:33" x14ac:dyDescent="0.2">
      <c r="A116" s="3" t="s">
        <v>25</v>
      </c>
      <c r="B116" s="3" t="s">
        <v>58</v>
      </c>
      <c r="C116" s="4">
        <v>56.679218292236328</v>
      </c>
      <c r="D116" s="4">
        <v>57.227031707763672</v>
      </c>
      <c r="E116" s="4">
        <v>56.989765167236328</v>
      </c>
      <c r="F116" s="4">
        <v>57.039226531982422</v>
      </c>
      <c r="G116" s="4">
        <v>56.960193634033203</v>
      </c>
      <c r="H116" s="4">
        <v>56.648700714111328</v>
      </c>
      <c r="I116" s="4">
        <v>56.282772064208984</v>
      </c>
      <c r="J116" s="4">
        <v>55.750476837158203</v>
      </c>
      <c r="K116" s="4">
        <v>55.480175018310547</v>
      </c>
      <c r="L116" s="4">
        <v>55.263565063476563</v>
      </c>
      <c r="M116" s="4">
        <v>55.371646881103516</v>
      </c>
      <c r="N116" s="4">
        <v>55.250339508056641</v>
      </c>
      <c r="O116" s="4">
        <v>55.255870819091797</v>
      </c>
      <c r="P116" s="4">
        <v>55.128055572509766</v>
      </c>
      <c r="Q116" s="4">
        <v>54.965179443359375</v>
      </c>
      <c r="R116" s="4">
        <v>54.672958374023438</v>
      </c>
      <c r="S116" s="4">
        <v>54.339515686035156</v>
      </c>
      <c r="T116" s="4">
        <v>53.700202941894531</v>
      </c>
      <c r="U116" s="4">
        <v>52.757064819335938</v>
      </c>
      <c r="V116" s="4">
        <v>51.887504577636719</v>
      </c>
      <c r="W116" s="4">
        <v>51.036483764648438</v>
      </c>
      <c r="X116" s="4">
        <v>50.047473907470703</v>
      </c>
      <c r="Y116" s="4">
        <v>48.975582122802734</v>
      </c>
      <c r="Z116" s="4">
        <v>47.900093078613281</v>
      </c>
      <c r="AA116" s="4">
        <v>46.946727752685547</v>
      </c>
      <c r="AB116" s="4">
        <v>46.161170959472656</v>
      </c>
      <c r="AC116" s="4">
        <v>45.633430480957031</v>
      </c>
      <c r="AD116" s="4">
        <v>45.207340240478516</v>
      </c>
      <c r="AE116" s="4">
        <v>44.790679931640625</v>
      </c>
      <c r="AG116" s="4">
        <f t="shared" si="1"/>
        <v>50.765888907692649</v>
      </c>
    </row>
    <row r="117" spans="1:33" x14ac:dyDescent="0.2">
      <c r="A117" s="3" t="s">
        <v>251</v>
      </c>
      <c r="B117" s="3" t="s">
        <v>252</v>
      </c>
      <c r="C117" s="4">
        <v>41.000358581542969</v>
      </c>
      <c r="D117" s="4">
        <v>40.922916412353516</v>
      </c>
      <c r="E117" s="4">
        <v>40.843467712402344</v>
      </c>
      <c r="F117" s="4">
        <v>40.620883941650391</v>
      </c>
      <c r="G117" s="4">
        <v>40.381935119628906</v>
      </c>
      <c r="H117" s="4">
        <v>40.135990142822266</v>
      </c>
      <c r="I117" s="4">
        <v>40.089710235595703</v>
      </c>
      <c r="J117" s="4">
        <v>39.28216552734375</v>
      </c>
      <c r="K117" s="4">
        <v>39.064823150634766</v>
      </c>
      <c r="L117" s="4">
        <v>39.154159545898438</v>
      </c>
      <c r="M117" s="4">
        <v>38.798694610595703</v>
      </c>
      <c r="N117" s="4">
        <v>39.008026123046875</v>
      </c>
      <c r="O117" s="4">
        <v>39.030597686767578</v>
      </c>
      <c r="P117" s="4">
        <v>38.845718383789063</v>
      </c>
      <c r="Q117" s="4">
        <v>38.788467407226563</v>
      </c>
      <c r="R117" s="4">
        <v>38.655570983886719</v>
      </c>
      <c r="S117" s="4">
        <v>38.409168243408203</v>
      </c>
      <c r="T117" s="4">
        <v>38.300193786621094</v>
      </c>
      <c r="U117" s="4">
        <v>38.131271362304688</v>
      </c>
      <c r="V117" s="4">
        <v>38.020454406738281</v>
      </c>
      <c r="W117" s="4">
        <v>37.850269317626953</v>
      </c>
      <c r="X117" s="4">
        <v>37.770156860351563</v>
      </c>
      <c r="Y117" s="4">
        <v>37.358562469482422</v>
      </c>
      <c r="Z117" s="4">
        <v>36.963497161865234</v>
      </c>
      <c r="AA117" s="4">
        <v>36.543697357177734</v>
      </c>
      <c r="AB117" s="4">
        <v>36.121173858642578</v>
      </c>
      <c r="AC117" s="4">
        <v>35.661582946777344</v>
      </c>
      <c r="AD117" s="4">
        <v>34.786277770996094</v>
      </c>
      <c r="AE117" s="4">
        <v>34.176567077636719</v>
      </c>
      <c r="AG117" s="4">
        <f t="shared" si="1"/>
        <v>37.64763780073686</v>
      </c>
    </row>
    <row r="118" spans="1:33" x14ac:dyDescent="0.2">
      <c r="A118" s="3" t="s">
        <v>253</v>
      </c>
      <c r="B118" s="3" t="s">
        <v>254</v>
      </c>
      <c r="C118" s="4">
        <v>31.585868835449219</v>
      </c>
      <c r="D118" s="4">
        <v>30.844732284545898</v>
      </c>
      <c r="E118" s="4">
        <v>30.530620574951172</v>
      </c>
      <c r="F118" s="4">
        <v>30.209585189819336</v>
      </c>
      <c r="G118" s="4">
        <v>30.03448486328125</v>
      </c>
      <c r="H118" s="4">
        <v>29.833639144897461</v>
      </c>
      <c r="I118" s="4">
        <v>29.575222015380859</v>
      </c>
      <c r="J118" s="4">
        <v>29.300090789794922</v>
      </c>
      <c r="K118" s="4">
        <v>28.909889221191406</v>
      </c>
      <c r="L118" s="4">
        <v>28.419336318969727</v>
      </c>
      <c r="M118" s="4">
        <v>27.824911117553711</v>
      </c>
      <c r="N118" s="4">
        <v>27.341218948364258</v>
      </c>
      <c r="O118" s="4">
        <v>26.946046829223633</v>
      </c>
      <c r="P118" s="4">
        <v>26.694828033447266</v>
      </c>
      <c r="Q118" s="4">
        <v>26.580211639404297</v>
      </c>
      <c r="R118" s="4">
        <v>26.431846618652344</v>
      </c>
      <c r="S118" s="4">
        <v>26.218282699584961</v>
      </c>
      <c r="T118" s="4">
        <v>26.002162933349609</v>
      </c>
      <c r="U118" s="4">
        <v>25.752397537231445</v>
      </c>
      <c r="V118" s="4">
        <v>25.426548004150391</v>
      </c>
      <c r="W118" s="4">
        <v>24.975440979003906</v>
      </c>
      <c r="X118" s="4">
        <v>24.721296310424805</v>
      </c>
      <c r="Y118" s="4">
        <v>24.480583190917969</v>
      </c>
      <c r="Z118" s="4">
        <v>24.283145904541016</v>
      </c>
      <c r="AA118" s="4">
        <v>24.104734420776367</v>
      </c>
      <c r="AB118" s="4">
        <v>23.859613418579102</v>
      </c>
      <c r="AC118" s="4">
        <v>23.674287796020508</v>
      </c>
      <c r="AD118" s="4">
        <v>23.494001388549805</v>
      </c>
      <c r="AE118" s="4">
        <v>23.275886535644531</v>
      </c>
      <c r="AG118" s="4">
        <f t="shared" si="1"/>
        <v>25.114186547019266</v>
      </c>
    </row>
    <row r="119" spans="1:33" x14ac:dyDescent="0.2">
      <c r="A119" s="3" t="s">
        <v>255</v>
      </c>
      <c r="B119" s="3" t="s">
        <v>256</v>
      </c>
      <c r="C119" s="4">
        <v>26.350412368774414</v>
      </c>
      <c r="D119" s="4">
        <v>26.225259780883789</v>
      </c>
      <c r="E119" s="4">
        <v>26.043403625488281</v>
      </c>
      <c r="F119" s="4">
        <v>25.776937484741211</v>
      </c>
      <c r="G119" s="4">
        <v>25.591676712036133</v>
      </c>
      <c r="H119" s="4">
        <v>25.381172180175781</v>
      </c>
      <c r="I119" s="4">
        <v>25.232172012329102</v>
      </c>
      <c r="J119" s="4">
        <v>25.045448303222656</v>
      </c>
      <c r="K119" s="4">
        <v>24.825443267822266</v>
      </c>
      <c r="L119" s="4">
        <v>24.5809326171875</v>
      </c>
      <c r="M119" s="4">
        <v>24.337438583374023</v>
      </c>
      <c r="N119" s="4">
        <v>24.093761444091797</v>
      </c>
      <c r="O119" s="4">
        <v>23.858211517333984</v>
      </c>
      <c r="P119" s="4">
        <v>23.652341842651367</v>
      </c>
      <c r="Q119" s="4">
        <v>23.449243545532227</v>
      </c>
      <c r="R119" s="4">
        <v>23.28270149230957</v>
      </c>
      <c r="S119" s="4">
        <v>23.162818908691406</v>
      </c>
      <c r="T119" s="4">
        <v>23.004222869873047</v>
      </c>
      <c r="U119" s="4">
        <v>22.825139999389648</v>
      </c>
      <c r="V119" s="4">
        <v>22.588706970214844</v>
      </c>
      <c r="W119" s="4">
        <v>22.476314544677734</v>
      </c>
      <c r="X119" s="4">
        <v>22.381799697875977</v>
      </c>
      <c r="Y119" s="4">
        <v>22.262577056884766</v>
      </c>
      <c r="Z119" s="4">
        <v>22.176906585693359</v>
      </c>
      <c r="AA119" s="4">
        <v>22.267864227294922</v>
      </c>
      <c r="AB119" s="4">
        <v>22.327861785888672</v>
      </c>
      <c r="AC119" s="4">
        <v>22.382125854492188</v>
      </c>
      <c r="AD119" s="4">
        <v>22.52583122253418</v>
      </c>
      <c r="AE119" s="4">
        <v>22.581417083740234</v>
      </c>
      <c r="AG119" s="4">
        <f t="shared" si="1"/>
        <v>22.614264921708539</v>
      </c>
    </row>
    <row r="120" spans="1:33" x14ac:dyDescent="0.2">
      <c r="A120" s="3" t="s">
        <v>257</v>
      </c>
      <c r="B120" s="3" t="s">
        <v>258</v>
      </c>
      <c r="C120" s="4">
        <v>21.74284553527832</v>
      </c>
      <c r="D120" s="4">
        <v>21.458837509155273</v>
      </c>
      <c r="E120" s="4">
        <v>21.632959365844727</v>
      </c>
      <c r="F120" s="4">
        <v>21.595876693725586</v>
      </c>
      <c r="G120" s="4">
        <v>21.378353118896484</v>
      </c>
      <c r="H120" s="4">
        <v>20.973289489746094</v>
      </c>
      <c r="I120" s="4">
        <v>20.426601409912109</v>
      </c>
      <c r="J120" s="4">
        <v>20.599275588989258</v>
      </c>
      <c r="K120" s="4">
        <v>20.330801010131836</v>
      </c>
      <c r="L120" s="4">
        <v>20.595996856689453</v>
      </c>
      <c r="M120" s="4">
        <v>20.330671310424805</v>
      </c>
      <c r="N120" s="4">
        <v>19.688636779785156</v>
      </c>
      <c r="O120" s="4">
        <v>19.447170257568359</v>
      </c>
      <c r="P120" s="4">
        <v>19.007955551147461</v>
      </c>
      <c r="Q120" s="4">
        <v>18.961017608642578</v>
      </c>
      <c r="R120" s="4">
        <v>18.400583267211914</v>
      </c>
      <c r="S120" s="4">
        <v>17.621335983276367</v>
      </c>
      <c r="T120" s="4">
        <v>18.467870712280273</v>
      </c>
      <c r="U120" s="4">
        <v>18.920637130737305</v>
      </c>
      <c r="V120" s="4">
        <v>18.247434616088867</v>
      </c>
      <c r="W120" s="4">
        <v>17.657598495483398</v>
      </c>
      <c r="X120" s="4">
        <v>16.995418548583984</v>
      </c>
      <c r="Y120" s="4">
        <v>16.6292724609375</v>
      </c>
      <c r="Z120" s="4">
        <v>16.563753128051758</v>
      </c>
      <c r="AA120" s="4">
        <v>16.2557373046875</v>
      </c>
      <c r="AB120" s="4">
        <v>16.383426666259766</v>
      </c>
      <c r="AC120" s="4">
        <v>16.174825668334961</v>
      </c>
      <c r="AD120" s="4">
        <v>15.779715538024902</v>
      </c>
      <c r="AE120" s="4">
        <v>15.524737358093262</v>
      </c>
      <c r="AG120" s="4">
        <f t="shared" si="1"/>
        <v>17.467551664872602</v>
      </c>
    </row>
    <row r="121" spans="1:33" x14ac:dyDescent="0.2">
      <c r="A121" s="3" t="s">
        <v>259</v>
      </c>
      <c r="B121" s="3" t="s">
        <v>260</v>
      </c>
      <c r="C121" s="4">
        <v>36.140434265136719</v>
      </c>
      <c r="D121" s="4">
        <v>35.563743591308594</v>
      </c>
      <c r="E121" s="4">
        <v>34.821056365966797</v>
      </c>
      <c r="F121" s="4">
        <v>34.641307830810547</v>
      </c>
      <c r="G121" s="4">
        <v>34.303417205810547</v>
      </c>
      <c r="H121" s="4">
        <v>34.03643798828125</v>
      </c>
      <c r="I121" s="4">
        <v>33.820137023925781</v>
      </c>
      <c r="J121" s="4">
        <v>33.734504699707031</v>
      </c>
      <c r="K121" s="4">
        <v>33.613784790039063</v>
      </c>
      <c r="L121" s="4">
        <v>33.325912475585938</v>
      </c>
      <c r="M121" s="4">
        <v>33.128273010253906</v>
      </c>
      <c r="N121" s="4">
        <v>33.036228179931641</v>
      </c>
      <c r="O121" s="4">
        <v>32.263652801513672</v>
      </c>
      <c r="P121" s="4">
        <v>31.892803192138672</v>
      </c>
      <c r="Q121" s="4">
        <v>31.78773307800293</v>
      </c>
      <c r="R121" s="4">
        <v>31.319023132324219</v>
      </c>
      <c r="S121" s="4">
        <v>30.935033798217773</v>
      </c>
      <c r="T121" s="4">
        <v>30.200239181518555</v>
      </c>
      <c r="U121" s="4">
        <v>29.318317413330078</v>
      </c>
      <c r="V121" s="4">
        <v>28.746267318725586</v>
      </c>
      <c r="W121" s="4">
        <v>28.410673141479492</v>
      </c>
      <c r="X121" s="4">
        <v>28.193292617797852</v>
      </c>
      <c r="Y121" s="4">
        <v>27.742475509643555</v>
      </c>
      <c r="Z121" s="4">
        <v>27.555593490600586</v>
      </c>
      <c r="AA121" s="4">
        <v>27.442226409912109</v>
      </c>
      <c r="AB121" s="4">
        <v>27.174339294433594</v>
      </c>
      <c r="AC121" s="4">
        <v>26.864013671875</v>
      </c>
      <c r="AD121" s="4">
        <v>26.764986038208008</v>
      </c>
      <c r="AE121" s="4">
        <v>26.559425354003906</v>
      </c>
      <c r="AG121" s="4">
        <f t="shared" si="1"/>
        <v>28.821589209816672</v>
      </c>
    </row>
    <row r="122" spans="1:33" x14ac:dyDescent="0.2">
      <c r="A122" s="3" t="s">
        <v>261</v>
      </c>
      <c r="B122" s="3" t="s">
        <v>262</v>
      </c>
      <c r="C122" s="4">
        <v>40.600948333740234</v>
      </c>
      <c r="D122" s="4">
        <v>39.972263336181641</v>
      </c>
      <c r="E122" s="4">
        <v>39.809410095214844</v>
      </c>
      <c r="F122" s="4">
        <v>39.555690765380859</v>
      </c>
      <c r="G122" s="4">
        <v>39.19989013671875</v>
      </c>
      <c r="H122" s="4">
        <v>38.9520263671875</v>
      </c>
      <c r="I122" s="4">
        <v>38.977706909179688</v>
      </c>
      <c r="J122" s="4">
        <v>39.021408081054688</v>
      </c>
      <c r="K122" s="4">
        <v>38.941551208496094</v>
      </c>
      <c r="L122" s="4">
        <v>39.061046600341797</v>
      </c>
      <c r="M122" s="4">
        <v>39.536228179931641</v>
      </c>
      <c r="N122" s="4">
        <v>39.765647888183594</v>
      </c>
      <c r="O122" s="4">
        <v>39.954929351806641</v>
      </c>
      <c r="P122" s="4">
        <v>40.160388946533203</v>
      </c>
      <c r="Q122" s="4">
        <v>40.428615570068359</v>
      </c>
      <c r="R122" s="4">
        <v>40.660678863525391</v>
      </c>
      <c r="S122" s="4">
        <v>40.644268035888672</v>
      </c>
      <c r="T122" s="4">
        <v>40.600452423095703</v>
      </c>
      <c r="U122" s="4">
        <v>40.422149658203125</v>
      </c>
      <c r="V122" s="4">
        <v>40.064994812011719</v>
      </c>
      <c r="W122" s="4">
        <v>40.227073669433594</v>
      </c>
      <c r="X122" s="4">
        <v>40.334011077880859</v>
      </c>
      <c r="Y122" s="4">
        <v>40.359626770019531</v>
      </c>
      <c r="Z122" s="4">
        <v>40.323371887207031</v>
      </c>
      <c r="AA122" s="4">
        <v>40.355876922607422</v>
      </c>
      <c r="AB122" s="4">
        <v>40.327297210693359</v>
      </c>
      <c r="AC122" s="4">
        <v>40.245094299316406</v>
      </c>
      <c r="AD122" s="4">
        <v>40.226116180419922</v>
      </c>
      <c r="AE122" s="4">
        <v>40.090511322021484</v>
      </c>
      <c r="AG122" s="4">
        <f t="shared" si="1"/>
        <v>40.392709211869672</v>
      </c>
    </row>
    <row r="123" spans="1:33" x14ac:dyDescent="0.2">
      <c r="A123" s="3" t="s">
        <v>26</v>
      </c>
      <c r="B123" s="3" t="s">
        <v>59</v>
      </c>
      <c r="C123" s="4">
        <v>42.673091888427734</v>
      </c>
      <c r="D123" s="4">
        <v>41.663475036621094</v>
      </c>
      <c r="E123" s="4">
        <v>40.649600982666016</v>
      </c>
      <c r="F123" s="4">
        <v>40.279811859130859</v>
      </c>
      <c r="G123" s="4">
        <v>41.025798797607422</v>
      </c>
      <c r="H123" s="4">
        <v>41.284988403320313</v>
      </c>
      <c r="I123" s="4">
        <v>41.259014129638672</v>
      </c>
      <c r="J123" s="4">
        <v>41.974960327148438</v>
      </c>
      <c r="K123" s="4">
        <v>42.249855041503906</v>
      </c>
      <c r="L123" s="4">
        <v>42.171897888183594</v>
      </c>
      <c r="M123" s="4">
        <v>41.957077026367188</v>
      </c>
      <c r="N123" s="4">
        <v>41.673694610595703</v>
      </c>
      <c r="O123" s="4">
        <v>41.328704833984375</v>
      </c>
      <c r="P123" s="4">
        <v>40.624008178710938</v>
      </c>
      <c r="Q123" s="4">
        <v>40.034934997558594</v>
      </c>
      <c r="R123" s="4">
        <v>39.31915283203125</v>
      </c>
      <c r="S123" s="4">
        <v>39.100669860839844</v>
      </c>
      <c r="T123" s="4">
        <v>38.393779754638672</v>
      </c>
      <c r="U123" s="4">
        <v>37.277023315429688</v>
      </c>
      <c r="V123" s="4">
        <v>36.287464141845703</v>
      </c>
      <c r="W123" s="4">
        <v>35.376148223876953</v>
      </c>
      <c r="X123" s="4">
        <v>34.491161346435547</v>
      </c>
      <c r="Y123" s="4">
        <v>33.348369598388672</v>
      </c>
      <c r="Z123" s="4">
        <v>32.464885711669922</v>
      </c>
      <c r="AA123" s="4">
        <v>31.544708251953125</v>
      </c>
      <c r="AB123" s="4">
        <v>30.588384628295898</v>
      </c>
      <c r="AC123" s="4">
        <v>29.633575439453125</v>
      </c>
      <c r="AD123" s="4">
        <v>28.766149520874023</v>
      </c>
      <c r="AE123" s="4"/>
      <c r="AG123" s="4">
        <f t="shared" si="1"/>
        <v>35.290158878673203</v>
      </c>
    </row>
    <row r="124" spans="1:33" x14ac:dyDescent="0.2">
      <c r="A124" s="3" t="s">
        <v>263</v>
      </c>
      <c r="B124" s="3" t="s">
        <v>264</v>
      </c>
      <c r="C124" s="4">
        <v>18.598056793212891</v>
      </c>
      <c r="D124" s="4">
        <v>18.469589233398438</v>
      </c>
      <c r="E124" s="4">
        <v>18.741525650024414</v>
      </c>
      <c r="F124" s="4">
        <v>18.54411506652832</v>
      </c>
      <c r="G124" s="4">
        <v>18.403059005737305</v>
      </c>
      <c r="H124" s="4">
        <v>18.226415634155273</v>
      </c>
      <c r="I124" s="4">
        <v>18.158533096313477</v>
      </c>
      <c r="J124" s="4">
        <v>18.008232116699219</v>
      </c>
      <c r="K124" s="4">
        <v>17.860342025756836</v>
      </c>
      <c r="L124" s="4">
        <v>17.731683731079102</v>
      </c>
      <c r="M124" s="4">
        <v>17.608846664428711</v>
      </c>
      <c r="N124" s="4">
        <v>17.457963943481445</v>
      </c>
      <c r="O124" s="4">
        <v>17.44017219543457</v>
      </c>
      <c r="P124" s="4">
        <v>17.428468704223633</v>
      </c>
      <c r="Q124" s="4">
        <v>17.524499893188477</v>
      </c>
      <c r="R124" s="4">
        <v>17.347309112548828</v>
      </c>
      <c r="S124" s="4">
        <v>17.084554672241211</v>
      </c>
      <c r="T124" s="4">
        <v>16.799966812133789</v>
      </c>
      <c r="U124" s="4">
        <v>16.577260971069336</v>
      </c>
      <c r="V124" s="4">
        <v>16.247369766235352</v>
      </c>
      <c r="W124" s="4">
        <v>16.220907211303711</v>
      </c>
      <c r="X124" s="4">
        <v>16.245311737060547</v>
      </c>
      <c r="Y124" s="4">
        <v>16.00543212890625</v>
      </c>
      <c r="Z124" s="4">
        <v>15.693591117858887</v>
      </c>
      <c r="AA124" s="4">
        <v>15.378122329711914</v>
      </c>
      <c r="AB124" s="4">
        <v>15.111598014831543</v>
      </c>
      <c r="AC124" s="4">
        <v>15.087309837341309</v>
      </c>
      <c r="AD124" s="4">
        <v>15.012190818786621</v>
      </c>
      <c r="AE124" s="4">
        <v>14.935848236083984</v>
      </c>
      <c r="AG124" s="4">
        <f t="shared" si="1"/>
        <v>16.246493079445578</v>
      </c>
    </row>
    <row r="125" spans="1:33" x14ac:dyDescent="0.2">
      <c r="A125" s="3" t="s">
        <v>265</v>
      </c>
      <c r="B125" s="3" t="s">
        <v>266</v>
      </c>
      <c r="C125" s="4">
        <v>44.710987091064453</v>
      </c>
      <c r="D125" s="4">
        <v>45.003192901611328</v>
      </c>
      <c r="E125" s="4">
        <v>44.869461059570313</v>
      </c>
      <c r="F125" s="4">
        <v>44.782260894775391</v>
      </c>
      <c r="G125" s="4">
        <v>44.738323211669922</v>
      </c>
      <c r="H125" s="4">
        <v>44.735942840576172</v>
      </c>
      <c r="I125" s="4">
        <v>44.632732391357422</v>
      </c>
      <c r="J125" s="4">
        <v>44.502223968505859</v>
      </c>
      <c r="K125" s="4">
        <v>44.400833129882813</v>
      </c>
      <c r="L125" s="4">
        <v>44.114635467529297</v>
      </c>
      <c r="M125" s="4">
        <v>43.914268493652344</v>
      </c>
      <c r="N125" s="4">
        <v>43.702415466308594</v>
      </c>
      <c r="O125" s="4">
        <v>43.422378540039063</v>
      </c>
      <c r="P125" s="4">
        <v>43.133689880371094</v>
      </c>
      <c r="Q125" s="4">
        <v>42.851005554199219</v>
      </c>
      <c r="R125" s="4">
        <v>42.558322906494141</v>
      </c>
      <c r="S125" s="4">
        <v>42.134796142578125</v>
      </c>
      <c r="T125" s="4">
        <v>41.700962066650391</v>
      </c>
      <c r="U125" s="4">
        <v>41.259128570556641</v>
      </c>
      <c r="V125" s="4">
        <v>40.990127563476563</v>
      </c>
      <c r="W125" s="4">
        <v>40.734352111816406</v>
      </c>
      <c r="X125" s="4">
        <v>40.416862487792969</v>
      </c>
      <c r="Y125" s="4">
        <v>40.220310211181641</v>
      </c>
      <c r="Z125" s="4">
        <v>39.918312072753906</v>
      </c>
      <c r="AA125" s="4">
        <v>39.550865173339844</v>
      </c>
      <c r="AB125" s="4">
        <v>39.332756042480469</v>
      </c>
      <c r="AC125" s="4">
        <v>38.870151519775391</v>
      </c>
      <c r="AD125" s="4">
        <v>38.398036956787109</v>
      </c>
      <c r="AE125" s="4">
        <v>37.927837371826172</v>
      </c>
      <c r="AG125" s="4">
        <f t="shared" si="1"/>
        <v>40.801526849920101</v>
      </c>
    </row>
    <row r="126" spans="1:33" x14ac:dyDescent="0.2">
      <c r="A126" s="3" t="s">
        <v>267</v>
      </c>
      <c r="B126" s="3" t="s">
        <v>268</v>
      </c>
      <c r="C126" s="4">
        <v>39.622566223144531</v>
      </c>
      <c r="D126" s="4">
        <v>39.261573791503906</v>
      </c>
      <c r="E126" s="4">
        <v>39.276927947998047</v>
      </c>
      <c r="F126" s="4">
        <v>39.413120269775391</v>
      </c>
      <c r="G126" s="4">
        <v>39.410503387451172</v>
      </c>
      <c r="H126" s="4">
        <v>39.774154663085938</v>
      </c>
      <c r="I126" s="4">
        <v>39.943511962890625</v>
      </c>
      <c r="J126" s="4">
        <v>40.295078277587891</v>
      </c>
      <c r="K126" s="4">
        <v>40.636123657226563</v>
      </c>
      <c r="L126" s="4">
        <v>41.055980682373047</v>
      </c>
      <c r="M126" s="4">
        <v>41.302989959716797</v>
      </c>
      <c r="N126" s="4">
        <v>41.605216979980469</v>
      </c>
      <c r="O126" s="4">
        <v>41.818321228027344</v>
      </c>
      <c r="P126" s="4">
        <v>42.165191650390625</v>
      </c>
      <c r="Q126" s="4">
        <v>42.760707855224609</v>
      </c>
      <c r="R126" s="4">
        <v>42.749179840087891</v>
      </c>
      <c r="S126" s="4">
        <v>42.706512451171875</v>
      </c>
      <c r="T126" s="4">
        <v>42.902011871337891</v>
      </c>
      <c r="U126" s="4">
        <v>42.813911437988281</v>
      </c>
      <c r="V126" s="4">
        <v>42.705883026123047</v>
      </c>
      <c r="W126" s="4">
        <v>40.921588897705078</v>
      </c>
      <c r="X126" s="4">
        <v>38.98956298828125</v>
      </c>
      <c r="Y126" s="4">
        <v>37.993377685546875</v>
      </c>
      <c r="Z126" s="4">
        <v>37.602157592773438</v>
      </c>
      <c r="AA126" s="4">
        <v>37.341033935546875</v>
      </c>
      <c r="AB126" s="4">
        <v>37.219161987304688</v>
      </c>
      <c r="AC126" s="4">
        <v>37.111495971679688</v>
      </c>
      <c r="AD126" s="4">
        <v>37.046329498291016</v>
      </c>
      <c r="AE126" s="4"/>
      <c r="AG126" s="4">
        <f t="shared" si="1"/>
        <v>40.358580155806109</v>
      </c>
    </row>
    <row r="127" spans="1:33" x14ac:dyDescent="0.2">
      <c r="A127" s="3" t="s">
        <v>269</v>
      </c>
      <c r="B127" s="3" t="s">
        <v>270</v>
      </c>
      <c r="C127" s="4">
        <v>14.679225921630859</v>
      </c>
      <c r="D127" s="4">
        <v>14.435996055603027</v>
      </c>
      <c r="E127" s="4">
        <v>14.222222328186035</v>
      </c>
      <c r="F127" s="4">
        <v>13.935981750488281</v>
      </c>
      <c r="G127" s="4">
        <v>13.771806716918945</v>
      </c>
      <c r="H127" s="4">
        <v>13.572139739990234</v>
      </c>
      <c r="I127" s="4">
        <v>13.358761787414551</v>
      </c>
      <c r="J127" s="4">
        <v>13.129088401794434</v>
      </c>
      <c r="K127" s="4">
        <v>12.91822338104248</v>
      </c>
      <c r="L127" s="4">
        <v>12.650041580200195</v>
      </c>
      <c r="M127" s="4">
        <v>12.517526626586914</v>
      </c>
      <c r="N127" s="4">
        <v>12.360258102416992</v>
      </c>
      <c r="O127" s="4">
        <v>12.199328422546387</v>
      </c>
      <c r="P127" s="4">
        <v>12.02293872833252</v>
      </c>
      <c r="Q127" s="4">
        <v>11.98173713684082</v>
      </c>
      <c r="R127" s="4">
        <v>11.986186027526855</v>
      </c>
      <c r="S127" s="4">
        <v>12.103972434997559</v>
      </c>
      <c r="T127" s="4">
        <v>12.200405120849609</v>
      </c>
      <c r="U127" s="4">
        <v>12.214529037475586</v>
      </c>
      <c r="V127" s="4">
        <v>12.133405685424805</v>
      </c>
      <c r="W127" s="4">
        <v>12.07829475402832</v>
      </c>
      <c r="X127" s="4">
        <v>12.011581420898438</v>
      </c>
      <c r="Y127" s="4">
        <v>11.913372039794922</v>
      </c>
      <c r="Z127" s="4">
        <v>11.79228687286377</v>
      </c>
      <c r="AA127" s="4">
        <v>11.721776008605957</v>
      </c>
      <c r="AB127" s="4">
        <v>11.609800338745117</v>
      </c>
      <c r="AC127" s="4">
        <v>11.491281509399414</v>
      </c>
      <c r="AD127" s="4">
        <v>11.370479583740234</v>
      </c>
      <c r="AE127" s="4">
        <v>11.29212760925293</v>
      </c>
      <c r="AG127" s="4">
        <f t="shared" si="1"/>
        <v>11.978691794655539</v>
      </c>
    </row>
    <row r="128" spans="1:33" x14ac:dyDescent="0.2">
      <c r="A128" s="3" t="s">
        <v>271</v>
      </c>
      <c r="B128" s="3" t="s">
        <v>272</v>
      </c>
      <c r="C128" s="4">
        <v>19.109674453735352</v>
      </c>
      <c r="D128" s="4">
        <v>18.654569625854492</v>
      </c>
      <c r="E128" s="4">
        <v>18.203319549560547</v>
      </c>
      <c r="F128" s="4">
        <v>18.171382904052734</v>
      </c>
      <c r="G128" s="4">
        <v>18.187114715576172</v>
      </c>
      <c r="H128" s="4">
        <v>18.124374389648438</v>
      </c>
      <c r="I128" s="4">
        <v>18.02006721496582</v>
      </c>
      <c r="J128" s="4">
        <v>17.825942993164063</v>
      </c>
      <c r="K128" s="4">
        <v>17.56443977355957</v>
      </c>
      <c r="L128" s="4">
        <v>17.409196853637695</v>
      </c>
      <c r="M128" s="4">
        <v>17.259181976318359</v>
      </c>
      <c r="N128" s="4">
        <v>17.160152435302734</v>
      </c>
      <c r="O128" s="4">
        <v>17.05232048034668</v>
      </c>
      <c r="P128" s="4">
        <v>16.967813491821289</v>
      </c>
      <c r="Q128" s="4">
        <v>16.976613998413086</v>
      </c>
      <c r="R128" s="4">
        <v>16.979333877563477</v>
      </c>
      <c r="S128" s="4">
        <v>16.875539779663086</v>
      </c>
      <c r="T128" s="4">
        <v>16.800159454345703</v>
      </c>
      <c r="U128" s="4">
        <v>16.715583801269531</v>
      </c>
      <c r="V128" s="4">
        <v>16.525421142578125</v>
      </c>
      <c r="W128" s="4">
        <v>16.374057769775391</v>
      </c>
      <c r="X128" s="4">
        <v>16.346336364746094</v>
      </c>
      <c r="Y128" s="4">
        <v>16.327146530151367</v>
      </c>
      <c r="Z128" s="4">
        <v>16.285528182983398</v>
      </c>
      <c r="AA128" s="4">
        <v>16.310150146484375</v>
      </c>
      <c r="AB128" s="4">
        <v>16.226627349853516</v>
      </c>
      <c r="AC128" s="4">
        <v>16.225349426269531</v>
      </c>
      <c r="AD128" s="4">
        <v>16.178316116333008</v>
      </c>
      <c r="AE128" s="4">
        <v>16.137657165527344</v>
      </c>
      <c r="AG128" s="4">
        <f t="shared" si="1"/>
        <v>16.524171309037641</v>
      </c>
    </row>
    <row r="129" spans="1:33" x14ac:dyDescent="0.2">
      <c r="A129" s="3" t="s">
        <v>273</v>
      </c>
      <c r="B129" s="3" t="s">
        <v>274</v>
      </c>
      <c r="C129" s="4">
        <v>28.850257873535156</v>
      </c>
      <c r="D129" s="4">
        <v>28.202751159667969</v>
      </c>
      <c r="E129" s="4">
        <v>27.811389923095703</v>
      </c>
      <c r="F129" s="4">
        <v>27.575345993041992</v>
      </c>
      <c r="G129" s="4">
        <v>27.321392059326172</v>
      </c>
      <c r="H129" s="4">
        <v>27.144008636474609</v>
      </c>
      <c r="I129" s="4">
        <v>26.867252349853516</v>
      </c>
      <c r="J129" s="4">
        <v>26.588493347167969</v>
      </c>
      <c r="K129" s="4">
        <v>26.383935928344727</v>
      </c>
      <c r="L129" s="4">
        <v>26.218414306640625</v>
      </c>
      <c r="M129" s="4">
        <v>25.988594055175781</v>
      </c>
      <c r="N129" s="4">
        <v>25.740564346313477</v>
      </c>
      <c r="O129" s="4">
        <v>25.594699859619141</v>
      </c>
      <c r="P129" s="4">
        <v>25.393795013427734</v>
      </c>
      <c r="Q129" s="4">
        <v>25.202728271484375</v>
      </c>
      <c r="R129" s="4">
        <v>24.994197845458984</v>
      </c>
      <c r="S129" s="4">
        <v>24.797483444213867</v>
      </c>
      <c r="T129" s="4">
        <v>24.700576782226563</v>
      </c>
      <c r="U129" s="4">
        <v>24.512245178222656</v>
      </c>
      <c r="V129" s="4">
        <v>24.215225219726563</v>
      </c>
      <c r="W129" s="4">
        <v>24.052431106567383</v>
      </c>
      <c r="X129" s="4">
        <v>23.947166442871094</v>
      </c>
      <c r="Y129" s="4">
        <v>23.924638748168945</v>
      </c>
      <c r="Z129" s="4">
        <v>23.922756195068359</v>
      </c>
      <c r="AA129" s="4">
        <v>23.999094009399414</v>
      </c>
      <c r="AB129" s="4">
        <v>24.034523010253906</v>
      </c>
      <c r="AC129" s="4">
        <v>24.122102737426758</v>
      </c>
      <c r="AD129" s="4">
        <v>24.233417510986328</v>
      </c>
      <c r="AE129" s="4">
        <v>24.255475997924805</v>
      </c>
      <c r="AG129" s="4">
        <f t="shared" si="1"/>
        <v>24.281848907470703</v>
      </c>
    </row>
    <row r="130" spans="1:33" x14ac:dyDescent="0.2">
      <c r="A130" s="3" t="s">
        <v>275</v>
      </c>
      <c r="B130" s="3" t="s">
        <v>276</v>
      </c>
      <c r="C130" s="4">
        <v>25.821268081665039</v>
      </c>
      <c r="D130" s="4">
        <v>25.946697235107422</v>
      </c>
      <c r="E130" s="4">
        <v>25.995218276977539</v>
      </c>
      <c r="F130" s="4">
        <v>26.066312789916992</v>
      </c>
      <c r="G130" s="4">
        <v>26.121393203735352</v>
      </c>
      <c r="H130" s="4">
        <v>26.205730438232422</v>
      </c>
      <c r="I130" s="4">
        <v>26.196340560913086</v>
      </c>
      <c r="J130" s="4">
        <v>26.130527496337891</v>
      </c>
      <c r="K130" s="4">
        <v>26.076995849609375</v>
      </c>
      <c r="L130" s="4">
        <v>26.072391510009766</v>
      </c>
      <c r="M130" s="4">
        <v>26.060586929321289</v>
      </c>
      <c r="N130" s="4">
        <v>25.813766479492188</v>
      </c>
      <c r="O130" s="4">
        <v>25.95416259765625</v>
      </c>
      <c r="P130" s="4">
        <v>25.678741455078125</v>
      </c>
      <c r="Q130" s="4">
        <v>25.536209106445313</v>
      </c>
      <c r="R130" s="4">
        <v>25.526391983032227</v>
      </c>
      <c r="S130" s="4">
        <v>25.563352584838867</v>
      </c>
      <c r="T130" s="4">
        <v>25.200492858886719</v>
      </c>
      <c r="U130" s="4">
        <v>24.96728515625</v>
      </c>
      <c r="V130" s="4">
        <v>24.543664932250977</v>
      </c>
      <c r="W130" s="4">
        <v>24.259649276733398</v>
      </c>
      <c r="X130" s="4">
        <v>24.254791259765625</v>
      </c>
      <c r="Y130" s="4">
        <v>24.141410827636719</v>
      </c>
      <c r="Z130" s="4">
        <v>24.030319213867188</v>
      </c>
      <c r="AA130" s="4">
        <v>23.899124145507813</v>
      </c>
      <c r="AB130" s="4">
        <v>23.894460678100586</v>
      </c>
      <c r="AC130" s="4">
        <v>23.726528167724609</v>
      </c>
      <c r="AD130" s="4">
        <v>23.695663452148438</v>
      </c>
      <c r="AE130" s="4">
        <v>23.608823776245117</v>
      </c>
      <c r="AG130" s="4">
        <f t="shared" si="1"/>
        <v>24.570994810624555</v>
      </c>
    </row>
    <row r="131" spans="1:33" x14ac:dyDescent="0.2">
      <c r="A131" s="3" t="s">
        <v>277</v>
      </c>
      <c r="B131" s="3" t="s">
        <v>278</v>
      </c>
      <c r="C131" s="4">
        <v>25.128190994262695</v>
      </c>
      <c r="D131" s="4">
        <v>24.855175018310547</v>
      </c>
      <c r="E131" s="4">
        <v>24.496295928955078</v>
      </c>
      <c r="F131" s="4">
        <v>24.15472412109375</v>
      </c>
      <c r="G131" s="4">
        <v>23.944816589355469</v>
      </c>
      <c r="H131" s="4">
        <v>23.821691513061523</v>
      </c>
      <c r="I131" s="4">
        <v>23.673189163208008</v>
      </c>
      <c r="J131" s="4">
        <v>23.589370727539063</v>
      </c>
      <c r="K131" s="4">
        <v>23.511501312255859</v>
      </c>
      <c r="L131" s="4">
        <v>23.441234588623047</v>
      </c>
      <c r="M131" s="4">
        <v>23.365270614624023</v>
      </c>
      <c r="N131" s="4">
        <v>23.219594955444336</v>
      </c>
      <c r="O131" s="4">
        <v>23.027593612670898</v>
      </c>
      <c r="P131" s="4">
        <v>22.87169075012207</v>
      </c>
      <c r="Q131" s="4">
        <v>22.705718994140625</v>
      </c>
      <c r="R131" s="4">
        <v>22.57282829284668</v>
      </c>
      <c r="S131" s="4">
        <v>22.402288436889648</v>
      </c>
      <c r="T131" s="4">
        <v>22.200029373168945</v>
      </c>
      <c r="U131" s="4">
        <v>21.871372222900391</v>
      </c>
      <c r="V131" s="4">
        <v>21.412246704101563</v>
      </c>
      <c r="W131" s="4">
        <v>21.22871208190918</v>
      </c>
      <c r="X131" s="4">
        <v>21.00274658203125</v>
      </c>
      <c r="Y131" s="4">
        <v>20.79932975769043</v>
      </c>
      <c r="Z131" s="4">
        <v>20.686853408813477</v>
      </c>
      <c r="AA131" s="4">
        <v>20.687892913818359</v>
      </c>
      <c r="AB131" s="4">
        <v>20.719690322875977</v>
      </c>
      <c r="AC131" s="4">
        <v>20.74281120300293</v>
      </c>
      <c r="AD131" s="4">
        <v>20.754335403442383</v>
      </c>
      <c r="AE131" s="4">
        <v>20.724040985107422</v>
      </c>
      <c r="AG131" s="4">
        <f t="shared" ref="AG131:AG157" si="2">AVERAGE($R131:$AB131)</f>
        <v>21.416726372458719</v>
      </c>
    </row>
    <row r="132" spans="1:33" x14ac:dyDescent="0.2">
      <c r="A132" s="3" t="s">
        <v>279</v>
      </c>
      <c r="B132" s="3" t="s">
        <v>280</v>
      </c>
      <c r="C132" s="4">
        <v>49.406280517578125</v>
      </c>
      <c r="D132" s="4">
        <v>48.862106323242188</v>
      </c>
      <c r="E132" s="4">
        <v>48.297386169433594</v>
      </c>
      <c r="F132" s="4">
        <v>48.159114837646484</v>
      </c>
      <c r="G132" s="4">
        <v>47.628196716308594</v>
      </c>
      <c r="H132" s="4">
        <v>47.038928985595703</v>
      </c>
      <c r="I132" s="4">
        <v>46.640850067138672</v>
      </c>
      <c r="J132" s="4">
        <v>46.109542846679688</v>
      </c>
      <c r="K132" s="4">
        <v>46.191635131835938</v>
      </c>
      <c r="L132" s="4">
        <v>45.607662200927734</v>
      </c>
      <c r="M132" s="4">
        <v>45.279720306396484</v>
      </c>
      <c r="N132" s="4">
        <v>44.818141937255859</v>
      </c>
      <c r="O132" s="4">
        <v>44.880683898925781</v>
      </c>
      <c r="P132" s="4">
        <v>44.512550354003906</v>
      </c>
      <c r="Q132" s="4">
        <v>43.964393615722656</v>
      </c>
      <c r="R132" s="4">
        <v>43.340175628662109</v>
      </c>
      <c r="S132" s="4">
        <v>43.000942230224609</v>
      </c>
      <c r="T132" s="4">
        <v>42.200035095214844</v>
      </c>
      <c r="U132" s="4">
        <v>42.125724792480469</v>
      </c>
      <c r="V132" s="4">
        <v>41.356365203857422</v>
      </c>
      <c r="W132" s="4">
        <v>40.815933227539063</v>
      </c>
      <c r="X132" s="4">
        <v>39.953151702880859</v>
      </c>
      <c r="Y132" s="4">
        <v>38.939128875732422</v>
      </c>
      <c r="Z132" s="4">
        <v>38.251876831054688</v>
      </c>
      <c r="AA132" s="4">
        <v>37.503948211669922</v>
      </c>
      <c r="AB132" s="4">
        <v>36.911464691162109</v>
      </c>
      <c r="AC132" s="4">
        <v>36.327247619628906</v>
      </c>
      <c r="AD132" s="4">
        <v>35.752681732177734</v>
      </c>
      <c r="AE132" s="4">
        <v>35.094295501708984</v>
      </c>
      <c r="AG132" s="4">
        <f t="shared" si="2"/>
        <v>40.399886044588953</v>
      </c>
    </row>
    <row r="133" spans="1:33" x14ac:dyDescent="0.2">
      <c r="A133" s="3" t="s">
        <v>281</v>
      </c>
      <c r="B133" s="3" t="s">
        <v>282</v>
      </c>
      <c r="C133" s="4">
        <v>51.245262145996094</v>
      </c>
      <c r="D133" s="4">
        <v>49.978145599365234</v>
      </c>
      <c r="E133" s="4">
        <v>48.829292297363281</v>
      </c>
      <c r="F133" s="4">
        <v>47.987060546875</v>
      </c>
      <c r="G133" s="4">
        <v>46.114509582519531</v>
      </c>
      <c r="H133" s="4">
        <v>45.765937805175781</v>
      </c>
      <c r="I133" s="4">
        <v>44.655532836914063</v>
      </c>
      <c r="J133" s="4">
        <v>43.271678924560547</v>
      </c>
      <c r="K133" s="4">
        <v>42.4912109375</v>
      </c>
      <c r="L133" s="4">
        <v>42.261661529541016</v>
      </c>
      <c r="M133" s="4">
        <v>42.279155731201172</v>
      </c>
      <c r="N133" s="4">
        <v>41.500038146972656</v>
      </c>
      <c r="O133" s="4">
        <v>40.991573333740234</v>
      </c>
      <c r="P133" s="4">
        <v>40.952716827392578</v>
      </c>
      <c r="Q133" s="4">
        <v>40.733535766601563</v>
      </c>
      <c r="R133" s="4">
        <v>40.648616790771484</v>
      </c>
      <c r="S133" s="4">
        <v>39.905906677246094</v>
      </c>
      <c r="T133" s="4">
        <v>40.407997131347656</v>
      </c>
      <c r="U133" s="4">
        <v>39.888664245605469</v>
      </c>
      <c r="V133" s="4">
        <v>39.427440643310547</v>
      </c>
      <c r="W133" s="4">
        <v>38.813926696777344</v>
      </c>
      <c r="X133" s="4">
        <v>38.821453094482422</v>
      </c>
      <c r="Y133" s="4">
        <v>38.516445159912109</v>
      </c>
      <c r="Z133" s="4">
        <v>38.035648345947266</v>
      </c>
      <c r="AA133" s="4">
        <v>38.356235504150391</v>
      </c>
      <c r="AB133" s="4">
        <v>37.908920288085938</v>
      </c>
      <c r="AC133" s="4">
        <v>37.596141815185547</v>
      </c>
      <c r="AD133" s="4">
        <v>36.645530700683594</v>
      </c>
      <c r="AE133" s="4">
        <v>36.380973815917969</v>
      </c>
      <c r="AG133" s="4">
        <f t="shared" si="2"/>
        <v>39.157386779785156</v>
      </c>
    </row>
    <row r="134" spans="1:33" x14ac:dyDescent="0.2">
      <c r="A134" s="3" t="s">
        <v>283</v>
      </c>
      <c r="B134" s="3" t="s">
        <v>284</v>
      </c>
      <c r="C134" s="4">
        <v>54.156745910644531</v>
      </c>
      <c r="D134" s="4">
        <v>53.614490509033203</v>
      </c>
      <c r="E134" s="4">
        <v>52.890510559082031</v>
      </c>
      <c r="F134" s="4">
        <v>52.835647583007813</v>
      </c>
      <c r="G134" s="4">
        <v>52.316726684570313</v>
      </c>
      <c r="H134" s="4">
        <v>50.934230804443359</v>
      </c>
      <c r="I134" s="4">
        <v>50.452751159667969</v>
      </c>
      <c r="J134" s="4">
        <v>50.003658294677734</v>
      </c>
      <c r="K134" s="4">
        <v>51.667507171630859</v>
      </c>
      <c r="L134" s="4">
        <v>50.891536712646484</v>
      </c>
      <c r="M134" s="4">
        <v>51.468788146972656</v>
      </c>
      <c r="N134" s="4">
        <v>50.600265502929688</v>
      </c>
      <c r="O134" s="4">
        <v>50.365085601806641</v>
      </c>
      <c r="P134" s="4">
        <v>49.996501922607422</v>
      </c>
      <c r="Q134" s="4">
        <v>49.610187530517578</v>
      </c>
      <c r="R134" s="4">
        <v>49.449214935302734</v>
      </c>
      <c r="S134" s="4">
        <v>49.197422027587891</v>
      </c>
      <c r="T134" s="4">
        <v>48.569293975830078</v>
      </c>
      <c r="U134" s="4">
        <v>47.413711547851563</v>
      </c>
      <c r="V134" s="4">
        <v>47.064678192138672</v>
      </c>
      <c r="W134" s="4">
        <v>47.017452239990234</v>
      </c>
      <c r="X134" s="4">
        <v>46.794609069824219</v>
      </c>
      <c r="Y134" s="4">
        <v>46.267414093017578</v>
      </c>
      <c r="Z134" s="4">
        <v>45.842300415039063</v>
      </c>
      <c r="AA134" s="4">
        <v>45.685970306396484</v>
      </c>
      <c r="AB134" s="4">
        <v>45.054718017578125</v>
      </c>
      <c r="AC134" s="4">
        <v>44.617359161376953</v>
      </c>
      <c r="AD134" s="4">
        <v>44.407032012939453</v>
      </c>
      <c r="AE134" s="4"/>
      <c r="AG134" s="4">
        <f t="shared" si="2"/>
        <v>47.123344074596055</v>
      </c>
    </row>
    <row r="135" spans="1:33" x14ac:dyDescent="0.2">
      <c r="A135" s="3" t="s">
        <v>27</v>
      </c>
      <c r="B135" s="3" t="s">
        <v>60</v>
      </c>
      <c r="C135" s="4">
        <v>45.921577453613281</v>
      </c>
      <c r="D135" s="4">
        <v>45.513351440429688</v>
      </c>
      <c r="E135" s="4">
        <v>44.765514373779297</v>
      </c>
      <c r="F135" s="4">
        <v>43.891792297363281</v>
      </c>
      <c r="G135" s="4">
        <v>43.433017730712891</v>
      </c>
      <c r="H135" s="4">
        <v>42.833286285400391</v>
      </c>
      <c r="I135" s="4">
        <v>40.741828918457031</v>
      </c>
      <c r="J135" s="4">
        <v>38.743267059326172</v>
      </c>
      <c r="K135" s="4">
        <v>35.368659973144531</v>
      </c>
      <c r="L135" s="4">
        <v>34.100486755371094</v>
      </c>
      <c r="M135" s="4">
        <v>33.224159240722656</v>
      </c>
      <c r="N135" s="4">
        <v>32.131637573242188</v>
      </c>
      <c r="O135" s="4">
        <v>30.520620346069336</v>
      </c>
      <c r="P135" s="4">
        <v>28.811084747314453</v>
      </c>
      <c r="Q135" s="4">
        <v>27.210769653320313</v>
      </c>
      <c r="R135" s="4">
        <v>25.807544708251953</v>
      </c>
      <c r="S135" s="4">
        <v>24.810009002685547</v>
      </c>
      <c r="T135" s="4">
        <v>24.012529373168945</v>
      </c>
      <c r="U135" s="4">
        <v>23.355745315551758</v>
      </c>
      <c r="V135" s="4">
        <v>22.742401123046875</v>
      </c>
      <c r="W135" s="4">
        <v>22.109184265136719</v>
      </c>
      <c r="X135" s="4">
        <v>21.5384521484375</v>
      </c>
      <c r="Y135" s="4">
        <v>21.179235458374023</v>
      </c>
      <c r="Z135" s="4">
        <v>20.827112197875977</v>
      </c>
      <c r="AA135" s="4">
        <v>20.529098510742188</v>
      </c>
      <c r="AB135" s="4">
        <v>20.261508941650391</v>
      </c>
      <c r="AC135" s="4">
        <v>19.989933013916016</v>
      </c>
      <c r="AD135" s="4">
        <v>19.733827590942383</v>
      </c>
      <c r="AE135" s="4">
        <v>19.342119216918945</v>
      </c>
      <c r="AG135" s="4">
        <f t="shared" si="2"/>
        <v>22.470256458629262</v>
      </c>
    </row>
    <row r="136" spans="1:33" x14ac:dyDescent="0.2">
      <c r="A136" s="3" t="s">
        <v>285</v>
      </c>
      <c r="B136" s="3" t="s">
        <v>286</v>
      </c>
      <c r="C136" s="4">
        <v>34.567134857177734</v>
      </c>
      <c r="D136" s="4">
        <v>36.108051300048828</v>
      </c>
      <c r="E136" s="4">
        <v>36.066204071044922</v>
      </c>
      <c r="F136" s="4">
        <v>36.312149047851563</v>
      </c>
      <c r="G136" s="4">
        <v>36.257286071777344</v>
      </c>
      <c r="H136" s="4">
        <v>35.599987030029297</v>
      </c>
      <c r="I136" s="4">
        <v>36.348171234130859</v>
      </c>
      <c r="J136" s="4">
        <v>36.026275634765625</v>
      </c>
      <c r="K136" s="4">
        <v>35.996231079101563</v>
      </c>
      <c r="L136" s="4">
        <v>35.073806762695313</v>
      </c>
      <c r="M136" s="4">
        <v>36.515594482421875</v>
      </c>
      <c r="N136" s="4">
        <v>36.092884063720703</v>
      </c>
      <c r="O136" s="4">
        <v>35.813327789306641</v>
      </c>
      <c r="P136" s="4">
        <v>35.804546356201172</v>
      </c>
      <c r="Q136" s="4">
        <v>35.540794372558594</v>
      </c>
      <c r="R136" s="4">
        <v>35.33367919921875</v>
      </c>
      <c r="S136" s="4">
        <v>35.224544525146484</v>
      </c>
      <c r="T136" s="4">
        <v>35.100902557373047</v>
      </c>
      <c r="U136" s="4">
        <v>34.716209411621094</v>
      </c>
      <c r="V136" s="4">
        <v>34.189296722412109</v>
      </c>
      <c r="W136" s="4">
        <v>34.142654418945313</v>
      </c>
      <c r="X136" s="4">
        <v>33.922039031982422</v>
      </c>
      <c r="Y136" s="4">
        <v>33.719631195068359</v>
      </c>
      <c r="Z136" s="4">
        <v>33.570335388183594</v>
      </c>
      <c r="AA136" s="4">
        <v>33.248325347900391</v>
      </c>
      <c r="AB136" s="4">
        <v>33.045101165771484</v>
      </c>
      <c r="AC136" s="4">
        <v>32.850502014160156</v>
      </c>
      <c r="AD136" s="4">
        <v>32.747451782226563</v>
      </c>
      <c r="AE136" s="4"/>
      <c r="AG136" s="4">
        <f t="shared" si="2"/>
        <v>34.201156269420274</v>
      </c>
    </row>
    <row r="137" spans="1:33" x14ac:dyDescent="0.2">
      <c r="A137" s="3" t="s">
        <v>287</v>
      </c>
      <c r="B137" s="3" t="s">
        <v>288</v>
      </c>
      <c r="C137" s="4">
        <v>18.782073974609375</v>
      </c>
      <c r="D137" s="4">
        <v>18.627519607543945</v>
      </c>
      <c r="E137" s="4">
        <v>18.426280975341797</v>
      </c>
      <c r="F137" s="4">
        <v>18.24964714050293</v>
      </c>
      <c r="G137" s="4">
        <v>18.251348495483398</v>
      </c>
      <c r="H137" s="4">
        <v>18.316442489624023</v>
      </c>
      <c r="I137" s="4">
        <v>18.26744270324707</v>
      </c>
      <c r="J137" s="4">
        <v>18.181804656982422</v>
      </c>
      <c r="K137" s="4">
        <v>18.176668167114258</v>
      </c>
      <c r="L137" s="4">
        <v>18.157829284667969</v>
      </c>
      <c r="M137" s="4">
        <v>18.196525573730469</v>
      </c>
      <c r="N137" s="4">
        <v>18.180513381958008</v>
      </c>
      <c r="O137" s="4">
        <v>18.115819931030273</v>
      </c>
      <c r="P137" s="4">
        <v>18.073942184448242</v>
      </c>
      <c r="Q137" s="4">
        <v>18.013702392578125</v>
      </c>
      <c r="R137" s="4">
        <v>17.964992523193359</v>
      </c>
      <c r="S137" s="4">
        <v>17.926094055175781</v>
      </c>
      <c r="T137" s="4">
        <v>17.900947570800781</v>
      </c>
      <c r="U137" s="4">
        <v>17.798450469970703</v>
      </c>
      <c r="V137" s="4">
        <v>17.626623153686523</v>
      </c>
      <c r="W137" s="4">
        <v>17.668563842773438</v>
      </c>
      <c r="X137" s="4">
        <v>17.677635192871094</v>
      </c>
      <c r="Y137" s="4">
        <v>17.644464492797852</v>
      </c>
      <c r="Z137" s="4">
        <v>17.652349472045898</v>
      </c>
      <c r="AA137" s="4">
        <v>17.645614624023438</v>
      </c>
      <c r="AB137" s="4">
        <v>17.609453201293945</v>
      </c>
      <c r="AC137" s="4">
        <v>17.563587188720703</v>
      </c>
      <c r="AD137" s="4">
        <v>17.527626037597656</v>
      </c>
      <c r="AE137" s="4">
        <v>17.471782684326172</v>
      </c>
      <c r="AG137" s="4">
        <f t="shared" si="2"/>
        <v>17.737744418057527</v>
      </c>
    </row>
    <row r="138" spans="1:33" x14ac:dyDescent="0.2">
      <c r="A138" s="3" t="s">
        <v>289</v>
      </c>
      <c r="B138" s="3" t="s">
        <v>290</v>
      </c>
      <c r="C138" s="4">
        <v>8.567072868347168</v>
      </c>
      <c r="D138" s="4">
        <v>8.5252628326416016</v>
      </c>
      <c r="E138" s="4">
        <v>8.4670000076293945</v>
      </c>
      <c r="F138" s="4">
        <v>8.42901611328125</v>
      </c>
      <c r="G138" s="4">
        <v>8.3867530822753906</v>
      </c>
      <c r="H138" s="4">
        <v>8.3452072143554688</v>
      </c>
      <c r="I138" s="4">
        <v>8.3090686798095703</v>
      </c>
      <c r="J138" s="4">
        <v>8.2699012756347656</v>
      </c>
      <c r="K138" s="4">
        <v>8.2464780807495117</v>
      </c>
      <c r="L138" s="4">
        <v>8.2130613327026367</v>
      </c>
      <c r="M138" s="4">
        <v>8.1807746887207031</v>
      </c>
      <c r="N138" s="4">
        <v>8.1684846878051758</v>
      </c>
      <c r="O138" s="4">
        <v>8.1456165313720703</v>
      </c>
      <c r="P138" s="4">
        <v>8.1207370758056641</v>
      </c>
      <c r="Q138" s="4">
        <v>8.1050405502319336</v>
      </c>
      <c r="R138" s="4">
        <v>8.0937776565551758</v>
      </c>
      <c r="S138" s="4">
        <v>8.0986213684082031</v>
      </c>
      <c r="T138" s="4">
        <v>8.1012258529663086</v>
      </c>
      <c r="U138" s="4">
        <v>8.094639778137207</v>
      </c>
      <c r="V138" s="4">
        <v>8.0740385055541992</v>
      </c>
      <c r="W138" s="4">
        <v>8.0575313568115234</v>
      </c>
      <c r="X138" s="4">
        <v>8.0707540512084961</v>
      </c>
      <c r="Y138" s="4">
        <v>8.0682363510131836</v>
      </c>
      <c r="Z138" s="4">
        <v>8.0604000091552734</v>
      </c>
      <c r="AA138" s="4">
        <v>8.0558643341064453</v>
      </c>
      <c r="AB138" s="4">
        <v>8.0416774749755859</v>
      </c>
      <c r="AC138" s="4">
        <v>8.0245475769042969</v>
      </c>
      <c r="AD138" s="4">
        <v>7.9981060028076172</v>
      </c>
      <c r="AE138" s="4">
        <v>7.9668550491333008</v>
      </c>
      <c r="AG138" s="4">
        <f t="shared" si="2"/>
        <v>8.074251521717418</v>
      </c>
    </row>
    <row r="139" spans="1:33" x14ac:dyDescent="0.2">
      <c r="A139" s="3" t="s">
        <v>291</v>
      </c>
      <c r="B139" s="3" t="s">
        <v>292</v>
      </c>
      <c r="C139" s="4">
        <v>21.072015762329102</v>
      </c>
      <c r="D139" s="4">
        <v>20.853767395019531</v>
      </c>
      <c r="E139" s="4">
        <v>20.953603744506836</v>
      </c>
      <c r="F139" s="4">
        <v>20.75187873840332</v>
      </c>
      <c r="G139" s="4">
        <v>20.538000106811523</v>
      </c>
      <c r="H139" s="4">
        <v>20.569887161254883</v>
      </c>
      <c r="I139" s="4">
        <v>20.303539276123047</v>
      </c>
      <c r="J139" s="4">
        <v>20.113143920898438</v>
      </c>
      <c r="K139" s="4">
        <v>20.151063919067383</v>
      </c>
      <c r="L139" s="4">
        <v>20.299171447753906</v>
      </c>
      <c r="M139" s="4">
        <v>20.483192443847656</v>
      </c>
      <c r="N139" s="4">
        <v>20.037553787231445</v>
      </c>
      <c r="O139" s="4">
        <v>19.938066482543945</v>
      </c>
      <c r="P139" s="4">
        <v>19.313680648803711</v>
      </c>
      <c r="Q139" s="4">
        <v>18.908172607421875</v>
      </c>
      <c r="R139" s="4">
        <v>19.075967788696289</v>
      </c>
      <c r="S139" s="4">
        <v>18.808441162109375</v>
      </c>
      <c r="T139" s="4">
        <v>18.501018524169922</v>
      </c>
      <c r="U139" s="4">
        <v>18.257539749145508</v>
      </c>
      <c r="V139" s="4">
        <v>17.969121932983398</v>
      </c>
      <c r="W139" s="4">
        <v>17.701375961303711</v>
      </c>
      <c r="X139" s="4">
        <v>17.331790924072266</v>
      </c>
      <c r="Y139" s="4">
        <v>17.037925720214844</v>
      </c>
      <c r="Z139" s="4">
        <v>16.858381271362305</v>
      </c>
      <c r="AA139" s="4">
        <v>16.791582107543945</v>
      </c>
      <c r="AB139" s="4">
        <v>16.679393768310547</v>
      </c>
      <c r="AC139" s="4">
        <v>16.800352096557617</v>
      </c>
      <c r="AD139" s="4">
        <v>16.783126831054688</v>
      </c>
      <c r="AE139" s="4">
        <v>16.989837646484375</v>
      </c>
      <c r="AG139" s="4">
        <f t="shared" si="2"/>
        <v>17.728412628173828</v>
      </c>
    </row>
    <row r="140" spans="1:33" x14ac:dyDescent="0.2">
      <c r="A140" s="3" t="s">
        <v>293</v>
      </c>
      <c r="B140" s="3" t="s">
        <v>294</v>
      </c>
      <c r="C140" s="4">
        <v>29.772668838500977</v>
      </c>
      <c r="D140" s="4">
        <v>30.274272918701172</v>
      </c>
      <c r="E140" s="4">
        <v>29.954273223876953</v>
      </c>
      <c r="F140" s="4">
        <v>30.741188049316406</v>
      </c>
      <c r="G140" s="4">
        <v>30.46635627746582</v>
      </c>
      <c r="H140" s="4">
        <v>32.04156494140625</v>
      </c>
      <c r="I140" s="4">
        <v>33.436531066894531</v>
      </c>
      <c r="J140" s="4">
        <v>34.379596710205078</v>
      </c>
      <c r="K140" s="4">
        <v>35.692760467529297</v>
      </c>
      <c r="L140" s="4">
        <v>35.551162719726563</v>
      </c>
      <c r="M140" s="4">
        <v>36.680690765380859</v>
      </c>
      <c r="N140" s="4">
        <v>37.477931976318359</v>
      </c>
      <c r="O140" s="4">
        <v>38.174716949462891</v>
      </c>
      <c r="P140" s="4">
        <v>38.844932556152344</v>
      </c>
      <c r="Q140" s="4">
        <v>40.085662841796875</v>
      </c>
      <c r="R140" s="4">
        <v>40.507186889648438</v>
      </c>
      <c r="S140" s="4">
        <v>40.78802490234375</v>
      </c>
      <c r="T140" s="4">
        <v>41.003070831298828</v>
      </c>
      <c r="U140" s="4">
        <v>41.180900573730469</v>
      </c>
      <c r="V140" s="4">
        <v>41.299472808837891</v>
      </c>
      <c r="W140" s="4">
        <v>41.487781524658203</v>
      </c>
      <c r="X140" s="4">
        <v>41.358230590820313</v>
      </c>
      <c r="Y140" s="4">
        <v>42.060291290283203</v>
      </c>
      <c r="Z140" s="4">
        <v>42.566249847412109</v>
      </c>
      <c r="AA140" s="4">
        <v>42.933780670166016</v>
      </c>
      <c r="AB140" s="4">
        <v>43.300010681152344</v>
      </c>
      <c r="AC140" s="4">
        <v>43.589534759521484</v>
      </c>
      <c r="AD140" s="4">
        <v>43.932834625244141</v>
      </c>
      <c r="AE140" s="4">
        <v>44.150993347167969</v>
      </c>
      <c r="AG140" s="4">
        <f t="shared" si="2"/>
        <v>41.680454600941054</v>
      </c>
    </row>
    <row r="141" spans="1:33" x14ac:dyDescent="0.2">
      <c r="A141" s="3" t="s">
        <v>295</v>
      </c>
      <c r="B141" s="3" t="s">
        <v>61</v>
      </c>
      <c r="C141" s="4">
        <v>60.099411010742188</v>
      </c>
      <c r="D141" s="4">
        <v>59.252635955810547</v>
      </c>
      <c r="E141" s="4">
        <v>59.108470916748047</v>
      </c>
      <c r="F141" s="4">
        <v>59.3297119140625</v>
      </c>
      <c r="G141" s="4">
        <v>59.906215667724609</v>
      </c>
      <c r="H141" s="4">
        <v>60.985935211181641</v>
      </c>
      <c r="I141" s="4">
        <v>62.476116180419922</v>
      </c>
      <c r="J141" s="4">
        <v>62.626117706298828</v>
      </c>
      <c r="K141" s="4">
        <v>61.850791931152344</v>
      </c>
      <c r="L141" s="4">
        <v>61.278652191162109</v>
      </c>
      <c r="M141" s="4">
        <v>60.575042724609375</v>
      </c>
      <c r="N141" s="4">
        <v>59.767295837402344</v>
      </c>
      <c r="O141" s="4">
        <v>58.855014801025391</v>
      </c>
      <c r="P141" s="4">
        <v>57.725448608398438</v>
      </c>
      <c r="Q141" s="4">
        <v>56.764675140380859</v>
      </c>
      <c r="R141" s="4">
        <v>55.824493408203125</v>
      </c>
      <c r="S141" s="4">
        <v>54.842567443847656</v>
      </c>
      <c r="T141" s="5">
        <v>53.700935363769531</v>
      </c>
      <c r="U141" s="4">
        <v>52.7171630859375</v>
      </c>
      <c r="V141" s="4">
        <v>51.64007568359375</v>
      </c>
      <c r="W141" s="4">
        <v>50.984550476074219</v>
      </c>
      <c r="X141" s="4">
        <v>49.907073974609375</v>
      </c>
      <c r="Y141" s="4">
        <v>48.764636993408203</v>
      </c>
      <c r="Z141" s="4">
        <v>47.648807525634766</v>
      </c>
      <c r="AA141" s="4">
        <v>46.858673095703125</v>
      </c>
      <c r="AB141" s="4">
        <v>46.034599304199219</v>
      </c>
      <c r="AC141" s="4">
        <v>44.925216674804688</v>
      </c>
      <c r="AD141" s="4">
        <v>43.811855316162109</v>
      </c>
      <c r="AE141" s="4">
        <v>42.647056579589844</v>
      </c>
      <c r="AG141" s="4">
        <f t="shared" si="2"/>
        <v>50.811234214089133</v>
      </c>
    </row>
    <row r="142" spans="1:33" x14ac:dyDescent="0.2">
      <c r="A142" s="3" t="s">
        <v>296</v>
      </c>
      <c r="B142" s="3" t="s">
        <v>297</v>
      </c>
      <c r="C142" s="4">
        <v>58.526657104492188</v>
      </c>
      <c r="D142" s="4">
        <v>56.710742950439453</v>
      </c>
      <c r="E142" s="4">
        <v>55.404071807861328</v>
      </c>
      <c r="F142" s="4">
        <v>53.7076416015625</v>
      </c>
      <c r="G142" s="4">
        <v>52.061557769775391</v>
      </c>
      <c r="H142" s="4">
        <v>50.702404022216797</v>
      </c>
      <c r="I142" s="4">
        <v>49.194007873535156</v>
      </c>
      <c r="J142" s="4">
        <v>48.5465087890625</v>
      </c>
      <c r="K142" s="4">
        <v>48.036949157714844</v>
      </c>
      <c r="L142" s="4">
        <v>48.111534118652344</v>
      </c>
      <c r="M142" s="4">
        <v>48.451190948486328</v>
      </c>
      <c r="N142" s="4">
        <v>48.665573120117188</v>
      </c>
      <c r="O142" s="4">
        <v>48.935535430908203</v>
      </c>
      <c r="P142" s="4">
        <v>48.902912139892578</v>
      </c>
      <c r="Q142" s="4">
        <v>48.948562622070313</v>
      </c>
      <c r="R142" s="4">
        <v>48.640544891357422</v>
      </c>
      <c r="S142" s="4">
        <v>48.369163513183594</v>
      </c>
      <c r="T142" s="4">
        <v>48.200283050537109</v>
      </c>
      <c r="U142" s="4">
        <v>48.056564331054688</v>
      </c>
      <c r="V142" s="4">
        <v>47.849319458007813</v>
      </c>
      <c r="W142" s="4">
        <v>47.672019958496094</v>
      </c>
      <c r="X142" s="4">
        <v>47.512619018554688</v>
      </c>
      <c r="Y142" s="4">
        <v>47.126052856445313</v>
      </c>
      <c r="Z142" s="4">
        <v>46.705814361572266</v>
      </c>
      <c r="AA142" s="4">
        <v>46.104743957519531</v>
      </c>
      <c r="AB142" s="4">
        <v>45.777313232421875</v>
      </c>
      <c r="AC142" s="4">
        <v>45.355461120605469</v>
      </c>
      <c r="AD142" s="4">
        <v>45.030136108398438</v>
      </c>
      <c r="AE142" s="4">
        <v>44.721515655517578</v>
      </c>
      <c r="AG142" s="4">
        <f t="shared" si="2"/>
        <v>47.455858057195492</v>
      </c>
    </row>
    <row r="143" spans="1:33" x14ac:dyDescent="0.2">
      <c r="A143" s="3" t="s">
        <v>298</v>
      </c>
      <c r="B143" s="3" t="s">
        <v>299</v>
      </c>
      <c r="C143" s="4">
        <v>32.18695068359375</v>
      </c>
      <c r="D143" s="4">
        <v>32.322158813476563</v>
      </c>
      <c r="E143" s="4">
        <v>32.644767761230469</v>
      </c>
      <c r="F143" s="4">
        <v>32.856575012207031</v>
      </c>
      <c r="G143" s="4">
        <v>33.274345397949219</v>
      </c>
      <c r="H143" s="4">
        <v>33.398200988769531</v>
      </c>
      <c r="I143" s="4">
        <v>33.672939300537109</v>
      </c>
      <c r="J143" s="4">
        <v>34.000282287597656</v>
      </c>
      <c r="K143" s="4">
        <v>33.889926910400391</v>
      </c>
      <c r="L143" s="4">
        <v>34.195579528808594</v>
      </c>
      <c r="M143" s="4">
        <v>34.238128662109375</v>
      </c>
      <c r="N143" s="4">
        <v>34.151233673095703</v>
      </c>
      <c r="O143" s="4">
        <v>34.352733612060547</v>
      </c>
      <c r="P143" s="4">
        <v>34.319301605224609</v>
      </c>
      <c r="Q143" s="4">
        <v>34.343196868896484</v>
      </c>
      <c r="R143" s="4">
        <v>34.155891418457031</v>
      </c>
      <c r="S143" s="4">
        <v>34.601131439208984</v>
      </c>
      <c r="T143" s="4">
        <v>34.339977264404297</v>
      </c>
      <c r="U143" s="4">
        <v>34.261920928955078</v>
      </c>
      <c r="V143" s="4">
        <v>34.188220977783203</v>
      </c>
      <c r="W143" s="4">
        <v>33.888599395751953</v>
      </c>
      <c r="X143" s="4">
        <v>33.271961212158203</v>
      </c>
      <c r="Y143" s="4">
        <v>33.169391632080078</v>
      </c>
      <c r="Z143" s="4">
        <v>32.814273834228516</v>
      </c>
      <c r="AA143" s="4">
        <v>32.334400177001953</v>
      </c>
      <c r="AB143" s="4">
        <v>31.818748474121094</v>
      </c>
      <c r="AC143" s="4">
        <v>31.368526458740234</v>
      </c>
      <c r="AD143" s="4">
        <v>31.208873748779297</v>
      </c>
      <c r="AE143" s="4"/>
      <c r="AG143" s="4">
        <f t="shared" si="2"/>
        <v>33.531319704922765</v>
      </c>
    </row>
    <row r="144" spans="1:33" x14ac:dyDescent="0.2">
      <c r="A144" s="3" t="s">
        <v>300</v>
      </c>
      <c r="B144" s="3" t="s">
        <v>301</v>
      </c>
      <c r="C144" s="4">
        <v>28.688217163085938</v>
      </c>
      <c r="D144" s="4">
        <v>29.135631561279297</v>
      </c>
      <c r="E144" s="4">
        <v>29.539331436157227</v>
      </c>
      <c r="F144" s="4">
        <v>29.66618537902832</v>
      </c>
      <c r="G144" s="4">
        <v>29.91047477722168</v>
      </c>
      <c r="H144" s="4">
        <v>30.214282989501953</v>
      </c>
      <c r="I144" s="4">
        <v>30.381076812744141</v>
      </c>
      <c r="J144" s="4">
        <v>30.432647705078125</v>
      </c>
      <c r="K144" s="4">
        <v>30.618541717529297</v>
      </c>
      <c r="L144" s="4">
        <v>30.969551086425781</v>
      </c>
      <c r="M144" s="4">
        <v>31.485387802124023</v>
      </c>
      <c r="N144" s="4">
        <v>31.438938140869141</v>
      </c>
      <c r="O144" s="4">
        <v>31.638462066650391</v>
      </c>
      <c r="P144" s="4">
        <v>31.621419906616211</v>
      </c>
      <c r="Q144" s="4">
        <v>31.777542114257813</v>
      </c>
      <c r="R144" s="4">
        <v>31.451484680175781</v>
      </c>
      <c r="S144" s="4">
        <v>31.522842407226563</v>
      </c>
      <c r="T144" s="4">
        <v>31.500598907470703</v>
      </c>
      <c r="U144" s="4">
        <v>31.455266952514648</v>
      </c>
      <c r="V144" s="4">
        <v>30.649162292480469</v>
      </c>
      <c r="W144" s="4">
        <v>30.303903579711914</v>
      </c>
      <c r="X144" s="4">
        <v>30.289533615112305</v>
      </c>
      <c r="Y144" s="4">
        <v>29.895639419555664</v>
      </c>
      <c r="Z144" s="4">
        <v>29.030296325683594</v>
      </c>
      <c r="AA144" s="4">
        <v>27.872604370117188</v>
      </c>
      <c r="AB144" s="4">
        <v>26.107320785522461</v>
      </c>
      <c r="AC144" s="4">
        <v>24.806955337524414</v>
      </c>
      <c r="AD144" s="4">
        <v>23.935630798339844</v>
      </c>
      <c r="AE144" s="4">
        <v>23.320398330688477</v>
      </c>
      <c r="AG144" s="4">
        <f t="shared" si="2"/>
        <v>30.007150303233754</v>
      </c>
    </row>
    <row r="145" spans="1:33" x14ac:dyDescent="0.2">
      <c r="A145" s="3" t="s">
        <v>302</v>
      </c>
      <c r="B145" s="3" t="s">
        <v>303</v>
      </c>
      <c r="C145" s="4">
        <v>37.87823486328125</v>
      </c>
      <c r="D145" s="4">
        <v>37.932125091552734</v>
      </c>
      <c r="E145" s="4">
        <v>37.922554016113281</v>
      </c>
      <c r="F145" s="4">
        <v>37.936183929443359</v>
      </c>
      <c r="G145" s="4">
        <v>37.914558410644531</v>
      </c>
      <c r="H145" s="4">
        <v>37.989051818847656</v>
      </c>
      <c r="I145" s="4">
        <v>38.035938262939453</v>
      </c>
      <c r="J145" s="4">
        <v>37.840316772460938</v>
      </c>
      <c r="K145" s="4">
        <v>37.847583770751953</v>
      </c>
      <c r="L145" s="4">
        <v>37.837089538574219</v>
      </c>
      <c r="M145" s="4">
        <v>37.526683807373047</v>
      </c>
      <c r="N145" s="4">
        <v>37.257621765136719</v>
      </c>
      <c r="O145" s="4">
        <v>36.931575775146484</v>
      </c>
      <c r="P145" s="4">
        <v>36.697078704833984</v>
      </c>
      <c r="Q145" s="4">
        <v>36.084957122802734</v>
      </c>
      <c r="R145" s="4">
        <v>35.906387329101563</v>
      </c>
      <c r="S145" s="4">
        <v>35.648693084716797</v>
      </c>
      <c r="T145" s="4">
        <v>35.400642395019531</v>
      </c>
      <c r="U145" s="4">
        <v>35.101055145263672</v>
      </c>
      <c r="V145" s="4">
        <v>34.735481262207031</v>
      </c>
      <c r="W145" s="4">
        <v>34.442905426025391</v>
      </c>
      <c r="X145" s="4">
        <v>33.787666320800781</v>
      </c>
      <c r="Y145" s="4">
        <v>33.600215911865234</v>
      </c>
      <c r="Z145" s="4">
        <v>33.360816955566406</v>
      </c>
      <c r="AA145" s="4">
        <v>32.971225738525391</v>
      </c>
      <c r="AB145" s="4">
        <v>32.702022552490234</v>
      </c>
      <c r="AC145" s="4">
        <v>32.460338592529297</v>
      </c>
      <c r="AD145" s="4">
        <v>32.335140228271484</v>
      </c>
      <c r="AE145" s="4">
        <v>32.114986419677734</v>
      </c>
      <c r="AG145" s="4">
        <f t="shared" si="2"/>
        <v>34.33246473832564</v>
      </c>
    </row>
    <row r="146" spans="1:33" x14ac:dyDescent="0.2">
      <c r="A146" s="3" t="s">
        <v>304</v>
      </c>
      <c r="B146" s="3" t="s">
        <v>305</v>
      </c>
      <c r="C146" s="4">
        <v>36.613227844238281</v>
      </c>
      <c r="D146" s="4">
        <v>36.180183410644531</v>
      </c>
      <c r="E146" s="4">
        <v>35.610691070556641</v>
      </c>
      <c r="F146" s="4">
        <v>34.503791809082031</v>
      </c>
      <c r="G146" s="4">
        <v>34.495670318603516</v>
      </c>
      <c r="H146" s="4">
        <v>34.151451110839844</v>
      </c>
      <c r="I146" s="4">
        <v>33.774436950683594</v>
      </c>
      <c r="J146" s="4">
        <v>33.1234130859375</v>
      </c>
      <c r="K146" s="4">
        <v>32.729946136474609</v>
      </c>
      <c r="L146" s="4">
        <v>32.448459625244141</v>
      </c>
      <c r="M146" s="4">
        <v>31.88304328918457</v>
      </c>
      <c r="N146" s="4">
        <v>31.699319839477539</v>
      </c>
      <c r="O146" s="4">
        <v>31.433231353759766</v>
      </c>
      <c r="P146" s="4">
        <v>31.142313003540039</v>
      </c>
      <c r="Q146" s="4">
        <v>30.768341064453125</v>
      </c>
      <c r="R146" s="4">
        <v>30.321615219116211</v>
      </c>
      <c r="S146" s="4">
        <v>29.682317733764648</v>
      </c>
      <c r="T146" s="4">
        <v>29.100025177001953</v>
      </c>
      <c r="U146" s="4">
        <v>28.648000717163086</v>
      </c>
      <c r="V146" s="4">
        <v>28.231557846069336</v>
      </c>
      <c r="W146" s="4">
        <v>28.185251235961914</v>
      </c>
      <c r="X146" s="4">
        <v>28.05919075012207</v>
      </c>
      <c r="Y146" s="4">
        <v>27.73967170715332</v>
      </c>
      <c r="Z146" s="4">
        <v>27.391315460205078</v>
      </c>
      <c r="AA146" s="4">
        <v>27.129312515258789</v>
      </c>
      <c r="AB146" s="4">
        <v>26.700628280639648</v>
      </c>
      <c r="AC146" s="4">
        <v>26.23353385925293</v>
      </c>
      <c r="AD146" s="4">
        <v>25.918081283569336</v>
      </c>
      <c r="AE146" s="4">
        <v>25.560188293457031</v>
      </c>
      <c r="AG146" s="4">
        <f t="shared" si="2"/>
        <v>28.289898785677824</v>
      </c>
    </row>
    <row r="147" spans="1:33" x14ac:dyDescent="0.2">
      <c r="A147" s="3" t="s">
        <v>306</v>
      </c>
      <c r="B147" s="3" t="s">
        <v>307</v>
      </c>
      <c r="C147" s="4">
        <v>52.794765472412109</v>
      </c>
      <c r="D147" s="4">
        <v>52.376155853271484</v>
      </c>
      <c r="E147" s="4">
        <v>52.030055999755859</v>
      </c>
      <c r="F147" s="4">
        <v>51.557624816894531</v>
      </c>
      <c r="G147" s="4">
        <v>50.983650207519531</v>
      </c>
      <c r="H147" s="4">
        <v>49.908416748046875</v>
      </c>
      <c r="I147" s="4">
        <v>49.081974029541016</v>
      </c>
      <c r="J147" s="4">
        <v>48.1846923828125</v>
      </c>
      <c r="K147" s="4">
        <v>47.309001922607422</v>
      </c>
      <c r="L147" s="4">
        <v>46.463768005371094</v>
      </c>
      <c r="M147" s="4">
        <v>45.685821533203125</v>
      </c>
      <c r="N147" s="4">
        <v>44.945564270019531</v>
      </c>
      <c r="O147" s="4">
        <v>44.224082946777344</v>
      </c>
      <c r="P147" s="4">
        <v>43.505603790283203</v>
      </c>
      <c r="Q147" s="4">
        <v>42.784641265869141</v>
      </c>
      <c r="R147" s="4">
        <v>41.959747314453125</v>
      </c>
      <c r="S147" s="4">
        <v>41.139682769775391</v>
      </c>
      <c r="T147" s="4">
        <v>40.300472259521484</v>
      </c>
      <c r="U147" s="4">
        <v>39.560646057128906</v>
      </c>
      <c r="V147" s="4">
        <v>38.798450469970703</v>
      </c>
      <c r="W147" s="4">
        <v>37.959335327148438</v>
      </c>
      <c r="X147" s="4">
        <v>37.254146575927734</v>
      </c>
      <c r="Y147" s="4">
        <v>36.707653045654297</v>
      </c>
      <c r="Z147" s="4">
        <v>36.199420928955078</v>
      </c>
      <c r="AA147" s="4">
        <v>35.593177795410156</v>
      </c>
      <c r="AB147" s="4">
        <v>35.061130523681641</v>
      </c>
      <c r="AC147" s="4">
        <v>34.635498046875</v>
      </c>
      <c r="AD147" s="4">
        <v>34.303485870361328</v>
      </c>
      <c r="AE147" s="4">
        <v>33.702747344970703</v>
      </c>
      <c r="AG147" s="4">
        <f t="shared" si="2"/>
        <v>38.230351187966086</v>
      </c>
    </row>
    <row r="148" spans="1:33" x14ac:dyDescent="0.2">
      <c r="A148" s="3" t="s">
        <v>308</v>
      </c>
      <c r="B148" s="3" t="s">
        <v>309</v>
      </c>
      <c r="C148" s="4">
        <v>45.36962890625</v>
      </c>
      <c r="D148" s="4">
        <v>44.641323089599609</v>
      </c>
      <c r="E148" s="4">
        <v>43.994407653808594</v>
      </c>
      <c r="F148" s="4">
        <v>43.268020629882813</v>
      </c>
      <c r="G148" s="4">
        <v>42.873294830322266</v>
      </c>
      <c r="H148" s="4">
        <v>43.291866302490234</v>
      </c>
      <c r="I148" s="4">
        <v>43.726356506347656</v>
      </c>
      <c r="J148" s="4">
        <v>44.176059722900391</v>
      </c>
      <c r="K148" s="4">
        <v>44.609867095947266</v>
      </c>
      <c r="L148" s="4">
        <v>44.206447601318359</v>
      </c>
      <c r="M148" s="4">
        <v>44.687080383300781</v>
      </c>
      <c r="N148" s="4">
        <v>44.9197998046875</v>
      </c>
      <c r="O148" s="4">
        <v>45.563507080078125</v>
      </c>
      <c r="P148" s="4">
        <v>45.888702392578125</v>
      </c>
      <c r="Q148" s="4">
        <v>46.240226745605469</v>
      </c>
      <c r="R148" s="4">
        <v>46.682415008544922</v>
      </c>
      <c r="S148" s="4">
        <v>46.801982879638672</v>
      </c>
      <c r="T148" s="4">
        <v>46.800075531005859</v>
      </c>
      <c r="U148" s="4">
        <v>46.762069702148438</v>
      </c>
      <c r="V148" s="4">
        <v>46.298774719238281</v>
      </c>
      <c r="W148" s="4">
        <v>46.317707061767578</v>
      </c>
      <c r="X148" s="4">
        <v>46.419891357421875</v>
      </c>
      <c r="Y148" s="4">
        <v>46.486274719238281</v>
      </c>
      <c r="Z148" s="4">
        <v>46.651695251464844</v>
      </c>
      <c r="AA148" s="4">
        <v>45.911628723144531</v>
      </c>
      <c r="AB148" s="4">
        <v>45.074428558349609</v>
      </c>
      <c r="AC148" s="4">
        <v>45.249851226806641</v>
      </c>
      <c r="AD148" s="4">
        <v>45.378570556640625</v>
      </c>
      <c r="AE148" s="4">
        <v>45.404468536376953</v>
      </c>
      <c r="AG148" s="4">
        <f t="shared" si="2"/>
        <v>46.382449410178445</v>
      </c>
    </row>
    <row r="149" spans="1:33" x14ac:dyDescent="0.2">
      <c r="A149" s="3" t="s">
        <v>310</v>
      </c>
      <c r="B149" s="3" t="s">
        <v>311</v>
      </c>
      <c r="C149" s="4">
        <v>22.03636360168457</v>
      </c>
      <c r="D149" s="4">
        <v>22.094654083251953</v>
      </c>
      <c r="E149" s="4">
        <v>22.114248275756836</v>
      </c>
      <c r="F149" s="4">
        <v>22.279975891113281</v>
      </c>
      <c r="G149" s="4">
        <v>22.428735733032227</v>
      </c>
      <c r="H149" s="4">
        <v>22.708145141601563</v>
      </c>
      <c r="I149" s="4">
        <v>22.669849395751953</v>
      </c>
      <c r="J149" s="4">
        <v>22.742109298706055</v>
      </c>
      <c r="K149" s="4">
        <v>22.799251556396484</v>
      </c>
      <c r="L149" s="4">
        <v>22.895557403564453</v>
      </c>
      <c r="M149" s="4">
        <v>22.991327285766602</v>
      </c>
      <c r="N149" s="4">
        <v>23.080165863037109</v>
      </c>
      <c r="O149" s="4">
        <v>23.192790985107422</v>
      </c>
      <c r="P149" s="4">
        <v>23.272830963134766</v>
      </c>
      <c r="Q149" s="4">
        <v>23.387563705444336</v>
      </c>
      <c r="R149" s="4">
        <v>23.626352310180664</v>
      </c>
      <c r="S149" s="4">
        <v>23.500246047973633</v>
      </c>
      <c r="T149" s="4">
        <v>23.312656402587891</v>
      </c>
      <c r="U149" s="4">
        <v>23.174186706542969</v>
      </c>
      <c r="V149" s="4">
        <v>22.970924377441406</v>
      </c>
      <c r="W149" s="4">
        <v>23.092861175537109</v>
      </c>
      <c r="X149" s="4">
        <v>22.902414321899414</v>
      </c>
      <c r="Y149" s="4">
        <v>22.754499435424805</v>
      </c>
      <c r="Z149" s="4">
        <v>22.539405822753906</v>
      </c>
      <c r="AA149" s="4">
        <v>22.326566696166992</v>
      </c>
      <c r="AB149" s="4">
        <v>22.126630783081055</v>
      </c>
      <c r="AC149" s="4">
        <v>21.888940811157227</v>
      </c>
      <c r="AD149" s="4">
        <v>21.674655914306641</v>
      </c>
      <c r="AE149" s="4">
        <v>21.514358520507813</v>
      </c>
      <c r="AG149" s="4">
        <f t="shared" si="2"/>
        <v>22.938794916326348</v>
      </c>
    </row>
    <row r="150" spans="1:33" x14ac:dyDescent="0.2">
      <c r="A150" s="3" t="s">
        <v>312</v>
      </c>
      <c r="B150" s="3" t="s">
        <v>313</v>
      </c>
      <c r="C150" s="4">
        <v>13.30743408203125</v>
      </c>
      <c r="D150" s="4">
        <v>13.149024963378906</v>
      </c>
      <c r="E150" s="4">
        <v>13.013439178466797</v>
      </c>
      <c r="F150" s="4">
        <v>12.935585021972656</v>
      </c>
      <c r="G150" s="4">
        <v>12.880107879638672</v>
      </c>
      <c r="H150" s="4">
        <v>12.862873077392578</v>
      </c>
      <c r="I150" s="4">
        <v>12.818455696105957</v>
      </c>
      <c r="J150" s="4">
        <v>12.785882949829102</v>
      </c>
      <c r="K150" s="4">
        <v>12.721848487854004</v>
      </c>
      <c r="L150" s="4">
        <v>12.658047676086426</v>
      </c>
      <c r="M150" s="4">
        <v>12.594354629516602</v>
      </c>
      <c r="N150" s="4">
        <v>12.526297569274902</v>
      </c>
      <c r="O150" s="4">
        <v>12.449715614318848</v>
      </c>
      <c r="P150" s="4">
        <v>12.412999153137207</v>
      </c>
      <c r="Q150" s="4">
        <v>12.358537673950195</v>
      </c>
      <c r="R150" s="4">
        <v>12.326483726501465</v>
      </c>
      <c r="S150" s="4">
        <v>12.266853332519531</v>
      </c>
      <c r="T150" s="4">
        <v>12.200936317443848</v>
      </c>
      <c r="U150" s="4">
        <v>12.137568473815918</v>
      </c>
      <c r="V150" s="4">
        <v>12.038431167602539</v>
      </c>
      <c r="W150" s="4">
        <v>12.031230926513672</v>
      </c>
      <c r="X150" s="4">
        <v>12.008810997009277</v>
      </c>
      <c r="Y150" s="4">
        <v>12.003946304321289</v>
      </c>
      <c r="Z150" s="4">
        <v>12.030899047851563</v>
      </c>
      <c r="AA150" s="4">
        <v>12.038991928100586</v>
      </c>
      <c r="AB150" s="4">
        <v>12.018404960632324</v>
      </c>
      <c r="AC150" s="4">
        <v>11.996766090393066</v>
      </c>
      <c r="AD150" s="4">
        <v>11.959784507751465</v>
      </c>
      <c r="AE150" s="4">
        <v>11.916854858398438</v>
      </c>
      <c r="AG150" s="4">
        <f t="shared" si="2"/>
        <v>12.100232471119273</v>
      </c>
    </row>
    <row r="151" spans="1:33" x14ac:dyDescent="0.2">
      <c r="A151" s="3" t="s">
        <v>314</v>
      </c>
      <c r="B151" s="3" t="s">
        <v>315</v>
      </c>
      <c r="C151" s="4">
        <v>9.3152809143066406</v>
      </c>
      <c r="D151" s="4">
        <v>9.2348966598510742</v>
      </c>
      <c r="E151" s="4">
        <v>9.1826877593994141</v>
      </c>
      <c r="F151" s="4">
        <v>9.1450033187866211</v>
      </c>
      <c r="G151" s="4">
        <v>9.1178226470947266</v>
      </c>
      <c r="H151" s="4">
        <v>9.0776910781860352</v>
      </c>
      <c r="I151" s="4">
        <v>9.0366582870483398</v>
      </c>
      <c r="J151" s="4">
        <v>8.9952878952026367</v>
      </c>
      <c r="K151" s="4">
        <v>8.9378995895385742</v>
      </c>
      <c r="L151" s="4">
        <v>8.8772306442260742</v>
      </c>
      <c r="M151" s="4">
        <v>8.8121328353881836</v>
      </c>
      <c r="N151" s="4">
        <v>8.7317380905151367</v>
      </c>
      <c r="O151" s="4">
        <v>8.6583032608032227</v>
      </c>
      <c r="P151" s="4">
        <v>8.5956764221191406</v>
      </c>
      <c r="Q151" s="4">
        <v>8.5435724258422852</v>
      </c>
      <c r="R151" s="4">
        <v>8.4928245544433594</v>
      </c>
      <c r="S151" s="4">
        <v>8.4510841369628906</v>
      </c>
      <c r="T151" s="4">
        <v>8.4006948471069336</v>
      </c>
      <c r="U151" s="4">
        <v>8.345036506652832</v>
      </c>
      <c r="V151" s="4">
        <v>8.2569046020507813</v>
      </c>
      <c r="W151" s="4">
        <v>8.2275047302246094</v>
      </c>
      <c r="X151" s="4">
        <v>8.2200412750244141</v>
      </c>
      <c r="Y151" s="4">
        <v>8.2153711318969727</v>
      </c>
      <c r="Z151" s="4">
        <v>8.1974267959594727</v>
      </c>
      <c r="AA151" s="4">
        <v>8.1853818893432617</v>
      </c>
      <c r="AB151" s="4">
        <v>8.1732244491577148</v>
      </c>
      <c r="AC151" s="4">
        <v>8.1620063781738281</v>
      </c>
      <c r="AD151" s="4">
        <v>8.1459436416625977</v>
      </c>
      <c r="AE151" s="4">
        <v>8.1268949508666992</v>
      </c>
      <c r="AG151" s="4">
        <f t="shared" si="2"/>
        <v>8.2877722653475683</v>
      </c>
    </row>
    <row r="152" spans="1:33" x14ac:dyDescent="0.2">
      <c r="A152" s="3" t="s">
        <v>316</v>
      </c>
      <c r="B152" s="3" t="s">
        <v>317</v>
      </c>
      <c r="C152" s="4">
        <v>50.09637451171875</v>
      </c>
      <c r="D152" s="4">
        <v>49.893081665039063</v>
      </c>
      <c r="E152" s="4">
        <v>49.729000091552734</v>
      </c>
      <c r="F152" s="4">
        <v>49.345226287841797</v>
      </c>
      <c r="G152" s="4">
        <v>49.060260772705078</v>
      </c>
      <c r="H152" s="4">
        <v>48.740367889404297</v>
      </c>
      <c r="I152" s="4">
        <v>48.080249786376953</v>
      </c>
      <c r="J152" s="4">
        <v>47.786720275878906</v>
      </c>
      <c r="K152" s="4">
        <v>46.925556182861328</v>
      </c>
      <c r="L152" s="4">
        <v>46.412567138671875</v>
      </c>
      <c r="M152" s="4">
        <v>46.110980987548828</v>
      </c>
      <c r="N152" s="4">
        <v>46.033397674560547</v>
      </c>
      <c r="O152" s="4">
        <v>45.720443725585938</v>
      </c>
      <c r="P152" s="4">
        <v>45.640316009521484</v>
      </c>
      <c r="Q152" s="4">
        <v>45.963722229003906</v>
      </c>
      <c r="R152" s="4">
        <v>46.081325531005859</v>
      </c>
      <c r="S152" s="4">
        <v>46.092853546142578</v>
      </c>
      <c r="T152" s="4">
        <v>46.100120544433594</v>
      </c>
      <c r="U152" s="4">
        <v>45.734004974365234</v>
      </c>
      <c r="V152" s="4">
        <v>45.47625732421875</v>
      </c>
      <c r="W152" s="4">
        <v>45.113372802734375</v>
      </c>
      <c r="X152" s="4">
        <v>45.056499481201172</v>
      </c>
      <c r="Y152" s="4">
        <v>44.050342559814453</v>
      </c>
      <c r="Z152" s="4">
        <v>43.759227752685547</v>
      </c>
      <c r="AA152" s="4">
        <v>43.430652618408203</v>
      </c>
      <c r="AB152" s="4">
        <v>43.008689880371094</v>
      </c>
      <c r="AC152" s="4">
        <v>42.656623840332031</v>
      </c>
      <c r="AD152" s="4">
        <v>42.539878845214844</v>
      </c>
      <c r="AE152" s="4">
        <v>42.414836883544922</v>
      </c>
      <c r="AG152" s="4">
        <f t="shared" si="2"/>
        <v>44.900304274125531</v>
      </c>
    </row>
    <row r="153" spans="1:33" x14ac:dyDescent="0.2">
      <c r="A153" s="3" t="s">
        <v>318</v>
      </c>
      <c r="B153" s="3" t="s">
        <v>319</v>
      </c>
      <c r="C153" s="4">
        <v>28.926456451416016</v>
      </c>
      <c r="D153" s="4">
        <v>28.857929229736328</v>
      </c>
      <c r="E153" s="4">
        <v>29.061985015869141</v>
      </c>
      <c r="F153" s="4">
        <v>28.940845489501953</v>
      </c>
      <c r="G153" s="4">
        <v>28.981086730957031</v>
      </c>
      <c r="H153" s="4">
        <v>29.248031616210938</v>
      </c>
      <c r="I153" s="4">
        <v>29.445917129516602</v>
      </c>
      <c r="J153" s="4">
        <v>29.730129241943359</v>
      </c>
      <c r="K153" s="4">
        <v>29.916477203369141</v>
      </c>
      <c r="L153" s="4">
        <v>30.082242965698242</v>
      </c>
      <c r="M153" s="4">
        <v>30.273262023925781</v>
      </c>
      <c r="N153" s="4">
        <v>30.460914611816406</v>
      </c>
      <c r="O153" s="4">
        <v>30.615985870361328</v>
      </c>
      <c r="P153" s="4">
        <v>30.750297546386719</v>
      </c>
      <c r="Q153" s="4">
        <v>31.089851379394531</v>
      </c>
      <c r="R153" s="4">
        <v>31.161632537841797</v>
      </c>
      <c r="S153" s="4">
        <v>31.139925003051758</v>
      </c>
      <c r="T153" s="4">
        <v>30.899959564208984</v>
      </c>
      <c r="U153" s="4">
        <v>30.760091781616211</v>
      </c>
      <c r="V153" s="4">
        <v>30.506977081298828</v>
      </c>
      <c r="W153" s="4">
        <v>30.402929306030273</v>
      </c>
      <c r="X153" s="4">
        <v>30.287408828735352</v>
      </c>
      <c r="Y153" s="4">
        <v>30.004934310913086</v>
      </c>
      <c r="Z153" s="4">
        <v>29.814115524291992</v>
      </c>
      <c r="AA153" s="4">
        <v>29.675647735595703</v>
      </c>
      <c r="AB153" s="4">
        <v>29.160854339599609</v>
      </c>
      <c r="AC153" s="4">
        <v>30.298078536987305</v>
      </c>
      <c r="AD153" s="4">
        <v>30.605129241943359</v>
      </c>
      <c r="AE153" s="4">
        <v>30.798870086669922</v>
      </c>
      <c r="AG153" s="4">
        <f t="shared" si="2"/>
        <v>30.346770546653055</v>
      </c>
    </row>
    <row r="154" spans="1:33" x14ac:dyDescent="0.2">
      <c r="A154" s="3" t="s">
        <v>320</v>
      </c>
      <c r="B154" s="3" t="s">
        <v>321</v>
      </c>
      <c r="C154" s="4">
        <v>22.984304428100586</v>
      </c>
      <c r="D154" s="4">
        <v>22.735136032104492</v>
      </c>
      <c r="E154" s="4">
        <v>22.244447708129883</v>
      </c>
      <c r="F154" s="4">
        <v>21.62678337097168</v>
      </c>
      <c r="G154" s="4">
        <v>20.855293273925781</v>
      </c>
      <c r="H154" s="4">
        <v>20.170558929443359</v>
      </c>
      <c r="I154" s="4">
        <v>19.516391754150391</v>
      </c>
      <c r="J154" s="4">
        <v>18.81928825378418</v>
      </c>
      <c r="K154" s="4">
        <v>18.262123107910156</v>
      </c>
      <c r="L154" s="4">
        <v>17.814878463745117</v>
      </c>
      <c r="M154" s="4">
        <v>17.297914505004883</v>
      </c>
      <c r="N154" s="4">
        <v>16.823175430297852</v>
      </c>
      <c r="O154" s="4">
        <v>16.419319152832031</v>
      </c>
      <c r="P154" s="4">
        <v>15.990388870239258</v>
      </c>
      <c r="Q154" s="4">
        <v>15.593510627746582</v>
      </c>
      <c r="R154" s="4">
        <v>15.17681884765625</v>
      </c>
      <c r="S154" s="4">
        <v>14.781278610229492</v>
      </c>
      <c r="T154" s="4">
        <v>14.400514602661133</v>
      </c>
      <c r="U154" s="4">
        <v>14.084105491638184</v>
      </c>
      <c r="V154" s="4">
        <v>13.785052299499512</v>
      </c>
      <c r="W154" s="4">
        <v>13.482430458068848</v>
      </c>
      <c r="X154" s="4">
        <v>13.303516387939453</v>
      </c>
      <c r="Y154" s="4">
        <v>13.073708534240723</v>
      </c>
      <c r="Z154" s="4">
        <v>12.875418663024902</v>
      </c>
      <c r="AA154" s="4">
        <v>12.654142379760742</v>
      </c>
      <c r="AB154" s="4">
        <v>12.393181800842285</v>
      </c>
      <c r="AC154" s="4">
        <v>12.130317687988281</v>
      </c>
      <c r="AD154" s="4">
        <v>11.854589462280273</v>
      </c>
      <c r="AE154" s="4">
        <v>11.592680931091309</v>
      </c>
      <c r="AG154" s="4">
        <f t="shared" si="2"/>
        <v>13.637288006869229</v>
      </c>
    </row>
    <row r="155" spans="1:33" x14ac:dyDescent="0.2">
      <c r="A155" s="3" t="s">
        <v>322</v>
      </c>
      <c r="B155" s="3" t="s">
        <v>323</v>
      </c>
      <c r="C155" s="4">
        <v>31.233295440673828</v>
      </c>
      <c r="D155" s="4">
        <v>31.088935852050781</v>
      </c>
      <c r="E155" s="4">
        <v>30.870712280273438</v>
      </c>
      <c r="F155" s="4">
        <v>30.854352951049805</v>
      </c>
      <c r="G155" s="4">
        <v>30.850061416625977</v>
      </c>
      <c r="H155" s="4">
        <v>31.198347091674805</v>
      </c>
      <c r="I155" s="4">
        <v>30.825477600097656</v>
      </c>
      <c r="J155" s="4">
        <v>30.024967193603516</v>
      </c>
      <c r="K155" s="4">
        <v>29.45057487487793</v>
      </c>
      <c r="L155" s="4">
        <v>29.555112838745117</v>
      </c>
      <c r="M155" s="4">
        <v>29.52662467956543</v>
      </c>
      <c r="N155" s="4">
        <v>29.187505722045898</v>
      </c>
      <c r="O155" s="4">
        <v>28.899686813354492</v>
      </c>
      <c r="P155" s="4">
        <v>28.445297241210938</v>
      </c>
      <c r="Q155" s="4">
        <v>28.130081176757813</v>
      </c>
      <c r="R155" s="4">
        <v>27.854166030883789</v>
      </c>
      <c r="S155" s="4">
        <v>27.343887329101563</v>
      </c>
      <c r="T155" s="4">
        <v>26.800691604614258</v>
      </c>
      <c r="U155" s="4">
        <v>26.276128768920898</v>
      </c>
      <c r="V155" s="4">
        <v>25.734701156616211</v>
      </c>
      <c r="W155" s="4">
        <v>25.070249557495117</v>
      </c>
      <c r="X155" s="4">
        <v>24.909793853759766</v>
      </c>
      <c r="Y155" s="4">
        <v>24.417121887207031</v>
      </c>
      <c r="Z155" s="4">
        <v>24.199407577514648</v>
      </c>
      <c r="AA155" s="4">
        <v>23.88096809387207</v>
      </c>
      <c r="AB155" s="4">
        <v>24.379257202148438</v>
      </c>
      <c r="AC155" s="4">
        <v>24.854316711425781</v>
      </c>
      <c r="AD155" s="4">
        <v>25.35760498046875</v>
      </c>
      <c r="AE155" s="4">
        <v>25.206396102905273</v>
      </c>
      <c r="AG155" s="4">
        <f t="shared" si="2"/>
        <v>25.533306642012164</v>
      </c>
    </row>
    <row r="156" spans="1:33" x14ac:dyDescent="0.2">
      <c r="A156" s="3" t="s">
        <v>29</v>
      </c>
      <c r="B156" s="3" t="s">
        <v>62</v>
      </c>
      <c r="C156" s="4">
        <v>39.648265838623047</v>
      </c>
      <c r="D156" s="4">
        <v>40.145576477050781</v>
      </c>
      <c r="E156" s="4">
        <v>40.729679107666016</v>
      </c>
      <c r="F156" s="4">
        <v>41.517459869384766</v>
      </c>
      <c r="G156" s="4">
        <v>41.690269470214844</v>
      </c>
      <c r="H156" s="4">
        <v>41.955848693847656</v>
      </c>
      <c r="I156" s="4">
        <v>42.568687438964844</v>
      </c>
      <c r="J156" s="4">
        <v>42.975238800048828</v>
      </c>
      <c r="K156" s="4">
        <v>43.263187408447266</v>
      </c>
      <c r="L156" s="4">
        <v>43.681911468505859</v>
      </c>
      <c r="M156" s="4">
        <v>44.026939392089844</v>
      </c>
      <c r="N156" s="4">
        <v>44.001533508300781</v>
      </c>
      <c r="O156" s="4">
        <v>43.910961151123047</v>
      </c>
      <c r="P156" s="4">
        <v>43.752975463867188</v>
      </c>
      <c r="Q156" s="4">
        <v>43.547561645507813</v>
      </c>
      <c r="R156" s="4">
        <v>43.585899353027344</v>
      </c>
      <c r="S156" s="4">
        <v>43.723400115966797</v>
      </c>
      <c r="T156" s="4">
        <v>43.900016784667969</v>
      </c>
      <c r="U156" s="4">
        <v>43.702678680419922</v>
      </c>
      <c r="V156" s="4">
        <v>43.556045532226563</v>
      </c>
      <c r="W156" s="4">
        <v>43.440090179443359</v>
      </c>
      <c r="X156" s="4">
        <v>43.362430572509766</v>
      </c>
      <c r="Y156" s="4">
        <v>43.212879180908203</v>
      </c>
      <c r="Z156" s="4">
        <v>42.912620544433594</v>
      </c>
      <c r="AA156" s="4">
        <v>42.245807647705078</v>
      </c>
      <c r="AB156" s="4">
        <v>41.564781188964844</v>
      </c>
      <c r="AC156" s="4">
        <v>40.851005554199219</v>
      </c>
      <c r="AD156" s="4">
        <v>40.374019622802734</v>
      </c>
      <c r="AE156" s="4">
        <v>39.798908233642578</v>
      </c>
      <c r="AG156" s="4">
        <f t="shared" si="2"/>
        <v>43.200604525479406</v>
      </c>
    </row>
    <row r="157" spans="1:33" x14ac:dyDescent="0.2">
      <c r="A157" s="3" t="s">
        <v>30</v>
      </c>
      <c r="B157" s="3" t="s">
        <v>63</v>
      </c>
      <c r="C157" s="4">
        <v>57.971363067626953</v>
      </c>
      <c r="D157" s="4">
        <v>58.492584228515625</v>
      </c>
      <c r="E157" s="4">
        <v>57.505630493164063</v>
      </c>
      <c r="F157" s="4">
        <v>58.906597137451172</v>
      </c>
      <c r="G157" s="4">
        <v>58.742950439453125</v>
      </c>
      <c r="H157" s="4">
        <v>59.114925384521484</v>
      </c>
      <c r="I157" s="4">
        <v>59.888095855712891</v>
      </c>
      <c r="J157" s="4">
        <v>60.232429504394531</v>
      </c>
      <c r="K157" s="4">
        <v>60.064571380615234</v>
      </c>
      <c r="L157" s="4">
        <v>60.253055572509766</v>
      </c>
      <c r="M157" s="4">
        <v>60.084609985351563</v>
      </c>
      <c r="N157" s="4">
        <v>60.421932220458984</v>
      </c>
      <c r="O157" s="4">
        <v>60.179656982421875</v>
      </c>
      <c r="P157" s="4">
        <v>60.036434173583984</v>
      </c>
      <c r="Q157" s="4">
        <v>60.709129333496094</v>
      </c>
      <c r="R157" s="4">
        <v>60.941791534423828</v>
      </c>
      <c r="S157" s="4">
        <v>61.201469421386719</v>
      </c>
      <c r="T157" s="4">
        <v>62.700469970703125</v>
      </c>
      <c r="U157" s="4">
        <v>62.815338134765625</v>
      </c>
      <c r="V157" s="4">
        <v>65.144119262695313</v>
      </c>
      <c r="W157" s="4">
        <v>64.551124572753906</v>
      </c>
      <c r="X157" s="4">
        <v>64.227989196777344</v>
      </c>
      <c r="Y157" s="4">
        <v>64.723342895507813</v>
      </c>
      <c r="Z157" s="4">
        <v>64.58367919921875</v>
      </c>
      <c r="AA157" s="4">
        <v>64.106887817382813</v>
      </c>
      <c r="AB157" s="4">
        <v>63.645309448242188</v>
      </c>
      <c r="AC157" s="4">
        <v>63.189762115478516</v>
      </c>
      <c r="AD157" s="4">
        <v>63.036148071289063</v>
      </c>
      <c r="AE157" s="4">
        <v>63.403850555419922</v>
      </c>
      <c r="AG157" s="4">
        <f t="shared" si="2"/>
        <v>63.512865586714312</v>
      </c>
    </row>
  </sheetData>
  <pageMargins left="0.75" right="0.75" top="1" bottom="1" header="0.5" footer="0.5"/>
  <pageSetup orientation="portrait" horizontalDpi="90" verticalDpi="9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7A1F0-F24E-42A3-B1E6-B2AE00194E56}">
  <dimension ref="A1:AG159"/>
  <sheetViews>
    <sheetView workbookViewId="0">
      <pane xSplit="2" ySplit="1" topLeftCell="F125" activePane="bottomRight" state="frozen"/>
      <selection pane="topRight" activeCell="C1" sqref="C1"/>
      <selection pane="bottomLeft" activeCell="A2" sqref="A2"/>
      <selection pane="bottomRight" activeCell="G12" sqref="G12"/>
    </sheetView>
  </sheetViews>
  <sheetFormatPr defaultColWidth="8" defaultRowHeight="12.75" x14ac:dyDescent="0.2"/>
  <cols>
    <col min="1" max="1" width="23" style="7" customWidth="1"/>
    <col min="2" max="2" width="8" style="7"/>
    <col min="3" max="5" width="0" style="7" hidden="1" customWidth="1"/>
    <col min="6" max="16384" width="8" style="7"/>
  </cols>
  <sheetData>
    <row r="1" spans="1:33" s="2" customFormat="1" x14ac:dyDescent="0.2">
      <c r="A1" s="2" t="s">
        <v>64</v>
      </c>
      <c r="B1" s="2" t="s">
        <v>65</v>
      </c>
      <c r="C1" s="2">
        <v>1990</v>
      </c>
      <c r="D1" s="2">
        <v>1991</v>
      </c>
      <c r="E1" s="2">
        <v>1992</v>
      </c>
      <c r="F1" s="2">
        <v>1993</v>
      </c>
      <c r="G1" s="2">
        <v>1994</v>
      </c>
      <c r="H1" s="2">
        <v>1995</v>
      </c>
      <c r="I1" s="2">
        <v>1996</v>
      </c>
      <c r="J1" s="2">
        <v>1997</v>
      </c>
      <c r="K1" s="2">
        <v>1998</v>
      </c>
      <c r="L1" s="2">
        <v>1999</v>
      </c>
      <c r="M1" s="2">
        <v>2000</v>
      </c>
      <c r="N1" s="2">
        <v>2001</v>
      </c>
      <c r="O1" s="2">
        <v>2002</v>
      </c>
      <c r="P1" s="2">
        <v>2003</v>
      </c>
      <c r="Q1" s="2">
        <v>2004</v>
      </c>
      <c r="R1" s="2">
        <v>2005</v>
      </c>
      <c r="S1" s="2">
        <v>2006</v>
      </c>
      <c r="T1" s="2">
        <v>2007</v>
      </c>
      <c r="U1" s="2">
        <v>2008</v>
      </c>
      <c r="V1" s="2">
        <v>2009</v>
      </c>
      <c r="W1" s="2">
        <v>2010</v>
      </c>
      <c r="X1" s="2">
        <v>2011</v>
      </c>
      <c r="Y1" s="2">
        <v>2012</v>
      </c>
      <c r="Z1" s="2">
        <v>2013</v>
      </c>
      <c r="AA1" s="2">
        <v>2014</v>
      </c>
      <c r="AB1" s="2">
        <v>2015</v>
      </c>
      <c r="AC1" s="2">
        <v>2016</v>
      </c>
      <c r="AD1" s="2">
        <v>2017</v>
      </c>
      <c r="AE1" s="2">
        <v>2018</v>
      </c>
      <c r="AG1" s="2" t="s">
        <v>66</v>
      </c>
    </row>
    <row r="2" spans="1:33" x14ac:dyDescent="0.2">
      <c r="A2" s="7" t="s">
        <v>67</v>
      </c>
      <c r="B2" s="7" t="s">
        <v>68</v>
      </c>
      <c r="C2" s="8"/>
      <c r="D2" s="8"/>
      <c r="E2" s="8"/>
      <c r="F2" s="9">
        <v>38.571281433105469</v>
      </c>
      <c r="G2" s="9">
        <v>38.260951995849609</v>
      </c>
      <c r="H2" s="9">
        <v>37.862960815429688</v>
      </c>
      <c r="I2" s="9">
        <v>35.685630798339844</v>
      </c>
      <c r="J2" s="9">
        <v>36.243999481201172</v>
      </c>
      <c r="K2" s="9">
        <v>36.363334655761719</v>
      </c>
      <c r="L2" s="9">
        <v>36.019931793212891</v>
      </c>
      <c r="M2" s="9">
        <v>35.299999237060547</v>
      </c>
      <c r="N2" s="9">
        <v>36.439022064208984</v>
      </c>
      <c r="O2" s="9">
        <v>35.573329925537109</v>
      </c>
      <c r="P2" s="9">
        <v>35.238903045654297</v>
      </c>
      <c r="Q2" s="9">
        <v>35.024368286132813</v>
      </c>
      <c r="R2" s="9">
        <v>34.945659637451172</v>
      </c>
      <c r="S2" s="9">
        <v>34.391948699951172</v>
      </c>
      <c r="T2" s="9">
        <v>34.177272796630859</v>
      </c>
      <c r="U2" s="9">
        <v>33.751468658447266</v>
      </c>
      <c r="V2" s="9">
        <v>33.956642150878906</v>
      </c>
      <c r="W2" s="9">
        <v>33.877605438232422</v>
      </c>
      <c r="X2" s="9">
        <v>33.597434997558594</v>
      </c>
      <c r="Y2" s="9">
        <v>33.505386352539063</v>
      </c>
      <c r="Z2" s="9">
        <v>33.804462432861328</v>
      </c>
      <c r="AA2" s="9">
        <v>33.753948211669922</v>
      </c>
      <c r="AB2" s="9">
        <v>33.515609741210938</v>
      </c>
      <c r="AC2" s="9">
        <v>33.233230590820313</v>
      </c>
      <c r="AD2" s="9">
        <v>32.931488037109375</v>
      </c>
      <c r="AE2" s="9">
        <v>32.407962799072266</v>
      </c>
      <c r="AG2" s="9">
        <f>AVERAGE($R2:$AB2)</f>
        <v>33.934312647039242</v>
      </c>
    </row>
    <row r="3" spans="1:33" x14ac:dyDescent="0.2">
      <c r="A3" s="7" t="s">
        <v>69</v>
      </c>
      <c r="B3" s="7" t="s">
        <v>70</v>
      </c>
      <c r="C3" s="8"/>
      <c r="D3" s="8"/>
      <c r="E3" s="8"/>
      <c r="F3" s="9">
        <v>34.984855651855469</v>
      </c>
      <c r="G3" s="9">
        <v>35.057540893554688</v>
      </c>
      <c r="H3" s="9">
        <v>34.919013977050781</v>
      </c>
      <c r="I3" s="9">
        <v>35.023456573486328</v>
      </c>
      <c r="J3" s="9">
        <v>34.944877624511719</v>
      </c>
      <c r="K3" s="9">
        <v>34.796489715576172</v>
      </c>
      <c r="L3" s="9">
        <v>34.587123870849609</v>
      </c>
      <c r="M3" s="9">
        <v>34.099998474121094</v>
      </c>
      <c r="N3" s="9">
        <v>33.896747589111328</v>
      </c>
      <c r="O3" s="9">
        <v>33.497978210449219</v>
      </c>
      <c r="P3" s="9">
        <v>32.919090270996094</v>
      </c>
      <c r="Q3" s="9">
        <v>32.373050689697266</v>
      </c>
      <c r="R3" s="9">
        <v>31.38172721862793</v>
      </c>
      <c r="S3" s="9">
        <v>31.241147994995117</v>
      </c>
      <c r="T3" s="9">
        <v>31.308382034301758</v>
      </c>
      <c r="U3" s="9">
        <v>31.496702194213867</v>
      </c>
      <c r="V3" s="9">
        <v>31.918821334838867</v>
      </c>
      <c r="W3" s="9">
        <v>31.838108062744141</v>
      </c>
      <c r="X3" s="9">
        <v>32.420799255371094</v>
      </c>
      <c r="Y3" s="9">
        <v>32.238971710205078</v>
      </c>
      <c r="Z3" s="9">
        <v>31.941799163818359</v>
      </c>
      <c r="AA3" s="9">
        <v>31.831317901611328</v>
      </c>
      <c r="AB3" s="9">
        <v>32.040489196777344</v>
      </c>
      <c r="AC3" s="9">
        <v>31.830295562744141</v>
      </c>
      <c r="AD3" s="9">
        <v>31.742618560791016</v>
      </c>
      <c r="AE3" s="9">
        <v>31.315494537353516</v>
      </c>
      <c r="AG3" s="9">
        <f t="shared" ref="AG3:AG66" si="0">AVERAGE($R3:$AB3)</f>
        <v>31.787115097045898</v>
      </c>
    </row>
    <row r="4" spans="1:33" x14ac:dyDescent="0.2">
      <c r="A4" s="7" t="s">
        <v>1</v>
      </c>
      <c r="B4" s="7" t="s">
        <v>33</v>
      </c>
      <c r="C4" s="8"/>
      <c r="D4" s="8"/>
      <c r="E4" s="8"/>
      <c r="F4" s="9">
        <v>50.773422241210938</v>
      </c>
      <c r="G4" s="9">
        <v>49.773391723632813</v>
      </c>
      <c r="H4" s="9">
        <v>47.836200714111328</v>
      </c>
      <c r="I4" s="9">
        <v>47.405990600585938</v>
      </c>
      <c r="J4" s="9">
        <v>47.323348999023438</v>
      </c>
      <c r="K4" s="9">
        <v>49.990226745605469</v>
      </c>
      <c r="L4" s="9">
        <v>47.678768157958984</v>
      </c>
      <c r="M4" s="9">
        <v>48.799999237060547</v>
      </c>
      <c r="N4" s="9">
        <v>48.596015930175781</v>
      </c>
      <c r="O4" s="9">
        <v>46.689796447753906</v>
      </c>
      <c r="P4" s="9">
        <v>46.970916748046875</v>
      </c>
      <c r="Q4" s="9">
        <v>46.379878997802734</v>
      </c>
      <c r="R4" s="9">
        <v>45.360244750976563</v>
      </c>
      <c r="S4" s="9">
        <v>45.261455535888672</v>
      </c>
      <c r="T4" s="9">
        <v>44.122997283935547</v>
      </c>
      <c r="U4" s="9">
        <v>43.668079376220703</v>
      </c>
      <c r="V4" s="9">
        <v>44.132369995117188</v>
      </c>
      <c r="W4" s="9">
        <v>44.137409210205078</v>
      </c>
      <c r="X4" s="9">
        <v>44.295761108398438</v>
      </c>
      <c r="Y4" s="9">
        <v>43.629150390625</v>
      </c>
      <c r="Z4" s="9">
        <v>44.187042236328125</v>
      </c>
      <c r="AA4" s="9">
        <v>43.451480865478516</v>
      </c>
      <c r="AB4" s="9">
        <v>43.223419189453125</v>
      </c>
      <c r="AC4" s="9">
        <v>43.443283081054688</v>
      </c>
      <c r="AD4" s="9">
        <v>43.384040832519531</v>
      </c>
      <c r="AE4" s="9">
        <v>43.328170776367188</v>
      </c>
      <c r="AG4" s="9">
        <f t="shared" si="0"/>
        <v>44.133582722056993</v>
      </c>
    </row>
    <row r="5" spans="1:33" x14ac:dyDescent="0.2">
      <c r="A5" s="7" t="s">
        <v>2</v>
      </c>
      <c r="B5" s="7" t="s">
        <v>34</v>
      </c>
      <c r="C5" s="8"/>
      <c r="D5" s="8"/>
      <c r="E5" s="8"/>
      <c r="F5" s="9">
        <v>25.562576293945313</v>
      </c>
      <c r="G5" s="9">
        <v>25.373231887817383</v>
      </c>
      <c r="H5" s="9">
        <v>25.952001571655273</v>
      </c>
      <c r="I5" s="9">
        <v>25.319374084472656</v>
      </c>
      <c r="J5" s="9">
        <v>24.688922882080078</v>
      </c>
      <c r="K5" s="9">
        <v>24.43248176574707</v>
      </c>
      <c r="L5" s="9">
        <v>25.105556488037109</v>
      </c>
      <c r="M5" s="9">
        <v>25.399999618530273</v>
      </c>
      <c r="N5" s="9">
        <v>26.039270401000977</v>
      </c>
      <c r="O5" s="9">
        <v>26.414730072021484</v>
      </c>
      <c r="P5" s="9">
        <v>25.656591415405273</v>
      </c>
      <c r="Q5" s="9">
        <v>25.065067291259766</v>
      </c>
      <c r="R5" s="9">
        <v>24.80224609375</v>
      </c>
      <c r="S5" s="9">
        <v>24.373483657836914</v>
      </c>
      <c r="T5" s="9">
        <v>23.895635604858398</v>
      </c>
      <c r="U5" s="9">
        <v>23.884767532348633</v>
      </c>
      <c r="V5" s="9">
        <v>24.921953201293945</v>
      </c>
      <c r="W5" s="9">
        <v>24.042016983032227</v>
      </c>
      <c r="X5" s="9">
        <v>23.74964714050293</v>
      </c>
      <c r="Y5" s="9">
        <v>24.167985916137695</v>
      </c>
      <c r="Z5" s="9">
        <v>24.134323120117188</v>
      </c>
      <c r="AA5" s="9">
        <v>24.369668960571289</v>
      </c>
      <c r="AB5" s="9">
        <v>24.415708541870117</v>
      </c>
      <c r="AC5" s="9">
        <v>24.37354850769043</v>
      </c>
      <c r="AD5" s="9">
        <v>24.294239044189453</v>
      </c>
      <c r="AE5" s="9">
        <v>24.408111572265625</v>
      </c>
      <c r="AG5" s="9">
        <f t="shared" si="0"/>
        <v>24.250676068392668</v>
      </c>
    </row>
    <row r="6" spans="1:33" x14ac:dyDescent="0.2">
      <c r="A6" s="7" t="s">
        <v>71</v>
      </c>
      <c r="B6" s="7" t="s">
        <v>72</v>
      </c>
      <c r="C6" s="8"/>
      <c r="D6" s="8"/>
      <c r="E6" s="8"/>
      <c r="F6" s="9">
        <v>49.078380584716797</v>
      </c>
      <c r="G6" s="9">
        <v>46.229175567626953</v>
      </c>
      <c r="H6" s="9">
        <v>46.409404754638672</v>
      </c>
      <c r="I6" s="9">
        <v>46.283584594726563</v>
      </c>
      <c r="J6" s="9">
        <v>46.210647583007813</v>
      </c>
      <c r="K6" s="9">
        <v>46.161270141601563</v>
      </c>
      <c r="L6" s="9">
        <v>46.370132446289063</v>
      </c>
      <c r="M6" s="9">
        <v>46.299999237060547</v>
      </c>
      <c r="N6" s="9">
        <v>46.569957733154297</v>
      </c>
      <c r="O6" s="9">
        <v>45.144954681396484</v>
      </c>
      <c r="P6" s="9">
        <v>45.033126831054688</v>
      </c>
      <c r="Q6" s="9">
        <v>44.915134429931641</v>
      </c>
      <c r="R6" s="9">
        <v>44.366031646728516</v>
      </c>
      <c r="S6" s="9">
        <v>44.015174865722656</v>
      </c>
      <c r="T6" s="9">
        <v>43.682785034179688</v>
      </c>
      <c r="U6" s="9">
        <v>42.372222900390625</v>
      </c>
      <c r="V6" s="9">
        <v>43.750289916992188</v>
      </c>
      <c r="W6" s="9">
        <v>43.842624664306641</v>
      </c>
      <c r="X6" s="9">
        <v>43.48919677734375</v>
      </c>
      <c r="Y6" s="9">
        <v>42.941333770751953</v>
      </c>
      <c r="Z6" s="9">
        <v>42.905033111572266</v>
      </c>
      <c r="AA6" s="9">
        <v>43.296852111816406</v>
      </c>
      <c r="AB6" s="9">
        <v>43.481315612792969</v>
      </c>
      <c r="AC6" s="9">
        <v>43.560779571533203</v>
      </c>
      <c r="AD6" s="9">
        <v>42.755603790283203</v>
      </c>
      <c r="AE6" s="9">
        <v>42.493434906005859</v>
      </c>
      <c r="AG6" s="9">
        <f t="shared" si="0"/>
        <v>43.467532764781602</v>
      </c>
    </row>
    <row r="7" spans="1:33" x14ac:dyDescent="0.2">
      <c r="A7" s="7" t="s">
        <v>73</v>
      </c>
      <c r="B7" s="7" t="s">
        <v>74</v>
      </c>
      <c r="C7" s="8"/>
      <c r="D7" s="8"/>
      <c r="E7" s="8"/>
      <c r="F7" s="9">
        <v>15.538859367370605</v>
      </c>
      <c r="G7" s="9">
        <v>15.193089485168457</v>
      </c>
      <c r="H7" s="9">
        <v>15.08393669128418</v>
      </c>
      <c r="I7" s="9">
        <v>14.748693466186523</v>
      </c>
      <c r="J7" s="9">
        <v>14.710874557495117</v>
      </c>
      <c r="K7" s="9">
        <v>14.797375679016113</v>
      </c>
      <c r="L7" s="9">
        <v>14.473602294921875</v>
      </c>
      <c r="M7" s="9">
        <v>14.300000190734863</v>
      </c>
      <c r="N7" s="9">
        <v>14.230506896972656</v>
      </c>
      <c r="O7" s="9">
        <v>14.177370071411133</v>
      </c>
      <c r="P7" s="9">
        <v>13.947599411010742</v>
      </c>
      <c r="Q7" s="9">
        <v>13.720335960388184</v>
      </c>
      <c r="R7" s="9">
        <v>13.790192604064941</v>
      </c>
      <c r="S7" s="9">
        <v>13.695947647094727</v>
      </c>
      <c r="T7" s="9">
        <v>13.417634010314941</v>
      </c>
      <c r="U7" s="9">
        <v>13.541301727294922</v>
      </c>
      <c r="V7" s="9">
        <v>13.900376319885254</v>
      </c>
      <c r="W7" s="9">
        <v>13.716012001037598</v>
      </c>
      <c r="X7" s="9">
        <v>13.812760353088379</v>
      </c>
      <c r="Y7" s="9">
        <v>13.723848342895508</v>
      </c>
      <c r="Z7" s="9">
        <v>13.637007713317871</v>
      </c>
      <c r="AA7" s="9">
        <v>13.820518493652344</v>
      </c>
      <c r="AB7" s="9">
        <v>14.116594314575195</v>
      </c>
      <c r="AC7" s="9">
        <v>14.018482208251953</v>
      </c>
      <c r="AD7" s="9">
        <v>14.087062835693359</v>
      </c>
      <c r="AE7" s="9">
        <v>14.065774917602539</v>
      </c>
      <c r="AG7" s="9">
        <f t="shared" si="0"/>
        <v>13.742926684292881</v>
      </c>
    </row>
    <row r="8" spans="1:33" x14ac:dyDescent="0.2">
      <c r="A8" s="7" t="s">
        <v>75</v>
      </c>
      <c r="B8" s="7" t="s">
        <v>76</v>
      </c>
      <c r="C8" s="8"/>
      <c r="D8" s="8"/>
      <c r="E8" s="8"/>
      <c r="F8" s="9">
        <v>10.522746086120605</v>
      </c>
      <c r="G8" s="9">
        <v>10.40567684173584</v>
      </c>
      <c r="H8" s="9">
        <v>10.410053253173828</v>
      </c>
      <c r="I8" s="9">
        <v>10.392490386962891</v>
      </c>
      <c r="J8" s="9">
        <v>10.33949089050293</v>
      </c>
      <c r="K8" s="9">
        <v>10.204848289489746</v>
      </c>
      <c r="L8" s="9">
        <v>10.129485130310059</v>
      </c>
      <c r="M8" s="9">
        <v>9.8000001907348633</v>
      </c>
      <c r="N8" s="9">
        <v>9.7051286697387695</v>
      </c>
      <c r="O8" s="9">
        <v>9.6750154495239258</v>
      </c>
      <c r="P8" s="9">
        <v>9.7274608612060547</v>
      </c>
      <c r="Q8" s="9">
        <v>9.7564935684204102</v>
      </c>
      <c r="R8" s="9">
        <v>9.9559669494628906</v>
      </c>
      <c r="S8" s="9">
        <v>9.7178678512573242</v>
      </c>
      <c r="T8" s="9">
        <v>9.3870134353637695</v>
      </c>
      <c r="U8" s="9">
        <v>9.4718151092529297</v>
      </c>
      <c r="V8" s="9">
        <v>10.237248420715332</v>
      </c>
      <c r="W8" s="9">
        <v>10.010276794433594</v>
      </c>
      <c r="X8" s="9">
        <v>9.7683134078979492</v>
      </c>
      <c r="Y8" s="9">
        <v>9.7893171310424805</v>
      </c>
      <c r="Z8" s="9">
        <v>9.9001703262329102</v>
      </c>
      <c r="AA8" s="9">
        <v>9.8861408233642578</v>
      </c>
      <c r="AB8" s="9">
        <v>9.9220905303955078</v>
      </c>
      <c r="AC8" s="9">
        <v>9.884526252746582</v>
      </c>
      <c r="AD8" s="9">
        <v>9.717158317565918</v>
      </c>
      <c r="AE8" s="9">
        <v>9.5145225524902344</v>
      </c>
      <c r="AG8" s="9">
        <f t="shared" si="0"/>
        <v>9.8223837072199043</v>
      </c>
    </row>
    <row r="9" spans="1:33" x14ac:dyDescent="0.2">
      <c r="A9" s="7" t="s">
        <v>77</v>
      </c>
      <c r="B9" s="7" t="s">
        <v>78</v>
      </c>
      <c r="C9" s="8"/>
      <c r="D9" s="8"/>
      <c r="E9" s="8"/>
      <c r="F9" s="9">
        <v>62.28173828125</v>
      </c>
      <c r="G9" s="9">
        <v>61.244701385498047</v>
      </c>
      <c r="H9" s="9">
        <v>59.083518981933594</v>
      </c>
      <c r="I9" s="9">
        <v>58.800266265869141</v>
      </c>
      <c r="J9" s="9">
        <v>59.293415069580078</v>
      </c>
      <c r="K9" s="9">
        <v>59.825023651123047</v>
      </c>
      <c r="L9" s="9">
        <v>59.419658660888672</v>
      </c>
      <c r="M9" s="9">
        <v>60.599998474121094</v>
      </c>
      <c r="N9" s="9">
        <v>59.940505981445313</v>
      </c>
      <c r="O9" s="9">
        <v>59.324497222900391</v>
      </c>
      <c r="P9" s="9">
        <v>58.786857604980469</v>
      </c>
      <c r="Q9" s="9">
        <v>58.432868957519531</v>
      </c>
      <c r="R9" s="9">
        <v>57.220523834228516</v>
      </c>
      <c r="S9" s="9">
        <v>55.714382171630859</v>
      </c>
      <c r="T9" s="9">
        <v>55.136238098144531</v>
      </c>
      <c r="U9" s="9">
        <v>54.435043334960938</v>
      </c>
      <c r="V9" s="9">
        <v>54.39697265625</v>
      </c>
      <c r="W9" s="9">
        <v>54.318824768066406</v>
      </c>
      <c r="X9" s="9">
        <v>54.24169921875</v>
      </c>
      <c r="Y9" s="9">
        <v>54.249496459960938</v>
      </c>
      <c r="Z9" s="9">
        <v>53.555156707763672</v>
      </c>
      <c r="AA9" s="9">
        <v>53.492988586425781</v>
      </c>
      <c r="AB9" s="9">
        <v>53.671539306640625</v>
      </c>
      <c r="AC9" s="9">
        <v>53.886753082275391</v>
      </c>
      <c r="AD9" s="9">
        <v>53.678363800048828</v>
      </c>
      <c r="AE9" s="9">
        <v>53.328559875488281</v>
      </c>
      <c r="AG9" s="9">
        <f t="shared" si="0"/>
        <v>54.58480592207475</v>
      </c>
    </row>
    <row r="10" spans="1:33" x14ac:dyDescent="0.2">
      <c r="A10" s="7" t="s">
        <v>79</v>
      </c>
      <c r="B10" s="7" t="s">
        <v>80</v>
      </c>
      <c r="C10" s="8"/>
      <c r="D10" s="8"/>
      <c r="E10" s="8"/>
      <c r="F10" s="9">
        <v>29.529098510742188</v>
      </c>
      <c r="G10" s="9">
        <v>29.808673858642578</v>
      </c>
      <c r="H10" s="9">
        <v>29.047697067260742</v>
      </c>
      <c r="I10" s="9">
        <v>28.395841598510742</v>
      </c>
      <c r="J10" s="9">
        <v>28.279943466186523</v>
      </c>
      <c r="K10" s="9">
        <v>27.515125274658203</v>
      </c>
      <c r="L10" s="9">
        <v>26.590883255004883</v>
      </c>
      <c r="M10" s="9">
        <v>26.200000762939453</v>
      </c>
      <c r="N10" s="9">
        <v>26.125566482543945</v>
      </c>
      <c r="O10" s="9">
        <v>26.079442977905273</v>
      </c>
      <c r="P10" s="9">
        <v>26.742794036865234</v>
      </c>
      <c r="Q10" s="9">
        <v>26.976253509521484</v>
      </c>
      <c r="R10" s="9">
        <v>26.674577713012695</v>
      </c>
      <c r="S10" s="9">
        <v>26.567510604858398</v>
      </c>
      <c r="T10" s="9">
        <v>26.657625198364258</v>
      </c>
      <c r="U10" s="9">
        <v>27.625892639160156</v>
      </c>
      <c r="V10" s="9">
        <v>29.381832122802734</v>
      </c>
      <c r="W10" s="9">
        <v>29.326618194580078</v>
      </c>
      <c r="X10" s="9">
        <v>29.773483276367188</v>
      </c>
      <c r="Y10" s="9">
        <v>29.328647613525391</v>
      </c>
      <c r="Z10" s="9">
        <v>30.001028060913086</v>
      </c>
      <c r="AA10" s="9">
        <v>29.938716888427734</v>
      </c>
      <c r="AB10" s="9">
        <v>29.888584136962891</v>
      </c>
      <c r="AC10" s="9">
        <v>29.751981735229492</v>
      </c>
      <c r="AD10" s="9">
        <v>30.211301803588867</v>
      </c>
      <c r="AE10" s="9">
        <v>29.955345153808594</v>
      </c>
      <c r="AG10" s="9">
        <f t="shared" si="0"/>
        <v>28.651319677179512</v>
      </c>
    </row>
    <row r="11" spans="1:33" x14ac:dyDescent="0.2">
      <c r="A11" s="7" t="s">
        <v>81</v>
      </c>
      <c r="B11" s="7" t="s">
        <v>82</v>
      </c>
      <c r="C11" s="8"/>
      <c r="D11" s="8"/>
      <c r="E11" s="8"/>
      <c r="F11" s="9">
        <v>19.940973281860352</v>
      </c>
      <c r="G11" s="9">
        <v>20.086643218994141</v>
      </c>
      <c r="H11" s="9">
        <v>19.875602722167969</v>
      </c>
      <c r="I11" s="9">
        <v>19.157865524291992</v>
      </c>
      <c r="J11" s="9">
        <v>19.145502090454102</v>
      </c>
      <c r="K11" s="9">
        <v>18.909549713134766</v>
      </c>
      <c r="L11" s="9">
        <v>18.748292922973633</v>
      </c>
      <c r="M11" s="9">
        <v>18.399999618530273</v>
      </c>
      <c r="N11" s="9">
        <v>19.01164436340332</v>
      </c>
      <c r="O11" s="9">
        <v>19.468067169189453</v>
      </c>
      <c r="P11" s="9">
        <v>19.422317504882813</v>
      </c>
      <c r="Q11" s="9">
        <v>19.201564788818359</v>
      </c>
      <c r="R11" s="9">
        <v>19.174100875854492</v>
      </c>
      <c r="S11" s="9">
        <v>19.215986251831055</v>
      </c>
      <c r="T11" s="9">
        <v>19.528322219848633</v>
      </c>
      <c r="U11" s="9">
        <v>19.209087371826172</v>
      </c>
      <c r="V11" s="9">
        <v>20.337886810302734</v>
      </c>
      <c r="W11" s="9">
        <v>20.190607070922852</v>
      </c>
      <c r="X11" s="9">
        <v>20.581583023071289</v>
      </c>
      <c r="Y11" s="9">
        <v>20.236902236938477</v>
      </c>
      <c r="Z11" s="9">
        <v>19.305143356323242</v>
      </c>
      <c r="AA11" s="9">
        <v>18.840112686157227</v>
      </c>
      <c r="AB11" s="9">
        <v>18.974283218383789</v>
      </c>
      <c r="AC11" s="9">
        <v>19.129180908203125</v>
      </c>
      <c r="AD11" s="9">
        <v>19.348268508911133</v>
      </c>
      <c r="AE11" s="9">
        <v>19.97624397277832</v>
      </c>
      <c r="AG11" s="9">
        <f t="shared" si="0"/>
        <v>19.599455920132723</v>
      </c>
    </row>
    <row r="12" spans="1:33" x14ac:dyDescent="0.2">
      <c r="A12" s="7" t="s">
        <v>3</v>
      </c>
      <c r="B12" s="7" t="s">
        <v>35</v>
      </c>
      <c r="C12" s="8"/>
      <c r="D12" s="8"/>
      <c r="E12" s="8"/>
      <c r="F12" s="9">
        <v>36.670768737792969</v>
      </c>
      <c r="G12" s="9">
        <v>36.484996795654297</v>
      </c>
      <c r="H12" s="9">
        <v>36.079761505126953</v>
      </c>
      <c r="I12" s="9">
        <v>35.634632110595703</v>
      </c>
      <c r="J12" s="9">
        <v>35.429027557373047</v>
      </c>
      <c r="K12" s="9">
        <v>35.365760803222656</v>
      </c>
      <c r="L12" s="9">
        <v>35.496166229248047</v>
      </c>
      <c r="M12" s="9">
        <v>35.599998474121094</v>
      </c>
      <c r="N12" s="9">
        <v>35.585887908935547</v>
      </c>
      <c r="O12" s="9">
        <v>36.180835723876953</v>
      </c>
      <c r="P12" s="9">
        <v>36.863773345947266</v>
      </c>
      <c r="Q12" s="9">
        <v>37.213970184326172</v>
      </c>
      <c r="R12" s="9">
        <v>37.185455322265625</v>
      </c>
      <c r="S12" s="9">
        <v>36.700557708740234</v>
      </c>
      <c r="T12" s="9">
        <v>36.212722778320313</v>
      </c>
      <c r="U12" s="9">
        <v>35.932319641113281</v>
      </c>
      <c r="V12" s="9">
        <v>36.021945953369141</v>
      </c>
      <c r="W12" s="9">
        <v>35.54315185546875</v>
      </c>
      <c r="X12" s="9">
        <v>35.391773223876953</v>
      </c>
      <c r="Y12" s="9">
        <v>35.19781494140625</v>
      </c>
      <c r="Z12" s="9">
        <v>35.044219970703125</v>
      </c>
      <c r="AA12" s="9">
        <v>34.929950714111328</v>
      </c>
      <c r="AB12" s="9">
        <v>34.645957946777344</v>
      </c>
      <c r="AC12" s="9">
        <v>34.769283294677734</v>
      </c>
      <c r="AD12" s="9">
        <v>34.658210754394531</v>
      </c>
      <c r="AE12" s="9">
        <v>34.65399169921875</v>
      </c>
      <c r="AG12" s="9">
        <f t="shared" si="0"/>
        <v>35.709624550559305</v>
      </c>
    </row>
    <row r="13" spans="1:33" x14ac:dyDescent="0.2">
      <c r="A13" s="7" t="s">
        <v>85</v>
      </c>
      <c r="B13" s="7" t="s">
        <v>86</v>
      </c>
      <c r="C13" s="8"/>
      <c r="D13" s="8"/>
      <c r="E13" s="8"/>
      <c r="F13" s="9">
        <v>48.233043670654297</v>
      </c>
      <c r="G13" s="9">
        <v>49.061347961425781</v>
      </c>
      <c r="H13" s="9">
        <v>49.321891784667969</v>
      </c>
      <c r="I13" s="9">
        <v>48.788234710693359</v>
      </c>
      <c r="J13" s="9">
        <v>48.625354766845703</v>
      </c>
      <c r="K13" s="9">
        <v>48.434925079345703</v>
      </c>
      <c r="L13" s="9">
        <v>48.251743316650391</v>
      </c>
      <c r="M13" s="9">
        <v>48.099998474121094</v>
      </c>
      <c r="N13" s="9">
        <v>48.687191009521484</v>
      </c>
      <c r="O13" s="9">
        <v>48.55859375</v>
      </c>
      <c r="P13" s="9">
        <v>48.426464080810547</v>
      </c>
      <c r="Q13" s="9">
        <v>47.986183166503906</v>
      </c>
      <c r="R13" s="9">
        <v>47.696613311767578</v>
      </c>
      <c r="S13" s="9">
        <v>46.903240203857422</v>
      </c>
      <c r="T13" s="9">
        <v>46.326854705810547</v>
      </c>
      <c r="U13" s="9">
        <v>45.295944213867188</v>
      </c>
      <c r="V13" s="9">
        <v>45.331703186035156</v>
      </c>
      <c r="W13" s="9">
        <v>44.917881011962891</v>
      </c>
      <c r="X13" s="9">
        <v>43.838939666748047</v>
      </c>
      <c r="Y13" s="9">
        <v>43.577365875244141</v>
      </c>
      <c r="Z13" s="9">
        <v>43.492977142333984</v>
      </c>
      <c r="AA13" s="9">
        <v>43.092227935791016</v>
      </c>
      <c r="AB13" s="9">
        <v>42.861843109130859</v>
      </c>
      <c r="AC13" s="9">
        <v>43.225696563720703</v>
      </c>
      <c r="AD13" s="9">
        <v>42.924915313720703</v>
      </c>
      <c r="AE13" s="9">
        <v>42.565437316894531</v>
      </c>
      <c r="AG13" s="9">
        <f t="shared" si="0"/>
        <v>44.848690032958984</v>
      </c>
    </row>
    <row r="14" spans="1:33" x14ac:dyDescent="0.2">
      <c r="A14" s="7" t="s">
        <v>87</v>
      </c>
      <c r="B14" s="7" t="s">
        <v>88</v>
      </c>
      <c r="C14" s="8"/>
      <c r="D14" s="8"/>
      <c r="E14" s="8"/>
      <c r="F14" s="9">
        <v>23.789457321166992</v>
      </c>
      <c r="G14" s="9">
        <v>23.813159942626953</v>
      </c>
      <c r="H14" s="9">
        <v>23.68449592590332</v>
      </c>
      <c r="I14" s="9">
        <v>23.689155578613281</v>
      </c>
      <c r="J14" s="9">
        <v>23.179279327392578</v>
      </c>
      <c r="K14" s="9">
        <v>23.060878753662109</v>
      </c>
      <c r="L14" s="9">
        <v>22.810358047485352</v>
      </c>
      <c r="M14" s="9">
        <v>22.200000762939453</v>
      </c>
      <c r="N14" s="9">
        <v>22.086471557617188</v>
      </c>
      <c r="O14" s="9">
        <v>22.380914688110352</v>
      </c>
      <c r="P14" s="9">
        <v>22.58018684387207</v>
      </c>
      <c r="Q14" s="9">
        <v>22.337108612060547</v>
      </c>
      <c r="R14" s="9">
        <v>22.273468017578125</v>
      </c>
      <c r="S14" s="9">
        <v>22.030010223388672</v>
      </c>
      <c r="T14" s="9">
        <v>21.675022125244141</v>
      </c>
      <c r="U14" s="9">
        <v>22.056612014770508</v>
      </c>
      <c r="V14" s="9">
        <v>22.76603889465332</v>
      </c>
      <c r="W14" s="9">
        <v>22.547033309936523</v>
      </c>
      <c r="X14" s="9">
        <v>22.360319137573242</v>
      </c>
      <c r="Y14" s="9">
        <v>22.524049758911133</v>
      </c>
      <c r="Z14" s="9">
        <v>22.674945831298828</v>
      </c>
      <c r="AA14" s="9">
        <v>22.714468002319336</v>
      </c>
      <c r="AB14" s="9">
        <v>22.384071350097656</v>
      </c>
      <c r="AC14" s="9">
        <v>22.152486801147461</v>
      </c>
      <c r="AD14" s="9">
        <v>21.935640335083008</v>
      </c>
      <c r="AE14" s="9">
        <v>21.665607452392578</v>
      </c>
      <c r="AG14" s="9">
        <f t="shared" si="0"/>
        <v>22.364185333251953</v>
      </c>
    </row>
    <row r="15" spans="1:33" x14ac:dyDescent="0.2">
      <c r="A15" s="7" t="s">
        <v>89</v>
      </c>
      <c r="B15" s="7" t="s">
        <v>90</v>
      </c>
      <c r="C15" s="8"/>
      <c r="D15" s="8"/>
      <c r="E15" s="8"/>
      <c r="F15" s="9">
        <v>46.517475128173828</v>
      </c>
      <c r="G15" s="9">
        <v>47.5684814453125</v>
      </c>
      <c r="H15" s="9">
        <v>47.428905487060547</v>
      </c>
      <c r="I15" s="9">
        <v>46.662689208984375</v>
      </c>
      <c r="J15" s="9">
        <v>46.849998474121094</v>
      </c>
      <c r="K15" s="9">
        <v>47.173995971679688</v>
      </c>
      <c r="L15" s="9">
        <v>45.754096984863281</v>
      </c>
      <c r="M15" s="9">
        <v>43.799999237060547</v>
      </c>
      <c r="N15" s="9">
        <v>43.3458251953125</v>
      </c>
      <c r="O15" s="9">
        <v>44.036449432373047</v>
      </c>
      <c r="P15" s="9">
        <v>43.422599792480469</v>
      </c>
      <c r="Q15" s="9">
        <v>42.874752044677734</v>
      </c>
      <c r="R15" s="9">
        <v>43.208251953125</v>
      </c>
      <c r="S15" s="9">
        <v>42.572223663330078</v>
      </c>
      <c r="T15" s="9">
        <v>43.397438049316406</v>
      </c>
      <c r="U15" s="9">
        <v>43.494880676269531</v>
      </c>
      <c r="V15" s="9">
        <v>44.692707061767578</v>
      </c>
      <c r="W15" s="9">
        <v>44.481971740722656</v>
      </c>
      <c r="X15" s="9">
        <v>44.459968566894531</v>
      </c>
      <c r="Y15" s="9">
        <v>44.558788299560547</v>
      </c>
      <c r="Z15" s="9">
        <v>44.321529388427734</v>
      </c>
      <c r="AA15" s="9">
        <v>44.219833374023438</v>
      </c>
      <c r="AB15" s="9">
        <v>44.061756134033203</v>
      </c>
      <c r="AC15" s="9">
        <v>45.157318115234375</v>
      </c>
      <c r="AD15" s="9">
        <v>45.040367126464844</v>
      </c>
      <c r="AE15" s="9">
        <v>44.618080139160156</v>
      </c>
      <c r="AG15" s="9">
        <f t="shared" si="0"/>
        <v>43.951758991588243</v>
      </c>
    </row>
    <row r="16" spans="1:33" x14ac:dyDescent="0.2">
      <c r="A16" s="7" t="s">
        <v>91</v>
      </c>
      <c r="B16" s="7" t="s">
        <v>92</v>
      </c>
      <c r="C16" s="8"/>
      <c r="D16" s="8"/>
      <c r="E16" s="8"/>
      <c r="F16" s="9">
        <v>54.331394195556641</v>
      </c>
      <c r="G16" s="9">
        <v>52.126358032226563</v>
      </c>
      <c r="H16" s="9">
        <v>52.831188201904297</v>
      </c>
      <c r="I16" s="9">
        <v>51.765270233154297</v>
      </c>
      <c r="J16" s="9">
        <v>51.343662261962891</v>
      </c>
      <c r="K16" s="9">
        <v>51.223880767822266</v>
      </c>
      <c r="L16" s="9">
        <v>50.866897583007813</v>
      </c>
      <c r="M16" s="9">
        <v>50.200000762939453</v>
      </c>
      <c r="N16" s="9">
        <v>49.779575347900391</v>
      </c>
      <c r="O16" s="9">
        <v>49.520904541015625</v>
      </c>
      <c r="P16" s="9">
        <v>50.268169403076172</v>
      </c>
      <c r="Q16" s="9">
        <v>51.018352508544922</v>
      </c>
      <c r="R16" s="9">
        <v>52.0284423828125</v>
      </c>
      <c r="S16" s="9">
        <v>51.715129852294922</v>
      </c>
      <c r="T16" s="9">
        <v>51.005847930908203</v>
      </c>
      <c r="U16" s="9">
        <v>50.947654724121094</v>
      </c>
      <c r="V16" s="9">
        <v>52.040351867675781</v>
      </c>
      <c r="W16" s="9">
        <v>51.773330688476563</v>
      </c>
      <c r="X16" s="9">
        <v>51.476146697998047</v>
      </c>
      <c r="Y16" s="9">
        <v>51.216865539550781</v>
      </c>
      <c r="Z16" s="9">
        <v>50.396568298339844</v>
      </c>
      <c r="AA16" s="9">
        <v>49.445796966552734</v>
      </c>
      <c r="AB16" s="9">
        <v>50.340568542480469</v>
      </c>
      <c r="AC16" s="9">
        <v>49.765403747558594</v>
      </c>
      <c r="AD16" s="9">
        <v>48.675910949707031</v>
      </c>
      <c r="AE16" s="9">
        <v>47.467250823974609</v>
      </c>
      <c r="AG16" s="9">
        <f t="shared" si="0"/>
        <v>51.126063953746446</v>
      </c>
    </row>
    <row r="17" spans="1:33" x14ac:dyDescent="0.2">
      <c r="A17" s="7" t="s">
        <v>93</v>
      </c>
      <c r="B17" s="7" t="s">
        <v>94</v>
      </c>
      <c r="C17" s="8"/>
      <c r="D17" s="8"/>
      <c r="E17" s="8"/>
      <c r="F17" s="9">
        <v>29.402215957641602</v>
      </c>
      <c r="G17" s="9">
        <v>28.883831024169922</v>
      </c>
      <c r="H17" s="9">
        <v>29.571083068847656</v>
      </c>
      <c r="I17" s="9">
        <v>29.820093154907227</v>
      </c>
      <c r="J17" s="9">
        <v>29.777332305908203</v>
      </c>
      <c r="K17" s="9">
        <v>29.215089797973633</v>
      </c>
      <c r="L17" s="9">
        <v>28.726066589355469</v>
      </c>
      <c r="M17" s="9">
        <v>29.399999618530273</v>
      </c>
      <c r="N17" s="9">
        <v>29.301925659179688</v>
      </c>
      <c r="O17" s="9">
        <v>28.996831893920898</v>
      </c>
      <c r="P17" s="9">
        <v>29.074056625366211</v>
      </c>
      <c r="Q17" s="9">
        <v>29.694334030151367</v>
      </c>
      <c r="R17" s="9">
        <v>29.738864898681641</v>
      </c>
      <c r="S17" s="9">
        <v>29.564233779907227</v>
      </c>
      <c r="T17" s="9">
        <v>28.882707595825195</v>
      </c>
      <c r="U17" s="9">
        <v>28.798896789550781</v>
      </c>
      <c r="V17" s="9">
        <v>29.075515747070313</v>
      </c>
      <c r="W17" s="9">
        <v>28.223840713500977</v>
      </c>
      <c r="X17" s="9">
        <v>27.955837249755859</v>
      </c>
      <c r="Y17" s="9">
        <v>27.458427429199219</v>
      </c>
      <c r="Z17" s="9">
        <v>27.350276947021484</v>
      </c>
      <c r="AA17" s="9">
        <v>27.203279495239258</v>
      </c>
      <c r="AB17" s="9">
        <v>27.041908264160156</v>
      </c>
      <c r="AC17" s="9">
        <v>26.508583068847656</v>
      </c>
      <c r="AD17" s="9">
        <v>26.227256774902344</v>
      </c>
      <c r="AE17" s="9">
        <v>26.586643218994141</v>
      </c>
      <c r="AG17" s="9">
        <f t="shared" si="0"/>
        <v>28.299435355446555</v>
      </c>
    </row>
    <row r="18" spans="1:33" x14ac:dyDescent="0.2">
      <c r="A18" s="7" t="s">
        <v>95</v>
      </c>
      <c r="B18" s="7" t="s">
        <v>96</v>
      </c>
      <c r="C18" s="8"/>
      <c r="D18" s="8"/>
      <c r="E18" s="8"/>
      <c r="F18" s="9">
        <v>67.62847900390625</v>
      </c>
      <c r="G18" s="9">
        <v>67.597541809082031</v>
      </c>
      <c r="H18" s="9">
        <v>67.357719421386719</v>
      </c>
      <c r="I18" s="9">
        <v>66.539009094238281</v>
      </c>
      <c r="J18" s="9">
        <v>66.122146606445313</v>
      </c>
      <c r="K18" s="9">
        <v>65.554084777832031</v>
      </c>
      <c r="L18" s="9">
        <v>66.794235229492188</v>
      </c>
      <c r="M18" s="9">
        <v>67.099998474121094</v>
      </c>
      <c r="N18" s="9">
        <v>68.174629211425781</v>
      </c>
      <c r="O18" s="9">
        <v>68.228462219238281</v>
      </c>
      <c r="P18" s="9">
        <v>68.568466186523438</v>
      </c>
      <c r="Q18" s="9">
        <v>68.190521240234375</v>
      </c>
      <c r="R18" s="9">
        <v>68.46221923828125</v>
      </c>
      <c r="S18" s="9">
        <v>67.029991149902344</v>
      </c>
      <c r="T18" s="9">
        <v>66.160575866699219</v>
      </c>
      <c r="U18" s="9">
        <v>64.140251159667969</v>
      </c>
      <c r="V18" s="9">
        <v>65.132675170898438</v>
      </c>
      <c r="W18" s="9">
        <v>63.967029571533203</v>
      </c>
      <c r="X18" s="9">
        <v>63.146530151367188</v>
      </c>
      <c r="Y18" s="9">
        <v>62.250804901123047</v>
      </c>
      <c r="Z18" s="9">
        <v>61.840763092041016</v>
      </c>
      <c r="AA18" s="9">
        <v>62.378871917724609</v>
      </c>
      <c r="AB18" s="9">
        <v>64.478179931640625</v>
      </c>
      <c r="AC18" s="9">
        <v>64.083572387695313</v>
      </c>
      <c r="AD18" s="9">
        <v>63.047313690185547</v>
      </c>
      <c r="AE18" s="9">
        <v>62.769359588623047</v>
      </c>
      <c r="AG18" s="9">
        <f t="shared" si="0"/>
        <v>64.453444740988985</v>
      </c>
    </row>
    <row r="19" spans="1:33" x14ac:dyDescent="0.2">
      <c r="A19" s="7" t="s">
        <v>97</v>
      </c>
      <c r="B19" s="7" t="s">
        <v>98</v>
      </c>
      <c r="C19" s="8"/>
      <c r="D19" s="8"/>
      <c r="E19" s="8"/>
      <c r="F19" s="9">
        <v>33.451629638671875</v>
      </c>
      <c r="G19" s="9">
        <v>36.004776000976563</v>
      </c>
      <c r="H19" s="9">
        <v>36.366584777832031</v>
      </c>
      <c r="I19" s="9">
        <v>35.521228790283203</v>
      </c>
      <c r="J19" s="9">
        <v>34.289798736572266</v>
      </c>
      <c r="K19" s="9">
        <v>34.719326019287109</v>
      </c>
      <c r="L19" s="9">
        <v>35.088897705078125</v>
      </c>
      <c r="M19" s="9">
        <v>34.099998474121094</v>
      </c>
      <c r="N19" s="9">
        <v>33.668098449707031</v>
      </c>
      <c r="O19" s="9">
        <v>35.128250122070313</v>
      </c>
      <c r="P19" s="9">
        <v>34.898269653320313</v>
      </c>
      <c r="Q19" s="9">
        <v>34.123298645019531</v>
      </c>
      <c r="R19" s="9">
        <v>33.615802764892578</v>
      </c>
      <c r="S19" s="9">
        <v>33.62664794921875</v>
      </c>
      <c r="T19" s="9">
        <v>33.505928039550781</v>
      </c>
      <c r="U19" s="9">
        <v>32.882659912109375</v>
      </c>
      <c r="V19" s="9">
        <v>33.551460266113281</v>
      </c>
      <c r="W19" s="9">
        <v>33.695980072021484</v>
      </c>
      <c r="X19" s="9">
        <v>33.646381378173828</v>
      </c>
      <c r="Y19" s="9">
        <v>33.499637603759766</v>
      </c>
      <c r="Z19" s="9">
        <v>33.083362579345703</v>
      </c>
      <c r="AA19" s="9">
        <v>33.043983459472656</v>
      </c>
      <c r="AB19" s="9">
        <v>32.674335479736328</v>
      </c>
      <c r="AC19" s="9">
        <v>31.801973342895508</v>
      </c>
      <c r="AD19" s="9">
        <v>31.069732666015625</v>
      </c>
      <c r="AE19" s="9">
        <v>30.699090957641602</v>
      </c>
      <c r="AG19" s="9">
        <f t="shared" si="0"/>
        <v>33.3478345003995</v>
      </c>
    </row>
    <row r="20" spans="1:33" x14ac:dyDescent="0.2">
      <c r="A20" s="7" t="s">
        <v>4</v>
      </c>
      <c r="B20" s="7" t="s">
        <v>36</v>
      </c>
      <c r="C20" s="8"/>
      <c r="D20" s="8"/>
      <c r="E20" s="8"/>
      <c r="F20" s="9">
        <v>34.803180694580078</v>
      </c>
      <c r="G20" s="9">
        <v>34.611660003662109</v>
      </c>
      <c r="H20" s="9">
        <v>34.643642425537109</v>
      </c>
      <c r="I20" s="9">
        <v>33.892982482910156</v>
      </c>
      <c r="J20" s="9">
        <v>33.865337371826172</v>
      </c>
      <c r="K20" s="9">
        <v>34.178112030029297</v>
      </c>
      <c r="L20" s="9">
        <v>33.669704437255859</v>
      </c>
      <c r="M20" s="9">
        <v>33.400001525878906</v>
      </c>
      <c r="N20" s="9">
        <v>33.343490600585938</v>
      </c>
      <c r="O20" s="9">
        <v>32.617763519287109</v>
      </c>
      <c r="P20" s="9">
        <v>32.573348999023438</v>
      </c>
      <c r="Q20" s="9">
        <v>32.508956909179688</v>
      </c>
      <c r="R20" s="9">
        <v>32.070167541503906</v>
      </c>
      <c r="S20" s="9">
        <v>31.315639495849609</v>
      </c>
      <c r="T20" s="9">
        <v>30.958087921142578</v>
      </c>
      <c r="U20" s="9">
        <v>31.484615325927734</v>
      </c>
      <c r="V20" s="9">
        <v>31.952648162841797</v>
      </c>
      <c r="W20" s="9">
        <v>31.439714431762695</v>
      </c>
      <c r="X20" s="9">
        <v>30.994655609130859</v>
      </c>
      <c r="Y20" s="9">
        <v>30.839265823364258</v>
      </c>
      <c r="Z20" s="9">
        <v>30.266412734985352</v>
      </c>
      <c r="AA20" s="9">
        <v>30.42912483215332</v>
      </c>
      <c r="AB20" s="9">
        <v>30.399785995483398</v>
      </c>
      <c r="AC20" s="9">
        <v>29.893619537353516</v>
      </c>
      <c r="AD20" s="9">
        <v>30.046268463134766</v>
      </c>
      <c r="AE20" s="9">
        <v>30.124382019042969</v>
      </c>
      <c r="AG20" s="9">
        <f t="shared" si="0"/>
        <v>31.104556170376863</v>
      </c>
    </row>
    <row r="21" spans="1:33" x14ac:dyDescent="0.2">
      <c r="A21" s="7" t="s">
        <v>99</v>
      </c>
      <c r="B21" s="7" t="s">
        <v>100</v>
      </c>
      <c r="C21" s="8"/>
      <c r="D21" s="8"/>
      <c r="E21" s="8"/>
      <c r="F21" s="9">
        <v>40.217464447021484</v>
      </c>
      <c r="G21" s="9">
        <v>40.146457672119141</v>
      </c>
      <c r="H21" s="9">
        <v>41.775020599365234</v>
      </c>
      <c r="I21" s="9">
        <v>40.953594207763672</v>
      </c>
      <c r="J21" s="9">
        <v>40.669288635253906</v>
      </c>
      <c r="K21" s="9">
        <v>41.579975128173828</v>
      </c>
      <c r="L21" s="9">
        <v>41.285415649414063</v>
      </c>
      <c r="M21" s="9">
        <v>39.799999237060547</v>
      </c>
      <c r="N21" s="9">
        <v>40.424415588378906</v>
      </c>
      <c r="O21" s="9">
        <v>41.002220153808594</v>
      </c>
      <c r="P21" s="9">
        <v>39.722621917724609</v>
      </c>
      <c r="Q21" s="9">
        <v>39.073135375976563</v>
      </c>
      <c r="R21" s="9">
        <v>39.538654327392578</v>
      </c>
      <c r="S21" s="9">
        <v>39.672092437744141</v>
      </c>
      <c r="T21" s="9">
        <v>38.875312805175781</v>
      </c>
      <c r="U21" s="9">
        <v>38.023048400878906</v>
      </c>
      <c r="V21" s="9">
        <v>39.091640472412109</v>
      </c>
      <c r="W21" s="9">
        <v>37.629615783691406</v>
      </c>
      <c r="X21" s="9">
        <v>36.931423187255859</v>
      </c>
      <c r="Y21" s="9">
        <v>36.621109008789063</v>
      </c>
      <c r="Z21" s="9">
        <v>36.718540191650391</v>
      </c>
      <c r="AA21" s="9">
        <v>37.130962371826172</v>
      </c>
      <c r="AB21" s="9">
        <v>38.709266662597656</v>
      </c>
      <c r="AC21" s="9">
        <v>40.155719757080078</v>
      </c>
      <c r="AD21" s="9">
        <v>40.069507598876953</v>
      </c>
      <c r="AE21" s="9">
        <v>39.982784271240234</v>
      </c>
      <c r="AG21" s="9">
        <f t="shared" si="0"/>
        <v>38.085605968128554</v>
      </c>
    </row>
    <row r="22" spans="1:33" x14ac:dyDescent="0.2">
      <c r="A22" s="7" t="s">
        <v>101</v>
      </c>
      <c r="B22" s="7" t="s">
        <v>102</v>
      </c>
      <c r="C22" s="8"/>
      <c r="D22" s="8"/>
      <c r="E22" s="8"/>
      <c r="F22" s="9">
        <v>30.431640625</v>
      </c>
      <c r="G22" s="9">
        <v>30.53889274597168</v>
      </c>
      <c r="H22" s="9">
        <v>30.185932159423828</v>
      </c>
      <c r="I22" s="9">
        <v>29.978492736816406</v>
      </c>
      <c r="J22" s="9">
        <v>30.585338592529297</v>
      </c>
      <c r="K22" s="9">
        <v>31.753917694091797</v>
      </c>
      <c r="L22" s="9">
        <v>31.708431243896484</v>
      </c>
      <c r="M22" s="9">
        <v>31.100000381469727</v>
      </c>
      <c r="N22" s="9">
        <v>31.378654479980469</v>
      </c>
      <c r="O22" s="9">
        <v>30.729063034057617</v>
      </c>
      <c r="P22" s="9">
        <v>30.295003890991211</v>
      </c>
      <c r="Q22" s="9">
        <v>30.58808708190918</v>
      </c>
      <c r="R22" s="9">
        <v>30.015670776367188</v>
      </c>
      <c r="S22" s="9">
        <v>29.085315704345703</v>
      </c>
      <c r="T22" s="9">
        <v>29.853578567504883</v>
      </c>
      <c r="U22" s="9">
        <v>29.815729141235352</v>
      </c>
      <c r="V22" s="9">
        <v>31.220888137817383</v>
      </c>
      <c r="W22" s="9">
        <v>30.922063827514648</v>
      </c>
      <c r="X22" s="9">
        <v>30.006052017211914</v>
      </c>
      <c r="Y22" s="9">
        <v>30.134832382202148</v>
      </c>
      <c r="Z22" s="9">
        <v>31.022716522216797</v>
      </c>
      <c r="AA22" s="9">
        <v>31.678426742553711</v>
      </c>
      <c r="AB22" s="9">
        <v>32.795761108398438</v>
      </c>
      <c r="AC22" s="9">
        <v>33.818710327148438</v>
      </c>
      <c r="AD22" s="9">
        <v>33.936405181884766</v>
      </c>
      <c r="AE22" s="9">
        <v>33.568313598632813</v>
      </c>
      <c r="AG22" s="9">
        <f t="shared" si="0"/>
        <v>30.595548629760742</v>
      </c>
    </row>
    <row r="23" spans="1:33" x14ac:dyDescent="0.2">
      <c r="A23" s="7" t="s">
        <v>103</v>
      </c>
      <c r="B23" s="7" t="s">
        <v>104</v>
      </c>
      <c r="C23" s="8"/>
      <c r="D23" s="8"/>
      <c r="E23" s="8"/>
      <c r="F23" s="9">
        <v>37.006935119628906</v>
      </c>
      <c r="G23" s="9">
        <v>36.405750274658203</v>
      </c>
      <c r="H23" s="9">
        <v>35.651958465576172</v>
      </c>
      <c r="I23" s="9">
        <v>35.266345977783203</v>
      </c>
      <c r="J23" s="9">
        <v>34.938682556152344</v>
      </c>
      <c r="K23" s="9">
        <v>36.508056640625</v>
      </c>
      <c r="L23" s="9">
        <v>37.026935577392578</v>
      </c>
      <c r="M23" s="9">
        <v>36.900001525878906</v>
      </c>
      <c r="N23" s="9">
        <v>36.642448425292969</v>
      </c>
      <c r="O23" s="9">
        <v>36.067527770996094</v>
      </c>
      <c r="P23" s="9">
        <v>36.101345062255859</v>
      </c>
      <c r="Q23" s="9">
        <v>35.507205963134766</v>
      </c>
      <c r="R23" s="9">
        <v>34.740612030029297</v>
      </c>
      <c r="S23" s="9">
        <v>34.741714477539063</v>
      </c>
      <c r="T23" s="9">
        <v>33.821376800537109</v>
      </c>
      <c r="U23" s="9">
        <v>33.637771606445313</v>
      </c>
      <c r="V23" s="9">
        <v>33.405864715576172</v>
      </c>
      <c r="W23" s="9">
        <v>33.539966583251953</v>
      </c>
      <c r="X23" s="9">
        <v>33.300876617431641</v>
      </c>
      <c r="Y23" s="9">
        <v>33.260654449462891</v>
      </c>
      <c r="Z23" s="9">
        <v>33.572265625</v>
      </c>
      <c r="AA23" s="9">
        <v>33.429447174072266</v>
      </c>
      <c r="AB23" s="9">
        <v>32.690078735351563</v>
      </c>
      <c r="AC23" s="9">
        <v>32.089542388916016</v>
      </c>
      <c r="AD23" s="9">
        <v>31.818986892700195</v>
      </c>
      <c r="AE23" s="9">
        <v>31.753782272338867</v>
      </c>
      <c r="AG23" s="9">
        <f t="shared" si="0"/>
        <v>33.64914807406339</v>
      </c>
    </row>
    <row r="24" spans="1:33" x14ac:dyDescent="0.2">
      <c r="A24" s="7" t="s">
        <v>5</v>
      </c>
      <c r="B24" s="7" t="s">
        <v>37</v>
      </c>
      <c r="C24" s="8"/>
      <c r="D24" s="8"/>
      <c r="E24" s="8"/>
      <c r="F24" s="9">
        <v>44.383132934570313</v>
      </c>
      <c r="G24" s="9">
        <v>45.151462554931641</v>
      </c>
      <c r="H24" s="9">
        <v>42.662868499755859</v>
      </c>
      <c r="I24" s="9">
        <v>42.839672088623047</v>
      </c>
      <c r="J24" s="9">
        <v>42.231880187988281</v>
      </c>
      <c r="K24" s="9">
        <v>41.605667114257813</v>
      </c>
      <c r="L24" s="9">
        <v>40.488563537597656</v>
      </c>
      <c r="M24" s="9">
        <v>41.400001525878899</v>
      </c>
      <c r="N24" s="9">
        <v>40.902835845947266</v>
      </c>
      <c r="O24" s="9">
        <v>41.476146697998047</v>
      </c>
      <c r="P24" s="9">
        <v>40.536891937255859</v>
      </c>
      <c r="Q24" s="9">
        <v>40.497035980224609</v>
      </c>
      <c r="R24" s="9">
        <v>40.137527465820313</v>
      </c>
      <c r="S24" s="9">
        <v>40.365200042724609</v>
      </c>
      <c r="T24" s="9">
        <v>41.312545776367188</v>
      </c>
      <c r="U24" s="9">
        <v>39.946617126464844</v>
      </c>
      <c r="V24" s="9">
        <v>40.307666778564453</v>
      </c>
      <c r="W24" s="9">
        <v>39.935665130615234</v>
      </c>
      <c r="X24" s="9">
        <v>39.623973846435547</v>
      </c>
      <c r="Y24" s="9">
        <v>39.524848937988281</v>
      </c>
      <c r="Z24" s="9">
        <v>39.497940063476563</v>
      </c>
      <c r="AA24" s="9">
        <v>39.235431671142578</v>
      </c>
      <c r="AB24" s="9">
        <v>39.321399688720703</v>
      </c>
      <c r="AC24" s="9">
        <v>39.034542083740234</v>
      </c>
      <c r="AD24" s="9">
        <v>38.727634429931641</v>
      </c>
      <c r="AE24" s="9">
        <v>38.239151000976563</v>
      </c>
      <c r="AG24" s="9">
        <f t="shared" si="0"/>
        <v>39.928074229847304</v>
      </c>
    </row>
    <row r="25" spans="1:33" x14ac:dyDescent="0.2">
      <c r="A25" s="7" t="s">
        <v>105</v>
      </c>
      <c r="B25" s="7" t="s">
        <v>106</v>
      </c>
      <c r="C25" s="8"/>
      <c r="D25" s="8"/>
      <c r="E25" s="8"/>
      <c r="F25" s="9">
        <v>33.917076110839844</v>
      </c>
      <c r="G25" s="9">
        <v>34.821617126464844</v>
      </c>
      <c r="H25" s="9">
        <v>37.023666381835938</v>
      </c>
      <c r="I25" s="9">
        <v>39.354461669921875</v>
      </c>
      <c r="J25" s="9">
        <v>39.423049926757813</v>
      </c>
      <c r="K25" s="9">
        <v>38.671768188476563</v>
      </c>
      <c r="L25" s="9">
        <v>39.071067810058594</v>
      </c>
      <c r="M25" s="9">
        <v>39.5</v>
      </c>
      <c r="N25" s="9">
        <v>40.479228973388672</v>
      </c>
      <c r="O25" s="9">
        <v>40.110210418701172</v>
      </c>
      <c r="P25" s="9">
        <v>41.227649688720703</v>
      </c>
      <c r="Q25" s="9">
        <v>41.048957824707031</v>
      </c>
      <c r="R25" s="9">
        <v>39.461669921875</v>
      </c>
      <c r="S25" s="9">
        <v>38.961898803710938</v>
      </c>
      <c r="T25" s="9">
        <v>39.487819671630859</v>
      </c>
      <c r="U25" s="9">
        <v>39.388893127441406</v>
      </c>
      <c r="V25" s="9">
        <v>38.934112548828125</v>
      </c>
      <c r="W25" s="9">
        <v>39.132606506347656</v>
      </c>
      <c r="X25" s="9">
        <v>39.110469818115234</v>
      </c>
      <c r="Y25" s="9">
        <v>39.164100646972656</v>
      </c>
      <c r="Z25" s="9">
        <v>39.032768249511719</v>
      </c>
      <c r="AA25" s="9">
        <v>38.786716461181641</v>
      </c>
      <c r="AB25" s="9">
        <v>39.370147705078125</v>
      </c>
      <c r="AC25" s="9">
        <v>40.140518188476563</v>
      </c>
      <c r="AD25" s="9">
        <v>40.244449615478516</v>
      </c>
      <c r="AE25" s="9">
        <v>40.413516998291016</v>
      </c>
      <c r="AG25" s="9">
        <f t="shared" si="0"/>
        <v>39.166473041881211</v>
      </c>
    </row>
    <row r="26" spans="1:33" x14ac:dyDescent="0.2">
      <c r="A26" s="7" t="s">
        <v>107</v>
      </c>
      <c r="B26" s="7" t="s">
        <v>40</v>
      </c>
      <c r="C26" s="8"/>
      <c r="D26" s="8"/>
      <c r="E26" s="8"/>
      <c r="F26" s="9">
        <v>40.022228240966797</v>
      </c>
      <c r="G26" s="9">
        <v>38.906600952148438</v>
      </c>
      <c r="H26" s="9">
        <v>39.222850799560547</v>
      </c>
      <c r="I26" s="9">
        <v>37.895858764648438</v>
      </c>
      <c r="J26" s="9">
        <v>38.315212249755859</v>
      </c>
      <c r="K26" s="9">
        <v>36.814907073974609</v>
      </c>
      <c r="L26" s="9">
        <v>36.401397705078125</v>
      </c>
      <c r="M26" s="9">
        <v>36.099998474121094</v>
      </c>
      <c r="N26" s="9">
        <v>35.807956695556641</v>
      </c>
      <c r="O26" s="9">
        <v>36.449680328369141</v>
      </c>
      <c r="P26" s="9">
        <v>36.825557708740234</v>
      </c>
      <c r="Q26" s="9">
        <v>37.055709838867188</v>
      </c>
      <c r="R26" s="9">
        <v>37.193363189697266</v>
      </c>
      <c r="S26" s="9">
        <v>35.489025115966797</v>
      </c>
      <c r="T26" s="9">
        <v>34.772102355957031</v>
      </c>
      <c r="U26" s="9">
        <v>34.651309967041016</v>
      </c>
      <c r="V26" s="9">
        <v>35.402099609375</v>
      </c>
      <c r="W26" s="9">
        <v>35.471267700195313</v>
      </c>
      <c r="X26" s="9">
        <v>35.020259857177734</v>
      </c>
      <c r="Y26" s="9">
        <v>34.354885101318359</v>
      </c>
      <c r="Z26" s="9">
        <v>34.36981201171875</v>
      </c>
      <c r="AA26" s="9">
        <v>35.168983459472656</v>
      </c>
      <c r="AB26" s="9">
        <v>35.509746551513672</v>
      </c>
      <c r="AC26" s="9">
        <v>34.924938201904297</v>
      </c>
      <c r="AD26" s="9">
        <v>35.248298645019531</v>
      </c>
      <c r="AE26" s="9">
        <v>34.613147735595703</v>
      </c>
      <c r="AG26" s="9">
        <f t="shared" si="0"/>
        <v>35.218441356312148</v>
      </c>
    </row>
    <row r="27" spans="1:33" x14ac:dyDescent="0.2">
      <c r="A27" s="7" t="s">
        <v>6</v>
      </c>
      <c r="B27" s="7" t="s">
        <v>38</v>
      </c>
      <c r="C27" s="8"/>
      <c r="D27" s="8"/>
      <c r="E27" s="8"/>
      <c r="F27" s="9">
        <v>48.378963470458984</v>
      </c>
      <c r="G27" s="9">
        <v>52.402107238769531</v>
      </c>
      <c r="H27" s="9">
        <v>50.160556793212891</v>
      </c>
      <c r="I27" s="9">
        <v>50.534347534179688</v>
      </c>
      <c r="J27" s="9">
        <v>50.618106842041016</v>
      </c>
      <c r="K27" s="9">
        <v>50.388740539550781</v>
      </c>
      <c r="L27" s="9">
        <v>50.161338806152344</v>
      </c>
      <c r="M27" s="9">
        <v>50.099998474121094</v>
      </c>
      <c r="N27" s="9">
        <v>49.665531158447266</v>
      </c>
      <c r="O27" s="9">
        <v>51.887199401855469</v>
      </c>
      <c r="P27" s="9">
        <v>51.661544799804688</v>
      </c>
      <c r="Q27" s="9">
        <v>50.300235748291016</v>
      </c>
      <c r="R27" s="9">
        <v>49.477798461914063</v>
      </c>
      <c r="S27" s="9">
        <v>48.389308929443359</v>
      </c>
      <c r="T27" s="9">
        <v>48.212314605712891</v>
      </c>
      <c r="U27" s="9">
        <v>47.975479125976563</v>
      </c>
      <c r="V27" s="9">
        <v>48.36236572265625</v>
      </c>
      <c r="W27" s="9">
        <v>48.466415405273438</v>
      </c>
      <c r="X27" s="9">
        <v>47.664127349853516</v>
      </c>
      <c r="Y27" s="9">
        <v>47.004268646240234</v>
      </c>
      <c r="Z27" s="9">
        <v>46.794094085693359</v>
      </c>
      <c r="AA27" s="9">
        <v>45.91656494140625</v>
      </c>
      <c r="AB27" s="9">
        <v>45.414249420166016</v>
      </c>
      <c r="AC27" s="9">
        <v>45.028274536132813</v>
      </c>
      <c r="AD27" s="9">
        <v>44.498054504394531</v>
      </c>
      <c r="AE27" s="9">
        <v>43.678634643554688</v>
      </c>
      <c r="AG27" s="9">
        <f t="shared" si="0"/>
        <v>47.606998790394179</v>
      </c>
    </row>
    <row r="28" spans="1:33" x14ac:dyDescent="0.2">
      <c r="A28" s="7" t="s">
        <v>7</v>
      </c>
      <c r="B28" s="7" t="s">
        <v>39</v>
      </c>
      <c r="C28" s="8"/>
      <c r="D28" s="8"/>
      <c r="E28" s="8"/>
      <c r="F28" s="9">
        <v>33.917526245117188</v>
      </c>
      <c r="G28" s="9">
        <v>33.617038726806641</v>
      </c>
      <c r="H28" s="9">
        <v>33.042335510253906</v>
      </c>
      <c r="I28" s="9">
        <v>34.206745147705078</v>
      </c>
      <c r="J28" s="9">
        <v>33.591529846191406</v>
      </c>
      <c r="K28" s="9">
        <v>33.075202941894531</v>
      </c>
      <c r="L28" s="9">
        <v>33.071506500244141</v>
      </c>
      <c r="M28" s="9">
        <v>32.799999237060547</v>
      </c>
      <c r="N28" s="9">
        <v>33.469825744628906</v>
      </c>
      <c r="O28" s="9">
        <v>33.169269561767578</v>
      </c>
      <c r="P28" s="9">
        <v>32.528678894042969</v>
      </c>
      <c r="Q28" s="9">
        <v>32.11785888671875</v>
      </c>
      <c r="R28" s="9">
        <v>32.412136077880859</v>
      </c>
      <c r="S28" s="9">
        <v>31.97998046875</v>
      </c>
      <c r="T28" s="9">
        <v>31.571002960205078</v>
      </c>
      <c r="U28" s="9">
        <v>31.905033111572266</v>
      </c>
      <c r="V28" s="9">
        <v>32.389270782470703</v>
      </c>
      <c r="W28" s="9">
        <v>32.246955871582031</v>
      </c>
      <c r="X28" s="9">
        <v>32.558223724365234</v>
      </c>
      <c r="Y28" s="9">
        <v>32.464687347412109</v>
      </c>
      <c r="Z28" s="9">
        <v>32.309207916259766</v>
      </c>
      <c r="AA28" s="9">
        <v>31.625101089477539</v>
      </c>
      <c r="AB28" s="9">
        <v>31.358932495117188</v>
      </c>
      <c r="AC28" s="9">
        <v>31.007297515869141</v>
      </c>
      <c r="AD28" s="9">
        <v>30.403495788574219</v>
      </c>
      <c r="AE28" s="9">
        <v>30.182653427124023</v>
      </c>
      <c r="AG28" s="9">
        <f t="shared" si="0"/>
        <v>32.074593804099344</v>
      </c>
    </row>
    <row r="29" spans="1:33" x14ac:dyDescent="0.2">
      <c r="A29" s="7" t="s">
        <v>108</v>
      </c>
      <c r="B29" s="7" t="s">
        <v>109</v>
      </c>
      <c r="C29" s="8"/>
      <c r="D29" s="8"/>
      <c r="E29" s="8"/>
      <c r="F29" s="9">
        <v>18.102666854858398</v>
      </c>
      <c r="G29" s="9">
        <v>17.656156539916992</v>
      </c>
      <c r="H29" s="9">
        <v>17.312841415405273</v>
      </c>
      <c r="I29" s="9">
        <v>17.180191040039063</v>
      </c>
      <c r="J29" s="9">
        <v>16.733913421630859</v>
      </c>
      <c r="K29" s="9">
        <v>16.483722686767578</v>
      </c>
      <c r="L29" s="9">
        <v>16.229915618896484</v>
      </c>
      <c r="M29" s="9">
        <v>16</v>
      </c>
      <c r="N29" s="9">
        <v>16.110250473022461</v>
      </c>
      <c r="O29" s="9">
        <v>16.133052825927734</v>
      </c>
      <c r="P29" s="9">
        <v>15.970447540283203</v>
      </c>
      <c r="Q29" s="9">
        <v>15.811032295227051</v>
      </c>
      <c r="R29" s="9">
        <v>15.591128349304199</v>
      </c>
      <c r="S29" s="9">
        <v>15.46384334564209</v>
      </c>
      <c r="T29" s="9">
        <v>15.362961769104004</v>
      </c>
      <c r="U29" s="9">
        <v>15.436032295227051</v>
      </c>
      <c r="V29" s="9">
        <v>16.303483963012695</v>
      </c>
      <c r="W29" s="9">
        <v>16.055892944335938</v>
      </c>
      <c r="X29" s="9">
        <v>15.85569953918457</v>
      </c>
      <c r="Y29" s="9">
        <v>15.807816505432129</v>
      </c>
      <c r="Z29" s="9">
        <v>15.646928787231445</v>
      </c>
      <c r="AA29" s="9">
        <v>15.494148254394531</v>
      </c>
      <c r="AB29" s="9">
        <v>15.620766639709473</v>
      </c>
      <c r="AC29" s="9">
        <v>15.636107444763184</v>
      </c>
      <c r="AD29" s="9">
        <v>15.35033130645752</v>
      </c>
      <c r="AE29" s="9">
        <v>15.482667922973633</v>
      </c>
      <c r="AG29" s="9">
        <f t="shared" si="0"/>
        <v>15.694427490234375</v>
      </c>
    </row>
    <row r="30" spans="1:33" x14ac:dyDescent="0.2">
      <c r="A30" s="7" t="s">
        <v>110</v>
      </c>
      <c r="B30" s="7" t="s">
        <v>111</v>
      </c>
      <c r="C30" s="8"/>
      <c r="D30" s="8"/>
      <c r="E30" s="8"/>
      <c r="F30" s="9">
        <v>42.779945373535156</v>
      </c>
      <c r="G30" s="9">
        <v>42.580825805664063</v>
      </c>
      <c r="H30" s="9">
        <v>41.737678527832031</v>
      </c>
      <c r="I30" s="9">
        <v>42.412509918212891</v>
      </c>
      <c r="J30" s="9">
        <v>41.428153991699219</v>
      </c>
      <c r="K30" s="9">
        <v>40.969261169433594</v>
      </c>
      <c r="L30" s="9">
        <v>41.893226623535156</v>
      </c>
      <c r="M30" s="9">
        <v>42.599998474121094</v>
      </c>
      <c r="N30" s="9">
        <v>42.061874389648438</v>
      </c>
      <c r="O30" s="9">
        <v>42.000240325927734</v>
      </c>
      <c r="P30" s="9">
        <v>42.356761932373047</v>
      </c>
      <c r="Q30" s="9">
        <v>41.835075378417969</v>
      </c>
      <c r="R30" s="9">
        <v>42.010154724121094</v>
      </c>
      <c r="S30" s="9">
        <v>41.131046295166016</v>
      </c>
      <c r="T30" s="9">
        <v>40.663143157958984</v>
      </c>
      <c r="U30" s="9">
        <v>40.504116058349609</v>
      </c>
      <c r="V30" s="9">
        <v>39.592273712158203</v>
      </c>
      <c r="W30" s="9">
        <v>39.045139312744141</v>
      </c>
      <c r="X30" s="9">
        <v>38.037437438964844</v>
      </c>
      <c r="Y30" s="9">
        <v>37.843521118164063</v>
      </c>
      <c r="Z30" s="9">
        <v>45.118503570556641</v>
      </c>
      <c r="AA30" s="9">
        <v>45.114551544189453</v>
      </c>
      <c r="AB30" s="9">
        <v>44.501255035400391</v>
      </c>
      <c r="AC30" s="9">
        <v>43.951908111572266</v>
      </c>
      <c r="AD30" s="9">
        <v>43.515396118164063</v>
      </c>
      <c r="AE30" s="9">
        <v>43.040752410888672</v>
      </c>
      <c r="AG30" s="9">
        <f t="shared" si="0"/>
        <v>41.232831087979406</v>
      </c>
    </row>
    <row r="31" spans="1:33" x14ac:dyDescent="0.2">
      <c r="A31" s="7" t="s">
        <v>112</v>
      </c>
      <c r="B31" s="7" t="s">
        <v>113</v>
      </c>
      <c r="C31" s="8"/>
      <c r="D31" s="8"/>
      <c r="E31" s="8"/>
      <c r="F31" s="9">
        <v>46.914344787597656</v>
      </c>
      <c r="G31" s="9">
        <v>45.599861145019531</v>
      </c>
      <c r="H31" s="9">
        <v>46.176300048828125</v>
      </c>
      <c r="I31" s="9">
        <v>45.720493316650391</v>
      </c>
      <c r="J31" s="9">
        <v>46.319908142089844</v>
      </c>
      <c r="K31" s="9">
        <v>45.542682647705078</v>
      </c>
      <c r="L31" s="9">
        <v>46.382080078125</v>
      </c>
      <c r="M31" s="9">
        <v>46.200000762939453</v>
      </c>
      <c r="N31" s="9">
        <v>45.140979766845703</v>
      </c>
      <c r="O31" s="9">
        <v>48.066471099853516</v>
      </c>
      <c r="P31" s="9">
        <v>46.602409362792969</v>
      </c>
      <c r="Q31" s="9">
        <v>43.214931488037109</v>
      </c>
      <c r="R31" s="9">
        <v>43.330959320068359</v>
      </c>
      <c r="S31" s="9">
        <v>44.134544372558594</v>
      </c>
      <c r="T31" s="9">
        <v>44.973972320556641</v>
      </c>
      <c r="U31" s="9">
        <v>45.003505706787109</v>
      </c>
      <c r="V31" s="9">
        <v>45.111438751220703</v>
      </c>
      <c r="W31" s="9">
        <v>43.513809204101563</v>
      </c>
      <c r="X31" s="9">
        <v>44.840484619140625</v>
      </c>
      <c r="Y31" s="9">
        <v>43.984039306640625</v>
      </c>
      <c r="Z31" s="9">
        <v>44.320968627929688</v>
      </c>
      <c r="AA31" s="9">
        <v>42.552352905273438</v>
      </c>
      <c r="AB31" s="9">
        <v>42.359947204589844</v>
      </c>
      <c r="AC31" s="9">
        <v>44.044975280761719</v>
      </c>
      <c r="AD31" s="9">
        <v>44.459911346435547</v>
      </c>
      <c r="AE31" s="9">
        <v>43.871463775634766</v>
      </c>
      <c r="AG31" s="9">
        <f t="shared" si="0"/>
        <v>44.011456576260656</v>
      </c>
    </row>
    <row r="32" spans="1:33" x14ac:dyDescent="0.2">
      <c r="A32" s="7" t="s">
        <v>114</v>
      </c>
      <c r="B32" s="7" t="s">
        <v>115</v>
      </c>
      <c r="C32" s="8"/>
      <c r="D32" s="8"/>
      <c r="E32" s="8"/>
      <c r="F32" s="9">
        <v>19.858854293823242</v>
      </c>
      <c r="G32" s="9">
        <v>19.726314544677734</v>
      </c>
      <c r="H32" s="9">
        <v>19.434711456298828</v>
      </c>
      <c r="I32" s="9">
        <v>19.173913955688477</v>
      </c>
      <c r="J32" s="9">
        <v>19.132648468017578</v>
      </c>
      <c r="K32" s="9">
        <v>19.242702484130859</v>
      </c>
      <c r="L32" s="9">
        <v>19.909389495849609</v>
      </c>
      <c r="M32" s="9">
        <v>19.799999237060547</v>
      </c>
      <c r="N32" s="9">
        <v>19.75433349609375</v>
      </c>
      <c r="O32" s="9">
        <v>19.722112655639648</v>
      </c>
      <c r="P32" s="9">
        <v>19.413774490356445</v>
      </c>
      <c r="Q32" s="9">
        <v>19.175495147705078</v>
      </c>
      <c r="R32" s="9">
        <v>18.829994201660156</v>
      </c>
      <c r="S32" s="9">
        <v>18.712549209594727</v>
      </c>
      <c r="T32" s="9">
        <v>18.358034133911133</v>
      </c>
      <c r="U32" s="9">
        <v>18.661529541015625</v>
      </c>
      <c r="V32" s="9">
        <v>19.181606292724609</v>
      </c>
      <c r="W32" s="9">
        <v>18.760532379150391</v>
      </c>
      <c r="X32" s="9">
        <v>18.468145370483398</v>
      </c>
      <c r="Y32" s="9">
        <v>18.23066520690918</v>
      </c>
      <c r="Z32" s="9">
        <v>18.165090560913086</v>
      </c>
      <c r="AA32" s="9">
        <v>18.383901596069336</v>
      </c>
      <c r="AB32" s="9">
        <v>18.46617317199707</v>
      </c>
      <c r="AC32" s="9">
        <v>18.738636016845703</v>
      </c>
      <c r="AD32" s="9">
        <v>18.993856430053711</v>
      </c>
      <c r="AE32" s="9">
        <v>18.71794319152832</v>
      </c>
      <c r="AG32" s="9">
        <f t="shared" si="0"/>
        <v>18.56529287858443</v>
      </c>
    </row>
    <row r="33" spans="1:33" x14ac:dyDescent="0.2">
      <c r="A33" s="7" t="s">
        <v>116</v>
      </c>
      <c r="B33" s="7" t="s">
        <v>117</v>
      </c>
      <c r="C33" s="8"/>
      <c r="D33" s="8"/>
      <c r="E33" s="8"/>
      <c r="F33" s="9">
        <v>12.723530769348145</v>
      </c>
      <c r="G33" s="9">
        <v>12.65155029296875</v>
      </c>
      <c r="H33" s="9">
        <v>12.545943260192871</v>
      </c>
      <c r="I33" s="9">
        <v>12.657475471496582</v>
      </c>
      <c r="J33" s="9">
        <v>12.693989753723145</v>
      </c>
      <c r="K33" s="9">
        <v>12.882013320922852</v>
      </c>
      <c r="L33" s="9">
        <v>13.114932060241699</v>
      </c>
      <c r="M33" s="9">
        <v>13.100000381469727</v>
      </c>
      <c r="N33" s="9">
        <v>12.968157768249512</v>
      </c>
      <c r="O33" s="9">
        <v>12.811205863952637</v>
      </c>
      <c r="P33" s="9">
        <v>12.583806037902832</v>
      </c>
      <c r="Q33" s="9">
        <v>12.394118309020996</v>
      </c>
      <c r="R33" s="9">
        <v>12.321646690368652</v>
      </c>
      <c r="S33" s="9">
        <v>12.156787872314453</v>
      </c>
      <c r="T33" s="9">
        <v>11.896355628967285</v>
      </c>
      <c r="U33" s="9">
        <v>11.976263046264648</v>
      </c>
      <c r="V33" s="9">
        <v>11.935626029968262</v>
      </c>
      <c r="W33" s="9">
        <v>11.730114936828613</v>
      </c>
      <c r="X33" s="9">
        <v>11.750119209289551</v>
      </c>
      <c r="Y33" s="9">
        <v>11.81053638458252</v>
      </c>
      <c r="Z33" s="9">
        <v>11.795101165771484</v>
      </c>
      <c r="AA33" s="9">
        <v>11.607217788696289</v>
      </c>
      <c r="AB33" s="9">
        <v>11.427549362182617</v>
      </c>
      <c r="AC33" s="9">
        <v>11.404531478881836</v>
      </c>
      <c r="AD33" s="9">
        <v>11.298336029052734</v>
      </c>
      <c r="AE33" s="9">
        <v>11.173120498657227</v>
      </c>
      <c r="AG33" s="9">
        <f t="shared" si="0"/>
        <v>11.85521073774858</v>
      </c>
    </row>
    <row r="34" spans="1:33" x14ac:dyDescent="0.2">
      <c r="A34" s="7" t="s">
        <v>118</v>
      </c>
      <c r="B34" s="7" t="s">
        <v>119</v>
      </c>
      <c r="C34" s="8"/>
      <c r="D34" s="8"/>
      <c r="E34" s="8"/>
      <c r="F34" s="9">
        <v>36.594375610351563</v>
      </c>
      <c r="G34" s="9">
        <v>36.433612823486328</v>
      </c>
      <c r="H34" s="9">
        <v>36.434249877929688</v>
      </c>
      <c r="I34" s="9">
        <v>37.862518310546875</v>
      </c>
      <c r="J34" s="9">
        <v>37.846729278564453</v>
      </c>
      <c r="K34" s="9">
        <v>38.03997802734375</v>
      </c>
      <c r="L34" s="9">
        <v>39.136260986328125</v>
      </c>
      <c r="M34" s="9">
        <v>39.099998474121094</v>
      </c>
      <c r="N34" s="9">
        <v>39.003250122070313</v>
      </c>
      <c r="O34" s="9">
        <v>38.927173614501953</v>
      </c>
      <c r="P34" s="9">
        <v>38.059982299804688</v>
      </c>
      <c r="Q34" s="9">
        <v>37.931182861328125</v>
      </c>
      <c r="R34" s="9">
        <v>37.442970275878906</v>
      </c>
      <c r="S34" s="9">
        <v>37.026031494140625</v>
      </c>
      <c r="T34" s="9">
        <v>36.373222351074219</v>
      </c>
      <c r="U34" s="9">
        <v>35.970951080322266</v>
      </c>
      <c r="V34" s="9">
        <v>36.603256225585938</v>
      </c>
      <c r="W34" s="9">
        <v>36.126243591308594</v>
      </c>
      <c r="X34" s="9">
        <v>35.259723663330078</v>
      </c>
      <c r="Y34" s="9">
        <v>35.037372589111328</v>
      </c>
      <c r="Z34" s="9">
        <v>34.790019989013672</v>
      </c>
      <c r="AA34" s="9">
        <v>34.851833343505859</v>
      </c>
      <c r="AB34" s="9">
        <v>34.677753448486328</v>
      </c>
      <c r="AC34" s="9">
        <v>34.489650726318359</v>
      </c>
      <c r="AD34" s="9">
        <v>34.791431427001953</v>
      </c>
      <c r="AE34" s="9">
        <v>34.89202880859375</v>
      </c>
      <c r="AG34" s="9">
        <f t="shared" si="0"/>
        <v>35.832670731977984</v>
      </c>
    </row>
    <row r="35" spans="1:33" x14ac:dyDescent="0.2">
      <c r="A35" s="7" t="s">
        <v>120</v>
      </c>
      <c r="B35" s="7" t="s">
        <v>121</v>
      </c>
      <c r="C35" s="8"/>
      <c r="D35" s="8"/>
      <c r="E35" s="8"/>
      <c r="F35" s="9">
        <v>39.651592254638672</v>
      </c>
      <c r="G35" s="9">
        <v>42.734615325927734</v>
      </c>
      <c r="H35" s="9">
        <v>42.342327117919922</v>
      </c>
      <c r="I35" s="9">
        <v>43.084846496582031</v>
      </c>
      <c r="J35" s="9">
        <v>42.501186370849609</v>
      </c>
      <c r="K35" s="9">
        <v>42.58258056640625</v>
      </c>
      <c r="L35" s="9">
        <v>42.438163757324219</v>
      </c>
      <c r="M35" s="9">
        <v>39.599998474121094</v>
      </c>
      <c r="N35" s="9">
        <v>40.094272613525391</v>
      </c>
      <c r="O35" s="9">
        <v>39.851932525634766</v>
      </c>
      <c r="P35" s="9">
        <v>40.111087799072266</v>
      </c>
      <c r="Q35" s="9">
        <v>40.456577301025391</v>
      </c>
      <c r="R35" s="9">
        <v>39.569091796875</v>
      </c>
      <c r="S35" s="9">
        <v>39.621696472167969</v>
      </c>
      <c r="T35" s="9">
        <v>40.375896453857422</v>
      </c>
      <c r="U35" s="9">
        <v>39.972076416015625</v>
      </c>
      <c r="V35" s="9">
        <v>39.594078063964844</v>
      </c>
      <c r="W35" s="9">
        <v>38.872161865234375</v>
      </c>
      <c r="X35" s="9">
        <v>38.412311553955078</v>
      </c>
      <c r="Y35" s="9">
        <v>37.871479034423828</v>
      </c>
      <c r="Z35" s="9">
        <v>37.225517272949219</v>
      </c>
      <c r="AA35" s="9">
        <v>37.485183715820313</v>
      </c>
      <c r="AB35" s="9">
        <v>38.336452484130859</v>
      </c>
      <c r="AC35" s="9">
        <v>37.531730651855469</v>
      </c>
      <c r="AD35" s="9">
        <v>36.913692474365234</v>
      </c>
      <c r="AE35" s="9">
        <v>36.471908569335938</v>
      </c>
      <c r="AG35" s="9">
        <f t="shared" si="0"/>
        <v>38.848722284490414</v>
      </c>
    </row>
    <row r="36" spans="1:33" x14ac:dyDescent="0.2">
      <c r="A36" s="7" t="s">
        <v>122</v>
      </c>
      <c r="B36" s="7" t="s">
        <v>41</v>
      </c>
      <c r="C36" s="8"/>
      <c r="D36" s="8"/>
      <c r="E36" s="8"/>
      <c r="F36" s="9">
        <v>45.522563934326172</v>
      </c>
      <c r="G36" s="9">
        <v>44.163993835449219</v>
      </c>
      <c r="H36" s="9">
        <v>44.647975921630859</v>
      </c>
      <c r="I36" s="9">
        <v>45.389816284179688</v>
      </c>
      <c r="J36" s="9">
        <v>46.913055419921875</v>
      </c>
      <c r="K36" s="9">
        <v>47.652961730957031</v>
      </c>
      <c r="L36" s="9">
        <v>47.886302947998047</v>
      </c>
      <c r="M36" s="9">
        <v>48</v>
      </c>
      <c r="N36" s="9">
        <v>48.566104888916016</v>
      </c>
      <c r="O36" s="9">
        <v>48.781349182128906</v>
      </c>
      <c r="P36" s="9">
        <v>48.016654968261719</v>
      </c>
      <c r="Q36" s="9">
        <v>47.810291290283203</v>
      </c>
      <c r="R36" s="9">
        <v>47.981166839599609</v>
      </c>
      <c r="S36" s="9">
        <v>48.400833129882813</v>
      </c>
      <c r="T36" s="9">
        <v>48.275550842285156</v>
      </c>
      <c r="U36" s="9">
        <v>47.519981384277344</v>
      </c>
      <c r="V36" s="9">
        <v>48.469150543212891</v>
      </c>
      <c r="W36" s="9">
        <v>47.893978118896484</v>
      </c>
      <c r="X36" s="9">
        <v>47.649307250976563</v>
      </c>
      <c r="Y36" s="9">
        <v>47.66748046875</v>
      </c>
      <c r="Z36" s="9">
        <v>46.644519805908203</v>
      </c>
      <c r="AA36" s="9">
        <v>45.470355987548828</v>
      </c>
      <c r="AB36" s="9">
        <v>45.675956726074219</v>
      </c>
      <c r="AC36" s="9">
        <v>44.557651519775391</v>
      </c>
      <c r="AD36" s="9">
        <v>43.569099426269531</v>
      </c>
      <c r="AE36" s="9">
        <v>43.040267944335938</v>
      </c>
      <c r="AG36" s="9">
        <f t="shared" si="0"/>
        <v>47.422571008855648</v>
      </c>
    </row>
    <row r="37" spans="1:33" x14ac:dyDescent="0.2">
      <c r="A37" s="7" t="s">
        <v>123</v>
      </c>
      <c r="B37" s="7" t="s">
        <v>124</v>
      </c>
      <c r="C37" s="8"/>
      <c r="D37" s="8"/>
      <c r="E37" s="8"/>
      <c r="F37" s="9">
        <v>48.483058929443359</v>
      </c>
      <c r="G37" s="9">
        <v>49.70892333984375</v>
      </c>
      <c r="H37" s="9">
        <v>48.838909149169922</v>
      </c>
      <c r="I37" s="9">
        <v>47.829887390136719</v>
      </c>
      <c r="J37" s="9">
        <v>49.692867279052734</v>
      </c>
      <c r="K37" s="9">
        <v>48.755359649658203</v>
      </c>
      <c r="L37" s="9">
        <v>50.222080230712891</v>
      </c>
      <c r="M37" s="9">
        <v>48.200000762939453</v>
      </c>
      <c r="N37" s="9">
        <v>48.400497436523438</v>
      </c>
      <c r="O37" s="9">
        <v>48.639751434326172</v>
      </c>
      <c r="P37" s="9">
        <v>48.742733001708984</v>
      </c>
      <c r="Q37" s="9">
        <v>47.573581695556641</v>
      </c>
      <c r="R37" s="9">
        <v>46.995765686035156</v>
      </c>
      <c r="S37" s="9">
        <v>46.192462921142578</v>
      </c>
      <c r="T37" s="9">
        <v>47.992321014404297</v>
      </c>
      <c r="U37" s="9">
        <v>46.633258819580078</v>
      </c>
      <c r="V37" s="9">
        <v>45.836483001708984</v>
      </c>
      <c r="W37" s="9">
        <v>44.22711181640625</v>
      </c>
      <c r="X37" s="9">
        <v>44.385845184326172</v>
      </c>
      <c r="Y37" s="9">
        <v>44.190315246582031</v>
      </c>
      <c r="Z37" s="9">
        <v>43.902614593505859</v>
      </c>
      <c r="AA37" s="9">
        <v>42.800064086914063</v>
      </c>
      <c r="AB37" s="9">
        <v>42.095005035400391</v>
      </c>
      <c r="AC37" s="9">
        <v>43.868919372558594</v>
      </c>
      <c r="AD37" s="9">
        <v>45.291812896728516</v>
      </c>
      <c r="AE37" s="9">
        <v>44.942356109619141</v>
      </c>
      <c r="AG37" s="9">
        <f t="shared" si="0"/>
        <v>45.022840673273258</v>
      </c>
    </row>
    <row r="38" spans="1:33" x14ac:dyDescent="0.2">
      <c r="A38" s="7" t="s">
        <v>125</v>
      </c>
      <c r="B38" s="7" t="s">
        <v>126</v>
      </c>
      <c r="C38" s="8"/>
      <c r="D38" s="8"/>
      <c r="E38" s="8"/>
      <c r="F38" s="9">
        <v>26.264196395874023</v>
      </c>
      <c r="G38" s="9">
        <v>26.337263107299805</v>
      </c>
      <c r="H38" s="9">
        <v>26.338756561279297</v>
      </c>
      <c r="I38" s="9">
        <v>26.270488739013672</v>
      </c>
      <c r="J38" s="9">
        <v>26.111490249633789</v>
      </c>
      <c r="K38" s="9">
        <v>26.081968307495117</v>
      </c>
      <c r="L38" s="9">
        <v>26.24005126953125</v>
      </c>
      <c r="M38" s="9">
        <v>26.200000762939453</v>
      </c>
      <c r="N38" s="9">
        <v>26.308998107910156</v>
      </c>
      <c r="O38" s="9">
        <v>26.326194763183594</v>
      </c>
      <c r="P38" s="9">
        <v>26.354162216186523</v>
      </c>
      <c r="Q38" s="9">
        <v>26.170986175537109</v>
      </c>
      <c r="R38" s="9">
        <v>26.079862594604492</v>
      </c>
      <c r="S38" s="9">
        <v>25.851591110229492</v>
      </c>
      <c r="T38" s="9">
        <v>25.117090225219727</v>
      </c>
      <c r="U38" s="9">
        <v>25.040973663330078</v>
      </c>
      <c r="V38" s="9">
        <v>25.842372894287109</v>
      </c>
      <c r="W38" s="9">
        <v>25.856748580932617</v>
      </c>
      <c r="X38" s="9">
        <v>25.794166564941406</v>
      </c>
      <c r="Y38" s="9">
        <v>25.372509002685547</v>
      </c>
      <c r="Z38" s="9">
        <v>25.521049499511719</v>
      </c>
      <c r="AA38" s="9">
        <v>25.48936653137207</v>
      </c>
      <c r="AB38" s="9">
        <v>25.526529312133789</v>
      </c>
      <c r="AC38" s="9">
        <v>25.285446166992188</v>
      </c>
      <c r="AD38" s="9">
        <v>25.274168014526367</v>
      </c>
      <c r="AE38" s="9">
        <v>25.104625701904297</v>
      </c>
      <c r="AG38" s="9">
        <f t="shared" si="0"/>
        <v>25.590205452658914</v>
      </c>
    </row>
    <row r="39" spans="1:33" x14ac:dyDescent="0.2">
      <c r="A39" s="7" t="s">
        <v>9</v>
      </c>
      <c r="B39" s="7" t="s">
        <v>42</v>
      </c>
      <c r="C39" s="8"/>
      <c r="D39" s="8"/>
      <c r="E39" s="8"/>
      <c r="F39" s="9">
        <v>46.471092224121094</v>
      </c>
      <c r="G39" s="9">
        <v>45.401473999023438</v>
      </c>
      <c r="H39" s="9">
        <v>43.755821228027344</v>
      </c>
      <c r="I39" s="9">
        <v>42.370765686035156</v>
      </c>
      <c r="J39" s="9">
        <v>42.040340423583984</v>
      </c>
      <c r="K39" s="9">
        <v>41.340591430664063</v>
      </c>
      <c r="L39" s="9">
        <v>42.029094696044922</v>
      </c>
      <c r="M39" s="9">
        <v>43.200000762939453</v>
      </c>
      <c r="N39" s="9">
        <v>43.040863037109375</v>
      </c>
      <c r="O39" s="9">
        <v>43.400993347167969</v>
      </c>
      <c r="P39" s="9">
        <v>44.413055419921875</v>
      </c>
      <c r="Q39" s="9">
        <v>44.760505676269531</v>
      </c>
      <c r="R39" s="9">
        <v>44.723968505859375</v>
      </c>
      <c r="S39" s="9">
        <v>44.436878204345703</v>
      </c>
      <c r="T39" s="9">
        <v>44.444160461425781</v>
      </c>
      <c r="U39" s="9">
        <v>44.239486694335938</v>
      </c>
      <c r="V39" s="9">
        <v>44.011989593505859</v>
      </c>
      <c r="W39" s="9">
        <v>44.05145263671875</v>
      </c>
      <c r="X39" s="9">
        <v>44.474349975585938</v>
      </c>
      <c r="Y39" s="9">
        <v>43.8394775390625</v>
      </c>
      <c r="Z39" s="9">
        <v>42.905735015869141</v>
      </c>
      <c r="AA39" s="9">
        <v>41.968952178955078</v>
      </c>
      <c r="AB39" s="9">
        <v>40.559627532958984</v>
      </c>
      <c r="AC39" s="9">
        <v>39.709907531738281</v>
      </c>
      <c r="AD39" s="9">
        <v>39.829460144042969</v>
      </c>
      <c r="AE39" s="9">
        <v>38.693267822265625</v>
      </c>
      <c r="AG39" s="9">
        <f t="shared" si="0"/>
        <v>43.605098030783914</v>
      </c>
    </row>
    <row r="40" spans="1:33" x14ac:dyDescent="0.2">
      <c r="A40" s="7" t="s">
        <v>127</v>
      </c>
      <c r="B40" s="7" t="s">
        <v>128</v>
      </c>
      <c r="C40" s="8"/>
      <c r="D40" s="8"/>
      <c r="E40" s="8"/>
      <c r="F40" s="9">
        <v>34.008968353271484</v>
      </c>
      <c r="G40" s="9">
        <v>35.07415771484375</v>
      </c>
      <c r="H40" s="9">
        <v>34.598648071289063</v>
      </c>
      <c r="I40" s="9">
        <v>33.990276336669922</v>
      </c>
      <c r="J40" s="9">
        <v>33.500507354736328</v>
      </c>
      <c r="K40" s="9">
        <v>33.761085510253906</v>
      </c>
      <c r="L40" s="9">
        <v>34.036556243896484</v>
      </c>
      <c r="M40" s="9">
        <v>33.400001525878906</v>
      </c>
      <c r="N40" s="9">
        <v>32.839523315429688</v>
      </c>
      <c r="O40" s="9">
        <v>32.151901245117188</v>
      </c>
      <c r="P40" s="9">
        <v>31.620376586914063</v>
      </c>
      <c r="Q40" s="9">
        <v>31.322086334228516</v>
      </c>
      <c r="R40" s="9">
        <v>30.959907531738281</v>
      </c>
      <c r="S40" s="9">
        <v>30.432350158691406</v>
      </c>
      <c r="T40" s="9">
        <v>30.256351470947266</v>
      </c>
      <c r="U40" s="9">
        <v>29.857551574707031</v>
      </c>
      <c r="V40" s="9">
        <v>30.813222885131836</v>
      </c>
      <c r="W40" s="9">
        <v>31.060892105102539</v>
      </c>
      <c r="X40" s="9">
        <v>31.274930953979492</v>
      </c>
      <c r="Y40" s="9">
        <v>31.398078918457031</v>
      </c>
      <c r="Z40" s="9">
        <v>31.473241806030273</v>
      </c>
      <c r="AA40" s="9">
        <v>31.51905632019043</v>
      </c>
      <c r="AB40" s="9">
        <v>31.399324417114258</v>
      </c>
      <c r="AC40" s="9">
        <v>30.808849334716797</v>
      </c>
      <c r="AD40" s="9">
        <v>30.298728942871094</v>
      </c>
      <c r="AE40" s="9">
        <v>29.959253311157227</v>
      </c>
      <c r="AG40" s="9">
        <f t="shared" si="0"/>
        <v>30.949537103826348</v>
      </c>
    </row>
    <row r="41" spans="1:33" x14ac:dyDescent="0.2">
      <c r="A41" s="7" t="s">
        <v>129</v>
      </c>
      <c r="B41" s="7" t="s">
        <v>130</v>
      </c>
      <c r="C41" s="8"/>
      <c r="D41" s="8"/>
      <c r="E41" s="8"/>
      <c r="F41" s="9">
        <v>29.925251007080078</v>
      </c>
      <c r="G41" s="9">
        <v>29.405906677246094</v>
      </c>
      <c r="H41" s="9">
        <v>28.912700653076172</v>
      </c>
      <c r="I41" s="9">
        <v>29.187202453613281</v>
      </c>
      <c r="J41" s="9">
        <v>29.400217056274414</v>
      </c>
      <c r="K41" s="9">
        <v>29.420042037963867</v>
      </c>
      <c r="L41" s="9">
        <v>29.249834060668945</v>
      </c>
      <c r="M41" s="9">
        <v>28.700000762939453</v>
      </c>
      <c r="N41" s="9">
        <v>28.530899047851563</v>
      </c>
      <c r="O41" s="9">
        <v>28.353168487548828</v>
      </c>
      <c r="P41" s="9">
        <v>28.735990524291992</v>
      </c>
      <c r="Q41" s="9">
        <v>28.200340270996094</v>
      </c>
      <c r="R41" s="9">
        <v>27.929111480712891</v>
      </c>
      <c r="S41" s="9">
        <v>27.620906829833984</v>
      </c>
      <c r="T41" s="9">
        <v>27.084468841552734</v>
      </c>
      <c r="U41" s="9">
        <v>27.014383316040039</v>
      </c>
      <c r="V41" s="9">
        <v>28.028446197509766</v>
      </c>
      <c r="W41" s="9">
        <v>27.964260101318359</v>
      </c>
      <c r="X41" s="9">
        <v>28.330377578735352</v>
      </c>
      <c r="Y41" s="9">
        <v>29.03887939453125</v>
      </c>
      <c r="Z41" s="9">
        <v>29.691532135009766</v>
      </c>
      <c r="AA41" s="9">
        <v>29.57159423828125</v>
      </c>
      <c r="AB41" s="9">
        <v>29.236110687255859</v>
      </c>
      <c r="AC41" s="9">
        <v>28.473308563232422</v>
      </c>
      <c r="AD41" s="9">
        <v>28.061126708984375</v>
      </c>
      <c r="AE41" s="9">
        <v>27.66779899597168</v>
      </c>
      <c r="AG41" s="9">
        <f t="shared" si="0"/>
        <v>28.319097345525567</v>
      </c>
    </row>
    <row r="42" spans="1:33" x14ac:dyDescent="0.2">
      <c r="A42" s="7" t="s">
        <v>131</v>
      </c>
      <c r="B42" s="7" t="s">
        <v>132</v>
      </c>
      <c r="C42" s="8"/>
      <c r="D42" s="8"/>
      <c r="E42" s="8"/>
      <c r="F42" s="9">
        <v>19.465166091918945</v>
      </c>
      <c r="G42" s="9">
        <v>19.509099960327148</v>
      </c>
      <c r="H42" s="9">
        <v>18.96284294128418</v>
      </c>
      <c r="I42" s="9">
        <v>18.784791946411133</v>
      </c>
      <c r="J42" s="9">
        <v>19.109617233276367</v>
      </c>
      <c r="K42" s="9">
        <v>18.886951446533203</v>
      </c>
      <c r="L42" s="9">
        <v>19.348659515380859</v>
      </c>
      <c r="M42" s="9">
        <v>19.100000381469727</v>
      </c>
      <c r="N42" s="9">
        <v>18.819648742675781</v>
      </c>
      <c r="O42" s="9">
        <v>19.101079940795898</v>
      </c>
      <c r="P42" s="9">
        <v>19.435064315795898</v>
      </c>
      <c r="Q42" s="9">
        <v>18.905858993530273</v>
      </c>
      <c r="R42" s="9">
        <v>18.524423599243164</v>
      </c>
      <c r="S42" s="9">
        <v>17.963111877441406</v>
      </c>
      <c r="T42" s="9">
        <v>17.501945495605469</v>
      </c>
      <c r="U42" s="9">
        <v>17.2677001953125</v>
      </c>
      <c r="V42" s="9">
        <v>18.313564300537109</v>
      </c>
      <c r="W42" s="9">
        <v>18.216129302978516</v>
      </c>
      <c r="X42" s="9">
        <v>17.855274200439453</v>
      </c>
      <c r="Y42" s="9">
        <v>17.790550231933594</v>
      </c>
      <c r="Z42" s="9">
        <v>17.960655212402344</v>
      </c>
      <c r="AA42" s="9">
        <v>17.541824340820313</v>
      </c>
      <c r="AB42" s="9">
        <v>17.191692352294922</v>
      </c>
      <c r="AC42" s="9">
        <v>17.040628433227539</v>
      </c>
      <c r="AD42" s="9">
        <v>16.787355422973633</v>
      </c>
      <c r="AE42" s="9">
        <v>16.963102340698242</v>
      </c>
      <c r="AG42" s="9">
        <f t="shared" si="0"/>
        <v>17.829715555364434</v>
      </c>
    </row>
    <row r="43" spans="1:33" x14ac:dyDescent="0.2">
      <c r="A43" s="7" t="s">
        <v>133</v>
      </c>
      <c r="B43" s="7" t="s">
        <v>134</v>
      </c>
      <c r="C43" s="8"/>
      <c r="D43" s="8"/>
      <c r="E43" s="8"/>
      <c r="F43" s="9">
        <v>20.181524276733398</v>
      </c>
      <c r="G43" s="9">
        <v>19.429403305053711</v>
      </c>
      <c r="H43" s="9">
        <v>19.100395202636719</v>
      </c>
      <c r="I43" s="9">
        <v>19.097553253173828</v>
      </c>
      <c r="J43" s="9">
        <v>18.617122650146484</v>
      </c>
      <c r="K43" s="9">
        <v>18.51617431640625</v>
      </c>
      <c r="L43" s="9">
        <v>18.407310485839844</v>
      </c>
      <c r="M43" s="9">
        <v>18</v>
      </c>
      <c r="N43" s="9">
        <v>18.02403450012207</v>
      </c>
      <c r="O43" s="9">
        <v>18.147438049316406</v>
      </c>
      <c r="P43" s="9">
        <v>18.199893951416016</v>
      </c>
      <c r="Q43" s="9">
        <v>17.906335830688477</v>
      </c>
      <c r="R43" s="9">
        <v>17.711637496948242</v>
      </c>
      <c r="S43" s="9">
        <v>17.228511810302734</v>
      </c>
      <c r="T43" s="9">
        <v>17.136665344238281</v>
      </c>
      <c r="U43" s="9">
        <v>17.453182220458984</v>
      </c>
      <c r="V43" s="9">
        <v>18.806707382202148</v>
      </c>
      <c r="W43" s="9">
        <v>18.757184982299805</v>
      </c>
      <c r="X43" s="9">
        <v>18.48902702331543</v>
      </c>
      <c r="Y43" s="9">
        <v>18.543981552124023</v>
      </c>
      <c r="Z43" s="9">
        <v>18.344232559204102</v>
      </c>
      <c r="AA43" s="9">
        <v>18.284954071044922</v>
      </c>
      <c r="AB43" s="9">
        <v>17.91254997253418</v>
      </c>
      <c r="AC43" s="9">
        <v>17.551750183105469</v>
      </c>
      <c r="AD43" s="9">
        <v>17.396463394165039</v>
      </c>
      <c r="AE43" s="9">
        <v>17.07257080078125</v>
      </c>
      <c r="AG43" s="9">
        <f t="shared" si="0"/>
        <v>18.060784946788441</v>
      </c>
    </row>
    <row r="44" spans="1:33" x14ac:dyDescent="0.2">
      <c r="A44" s="7" t="s">
        <v>135</v>
      </c>
      <c r="B44" s="7" t="s">
        <v>136</v>
      </c>
      <c r="C44" s="8"/>
      <c r="D44" s="8"/>
      <c r="E44" s="8"/>
      <c r="F44" s="9">
        <v>32.575740814208984</v>
      </c>
      <c r="G44" s="9">
        <v>32.433761596679688</v>
      </c>
      <c r="H44" s="9">
        <v>32.279067993164063</v>
      </c>
      <c r="I44" s="9">
        <v>31.915130615234375</v>
      </c>
      <c r="J44" s="9">
        <v>32.275428771972656</v>
      </c>
      <c r="K44" s="9">
        <v>32.334060668945313</v>
      </c>
      <c r="L44" s="9">
        <v>32.145462036132813</v>
      </c>
      <c r="M44" s="9">
        <v>32.099998474121094</v>
      </c>
      <c r="N44" s="9">
        <v>32.374073028564453</v>
      </c>
      <c r="O44" s="9">
        <v>32.446388244628906</v>
      </c>
      <c r="P44" s="9">
        <v>32.506282806396484</v>
      </c>
      <c r="Q44" s="9">
        <v>32.536426544189453</v>
      </c>
      <c r="R44" s="9">
        <v>32.175506591796875</v>
      </c>
      <c r="S44" s="9">
        <v>32.011493682861328</v>
      </c>
      <c r="T44" s="9">
        <v>31.95442008972168</v>
      </c>
      <c r="U44" s="9">
        <v>31.902297973632813</v>
      </c>
      <c r="V44" s="9">
        <v>32.077751159667969</v>
      </c>
      <c r="W44" s="9">
        <v>31.538721084594727</v>
      </c>
      <c r="X44" s="9">
        <v>31.377250671386719</v>
      </c>
      <c r="Y44" s="9">
        <v>31.313247680664063</v>
      </c>
      <c r="Z44" s="9">
        <v>31.220521926879883</v>
      </c>
      <c r="AA44" s="9">
        <v>31.050693511962891</v>
      </c>
      <c r="AB44" s="9">
        <v>30.351997375488281</v>
      </c>
      <c r="AC44" s="9">
        <v>29.94434928894043</v>
      </c>
      <c r="AD44" s="9">
        <v>29.823570251464844</v>
      </c>
      <c r="AE44" s="9">
        <v>29.562393188476563</v>
      </c>
      <c r="AG44" s="9">
        <f t="shared" si="0"/>
        <v>31.543081977150656</v>
      </c>
    </row>
    <row r="45" spans="1:33" x14ac:dyDescent="0.2">
      <c r="A45" s="7" t="s">
        <v>137</v>
      </c>
      <c r="B45" s="7" t="s">
        <v>138</v>
      </c>
      <c r="C45" s="8"/>
      <c r="D45" s="8"/>
      <c r="E45" s="8"/>
      <c r="F45" s="9">
        <v>34.092636108398438</v>
      </c>
      <c r="G45" s="9">
        <v>34.547210693359375</v>
      </c>
      <c r="H45" s="9">
        <v>34.139244079589844</v>
      </c>
      <c r="I45" s="9">
        <v>33.898887634277344</v>
      </c>
      <c r="J45" s="9">
        <v>34.310356140136719</v>
      </c>
      <c r="K45" s="9">
        <v>33.887168884277344</v>
      </c>
      <c r="L45" s="9">
        <v>34.802036285400391</v>
      </c>
      <c r="M45" s="9">
        <v>34.400001525878906</v>
      </c>
      <c r="N45" s="9">
        <v>34.502490997314453</v>
      </c>
      <c r="O45" s="9">
        <v>34.599334716796875</v>
      </c>
      <c r="P45" s="9">
        <v>34.842277526855469</v>
      </c>
      <c r="Q45" s="9">
        <v>34.091899871826172</v>
      </c>
      <c r="R45" s="9">
        <v>33.798740386962891</v>
      </c>
      <c r="S45" s="9">
        <v>33.558696746826172</v>
      </c>
      <c r="T45" s="9">
        <v>33.297248840332031</v>
      </c>
      <c r="U45" s="9">
        <v>33.343418121337891</v>
      </c>
      <c r="V45" s="9">
        <v>34.000774383544922</v>
      </c>
      <c r="W45" s="9">
        <v>33.386932373046875</v>
      </c>
      <c r="X45" s="9">
        <v>32.474460601806641</v>
      </c>
      <c r="Y45" s="9">
        <v>32.202037811279297</v>
      </c>
      <c r="Z45" s="9">
        <v>32.095417022705078</v>
      </c>
      <c r="AA45" s="9">
        <v>32.003379821777344</v>
      </c>
      <c r="AB45" s="9">
        <v>32.122753143310547</v>
      </c>
      <c r="AC45" s="9">
        <v>32.594478607177734</v>
      </c>
      <c r="AD45" s="9">
        <v>32.312206268310547</v>
      </c>
      <c r="AE45" s="9">
        <v>32.249202728271484</v>
      </c>
      <c r="AG45" s="9">
        <f t="shared" si="0"/>
        <v>32.934896295720883</v>
      </c>
    </row>
    <row r="46" spans="1:33" x14ac:dyDescent="0.2">
      <c r="A46" s="7" t="s">
        <v>139</v>
      </c>
      <c r="B46" s="7" t="s">
        <v>43</v>
      </c>
      <c r="C46" s="8"/>
      <c r="D46" s="8"/>
      <c r="E46" s="8"/>
      <c r="F46" s="9">
        <v>36.270999908447266</v>
      </c>
      <c r="G46" s="9">
        <v>36.188255310058594</v>
      </c>
      <c r="H46" s="9">
        <v>36.28997802734375</v>
      </c>
      <c r="I46" s="9">
        <v>35.261329650878906</v>
      </c>
      <c r="J46" s="9">
        <v>34.994808197021484</v>
      </c>
      <c r="K46" s="9">
        <v>34.748676300048828</v>
      </c>
      <c r="L46" s="9">
        <v>34.888046264648438</v>
      </c>
      <c r="M46" s="9">
        <v>35.099998474121094</v>
      </c>
      <c r="N46" s="9">
        <v>35.625328063964844</v>
      </c>
      <c r="O46" s="9">
        <v>36.084709167480469</v>
      </c>
      <c r="P46" s="9">
        <v>35.579429626464844</v>
      </c>
      <c r="Q46" s="9">
        <v>35.138736724853516</v>
      </c>
      <c r="R46" s="9">
        <v>35.219402313232422</v>
      </c>
      <c r="S46" s="9">
        <v>34.675899505615234</v>
      </c>
      <c r="T46" s="9">
        <v>34.348628997802734</v>
      </c>
      <c r="U46" s="9">
        <v>33.667331695556641</v>
      </c>
      <c r="V46" s="9">
        <v>33.791633605957031</v>
      </c>
      <c r="W46" s="9">
        <v>33.485557556152344</v>
      </c>
      <c r="X46" s="9">
        <v>34.363086700439453</v>
      </c>
      <c r="Y46" s="9">
        <v>34.54632568359375</v>
      </c>
      <c r="Z46" s="9">
        <v>34.813449859619141</v>
      </c>
      <c r="AA46" s="9">
        <v>35.02557373046875</v>
      </c>
      <c r="AB46" s="9">
        <v>34.697978973388672</v>
      </c>
      <c r="AC46" s="9">
        <v>34.116569519042969</v>
      </c>
      <c r="AD46" s="9">
        <v>32.975193023681641</v>
      </c>
      <c r="AE46" s="9">
        <v>31.570831298828125</v>
      </c>
      <c r="AG46" s="9">
        <f t="shared" si="0"/>
        <v>34.421351692893289</v>
      </c>
    </row>
    <row r="47" spans="1:33" x14ac:dyDescent="0.2">
      <c r="A47" s="7" t="s">
        <v>140</v>
      </c>
      <c r="B47" s="7" t="s">
        <v>141</v>
      </c>
      <c r="C47" s="8"/>
      <c r="D47" s="8"/>
      <c r="E47" s="8"/>
      <c r="F47" s="9">
        <v>47.453826904296875</v>
      </c>
      <c r="G47" s="9">
        <v>46.205940246582031</v>
      </c>
      <c r="H47" s="9">
        <v>45.915401458740234</v>
      </c>
      <c r="I47" s="9">
        <v>46.809986114501953</v>
      </c>
      <c r="J47" s="9">
        <v>46.531871795654297</v>
      </c>
      <c r="K47" s="9">
        <v>46.211090087890625</v>
      </c>
      <c r="L47" s="9">
        <v>46.158042907714844</v>
      </c>
      <c r="M47" s="9">
        <v>46.299999237060547</v>
      </c>
      <c r="N47" s="9">
        <v>46.470458984375</v>
      </c>
      <c r="O47" s="9">
        <v>46.093502044677734</v>
      </c>
      <c r="P47" s="9">
        <v>45.961837768554688</v>
      </c>
      <c r="Q47" s="9">
        <v>45.851253509521484</v>
      </c>
      <c r="R47" s="9">
        <v>45.839366912841797</v>
      </c>
      <c r="S47" s="9">
        <v>44.903354644775391</v>
      </c>
      <c r="T47" s="9">
        <v>44.668659210205078</v>
      </c>
      <c r="U47" s="9">
        <v>44.282047271728516</v>
      </c>
      <c r="V47" s="9">
        <v>45.410167694091797</v>
      </c>
      <c r="W47" s="9">
        <v>44.884117126464844</v>
      </c>
      <c r="X47" s="9">
        <v>44.429847717285156</v>
      </c>
      <c r="Y47" s="9">
        <v>43.937393188476563</v>
      </c>
      <c r="Z47" s="9">
        <v>43.749282836914063</v>
      </c>
      <c r="AA47" s="9">
        <v>43.461750030517578</v>
      </c>
      <c r="AB47" s="9">
        <v>43.549285888671875</v>
      </c>
      <c r="AC47" s="9">
        <v>43.371231079101563</v>
      </c>
      <c r="AD47" s="9">
        <v>43.212013244628906</v>
      </c>
      <c r="AE47" s="9">
        <v>42.817928314208984</v>
      </c>
      <c r="AG47" s="9">
        <f t="shared" si="0"/>
        <v>44.465024774724789</v>
      </c>
    </row>
    <row r="48" spans="1:33" x14ac:dyDescent="0.2">
      <c r="A48" s="7" t="s">
        <v>142</v>
      </c>
      <c r="B48" s="7" t="s">
        <v>143</v>
      </c>
      <c r="C48" s="8"/>
      <c r="D48" s="8"/>
      <c r="E48" s="8"/>
      <c r="F48" s="9">
        <v>34.590435028076172</v>
      </c>
      <c r="G48" s="9">
        <v>34.000644683837891</v>
      </c>
      <c r="H48" s="9">
        <v>34.175029754638672</v>
      </c>
      <c r="I48" s="9">
        <v>33.351428985595703</v>
      </c>
      <c r="J48" s="9">
        <v>32.908164978027344</v>
      </c>
      <c r="K48" s="9">
        <v>33.697368621826172</v>
      </c>
      <c r="L48" s="9">
        <v>33.007205963134766</v>
      </c>
      <c r="M48" s="9">
        <v>32.799999237060547</v>
      </c>
      <c r="N48" s="9">
        <v>31.990612030029297</v>
      </c>
      <c r="O48" s="9">
        <v>31.955617904663086</v>
      </c>
      <c r="P48" s="9">
        <v>32.098701477050781</v>
      </c>
      <c r="Q48" s="9">
        <v>31.580488204956055</v>
      </c>
      <c r="R48" s="9">
        <v>31.401777267456055</v>
      </c>
      <c r="S48" s="9">
        <v>31.483499526977539</v>
      </c>
      <c r="T48" s="9">
        <v>31.284048080444336</v>
      </c>
      <c r="U48" s="9">
        <v>30.827638626098633</v>
      </c>
      <c r="V48" s="9">
        <v>31.424808502197266</v>
      </c>
      <c r="W48" s="9">
        <v>31.877401351928711</v>
      </c>
      <c r="X48" s="9">
        <v>31.736186981201172</v>
      </c>
      <c r="Y48" s="9">
        <v>31.583358764648438</v>
      </c>
      <c r="Z48" s="9">
        <v>32.119235992431641</v>
      </c>
      <c r="AA48" s="9">
        <v>32.622890472412109</v>
      </c>
      <c r="AB48" s="9">
        <v>33.330757141113281</v>
      </c>
      <c r="AC48" s="9">
        <v>33.878974914550781</v>
      </c>
      <c r="AD48" s="9">
        <v>33.865741729736328</v>
      </c>
      <c r="AE48" s="9">
        <v>33.709209442138672</v>
      </c>
      <c r="AG48" s="9">
        <f t="shared" si="0"/>
        <v>31.790145700628106</v>
      </c>
    </row>
    <row r="49" spans="1:33" x14ac:dyDescent="0.2">
      <c r="A49" s="7" t="s">
        <v>327</v>
      </c>
      <c r="B49" s="7" t="s">
        <v>328</v>
      </c>
      <c r="C49" s="8"/>
      <c r="D49" s="8"/>
      <c r="E49" s="8"/>
      <c r="F49" s="9">
        <v>39.923377990722656</v>
      </c>
      <c r="G49" s="9">
        <v>38.65533447265625</v>
      </c>
      <c r="H49" s="9">
        <v>39.699897766113281</v>
      </c>
      <c r="I49" s="9">
        <v>38.712604522705078</v>
      </c>
      <c r="J49" s="9">
        <v>37.859909057617188</v>
      </c>
      <c r="K49" s="9">
        <v>38.943405151367188</v>
      </c>
      <c r="L49" s="9">
        <v>39.194004058837891</v>
      </c>
      <c r="M49" s="9">
        <v>40.299999237060547</v>
      </c>
      <c r="N49" s="9">
        <v>38.846721649169922</v>
      </c>
      <c r="O49" s="9">
        <v>38.805671691894531</v>
      </c>
      <c r="P49" s="9">
        <v>39.8292236328125</v>
      </c>
      <c r="Q49" s="9">
        <v>39.353527069091797</v>
      </c>
      <c r="R49" s="9">
        <v>39.285518646240234</v>
      </c>
      <c r="S49" s="9">
        <v>39.228225708007813</v>
      </c>
      <c r="T49" s="9">
        <v>39.116775512695313</v>
      </c>
      <c r="U49" s="9">
        <v>39.824951171875</v>
      </c>
      <c r="V49" s="9">
        <v>39.161403656005859</v>
      </c>
      <c r="W49" s="9">
        <v>39.343467712402344</v>
      </c>
      <c r="X49" s="9">
        <v>38.654224395751953</v>
      </c>
      <c r="Y49" s="9">
        <v>40.782794952392578</v>
      </c>
      <c r="Z49" s="9">
        <v>41.242008209228516</v>
      </c>
      <c r="AA49" s="9">
        <v>40.801227569580078</v>
      </c>
      <c r="AB49" s="9">
        <v>41.248825073242188</v>
      </c>
      <c r="AC49" s="9">
        <v>41.16180419921875</v>
      </c>
      <c r="AD49" s="9"/>
      <c r="AE49" s="9"/>
      <c r="AG49" s="9">
        <f t="shared" si="0"/>
        <v>39.880856600674718</v>
      </c>
    </row>
    <row r="50" spans="1:33" x14ac:dyDescent="0.2">
      <c r="A50" s="7" t="s">
        <v>144</v>
      </c>
      <c r="B50" s="7" t="s">
        <v>145</v>
      </c>
      <c r="C50" s="8"/>
      <c r="D50" s="8"/>
      <c r="E50" s="8"/>
      <c r="F50" s="9">
        <v>32.895301818847656</v>
      </c>
      <c r="G50" s="9">
        <v>33.649742126464844</v>
      </c>
      <c r="H50" s="9">
        <v>34.233428955078125</v>
      </c>
      <c r="I50" s="9">
        <v>33.868534088134766</v>
      </c>
      <c r="J50" s="9">
        <v>33.120658874511719</v>
      </c>
      <c r="K50" s="9">
        <v>33.024974822998047</v>
      </c>
      <c r="L50" s="9">
        <v>33.450969696044922</v>
      </c>
      <c r="M50" s="9">
        <v>32.700000762939453</v>
      </c>
      <c r="N50" s="9">
        <v>32.254806518554688</v>
      </c>
      <c r="O50" s="9">
        <v>31.713985443115234</v>
      </c>
      <c r="P50" s="9">
        <v>31.299526214599609</v>
      </c>
      <c r="Q50" s="9">
        <v>30.919612884521484</v>
      </c>
      <c r="R50" s="9">
        <v>30.257724761962891</v>
      </c>
      <c r="S50" s="9">
        <v>29.310369491577148</v>
      </c>
      <c r="T50" s="9">
        <v>29.03209114074707</v>
      </c>
      <c r="U50" s="9">
        <v>29.806386947631836</v>
      </c>
      <c r="V50" s="9">
        <v>31.741157531738281</v>
      </c>
      <c r="W50" s="9">
        <v>31.541521072387695</v>
      </c>
      <c r="X50" s="9">
        <v>30.620479583740234</v>
      </c>
      <c r="Y50" s="9">
        <v>30.370849609375</v>
      </c>
      <c r="Z50" s="9">
        <v>30.280942916870117</v>
      </c>
      <c r="AA50" s="9">
        <v>30.061119079589844</v>
      </c>
      <c r="AB50" s="9">
        <v>30.036376953125</v>
      </c>
      <c r="AC50" s="9">
        <v>30.031496047973633</v>
      </c>
      <c r="AD50" s="9">
        <v>29.569255828857422</v>
      </c>
      <c r="AE50" s="9">
        <v>29.188323974609375</v>
      </c>
      <c r="AG50" s="9">
        <f t="shared" si="0"/>
        <v>30.278092644431375</v>
      </c>
    </row>
    <row r="51" spans="1:33" x14ac:dyDescent="0.2">
      <c r="A51" s="7" t="s">
        <v>146</v>
      </c>
      <c r="B51" s="7" t="s">
        <v>147</v>
      </c>
      <c r="C51" s="8"/>
      <c r="D51" s="8"/>
      <c r="E51" s="8"/>
      <c r="F51" s="9">
        <v>42.588672637939453</v>
      </c>
      <c r="G51" s="9">
        <v>42.479454040527344</v>
      </c>
      <c r="H51" s="9">
        <v>41.556015014648438</v>
      </c>
      <c r="I51" s="9">
        <v>41.910140991210938</v>
      </c>
      <c r="J51" s="9">
        <v>42.738349914550781</v>
      </c>
      <c r="K51" s="9">
        <v>42.676101684570313</v>
      </c>
      <c r="L51" s="9">
        <v>42.442771911621094</v>
      </c>
      <c r="M51" s="9">
        <v>41.400001525878906</v>
      </c>
      <c r="N51" s="9">
        <v>41.350368499755859</v>
      </c>
      <c r="O51" s="9">
        <v>40.688091278076172</v>
      </c>
      <c r="P51" s="9">
        <v>41.262386322021484</v>
      </c>
      <c r="Q51" s="9">
        <v>42.083820343017578</v>
      </c>
      <c r="R51" s="9">
        <v>41.591121673583984</v>
      </c>
      <c r="S51" s="9">
        <v>40.772918701171875</v>
      </c>
      <c r="T51" s="9">
        <v>40.707748413085938</v>
      </c>
      <c r="U51" s="9">
        <v>41.060356140136719</v>
      </c>
      <c r="V51" s="9">
        <v>41.190441131591797</v>
      </c>
      <c r="W51" s="9">
        <v>40.480716705322266</v>
      </c>
      <c r="X51" s="9">
        <v>40.221881866455078</v>
      </c>
      <c r="Y51" s="9">
        <v>39.281021118164063</v>
      </c>
      <c r="Z51" s="9">
        <v>38.835025787353516</v>
      </c>
      <c r="AA51" s="9">
        <v>39.160713195800781</v>
      </c>
      <c r="AB51" s="9">
        <v>39.274417877197266</v>
      </c>
      <c r="AC51" s="9">
        <v>39.486186981201172</v>
      </c>
      <c r="AD51" s="9">
        <v>39.370059967041016</v>
      </c>
      <c r="AE51" s="9">
        <v>38.931453704833984</v>
      </c>
      <c r="AG51" s="9">
        <f t="shared" si="0"/>
        <v>40.234214782714844</v>
      </c>
    </row>
    <row r="52" spans="1:33" x14ac:dyDescent="0.2">
      <c r="A52" s="7" t="s">
        <v>148</v>
      </c>
      <c r="B52" s="7" t="s">
        <v>149</v>
      </c>
      <c r="C52" s="8"/>
      <c r="D52" s="8"/>
      <c r="E52" s="8"/>
      <c r="F52" s="9">
        <v>37.729801177978516</v>
      </c>
      <c r="G52" s="9">
        <v>38.179462432861328</v>
      </c>
      <c r="H52" s="9">
        <v>38.496284484863281</v>
      </c>
      <c r="I52" s="9">
        <v>38.044380187988281</v>
      </c>
      <c r="J52" s="9">
        <v>38.119766235351563</v>
      </c>
      <c r="K52" s="9">
        <v>38.715129852294922</v>
      </c>
      <c r="L52" s="9">
        <v>40.098007202148438</v>
      </c>
      <c r="M52" s="9">
        <v>40.299999237060547</v>
      </c>
      <c r="N52" s="9">
        <v>39.361347198486328</v>
      </c>
      <c r="O52" s="9">
        <v>39.290134429931641</v>
      </c>
      <c r="P52" s="9">
        <v>38.945590972900391</v>
      </c>
      <c r="Q52" s="9">
        <v>38.475048065185547</v>
      </c>
      <c r="R52" s="9">
        <v>38.28656005859375</v>
      </c>
      <c r="S52" s="9">
        <v>37.797782897949219</v>
      </c>
      <c r="T52" s="9">
        <v>37.037002563476563</v>
      </c>
      <c r="U52" s="9">
        <v>36.623104095458984</v>
      </c>
      <c r="V52" s="9">
        <v>36.339191436767578</v>
      </c>
      <c r="W52" s="9">
        <v>35.956951141357422</v>
      </c>
      <c r="X52" s="9">
        <v>35.950000762939453</v>
      </c>
      <c r="Y52" s="9">
        <v>35.424263000488281</v>
      </c>
      <c r="Z52" s="9">
        <v>35.271137237548828</v>
      </c>
      <c r="AA52" s="9">
        <v>34.911128997802734</v>
      </c>
      <c r="AB52" s="9">
        <v>34.749935150146484</v>
      </c>
      <c r="AC52" s="9">
        <v>34.824413299560547</v>
      </c>
      <c r="AD52" s="9">
        <v>34.531898498535156</v>
      </c>
      <c r="AE52" s="9">
        <v>34.053924560546875</v>
      </c>
      <c r="AG52" s="9">
        <f t="shared" si="0"/>
        <v>36.213368849320844</v>
      </c>
    </row>
    <row r="53" spans="1:33" x14ac:dyDescent="0.2">
      <c r="A53" s="7" t="s">
        <v>150</v>
      </c>
      <c r="B53" s="7" t="s">
        <v>151</v>
      </c>
      <c r="C53" s="8"/>
      <c r="D53" s="8"/>
      <c r="E53" s="8"/>
      <c r="F53" s="9">
        <v>34.703884124755859</v>
      </c>
      <c r="G53" s="9">
        <v>33.416740417480469</v>
      </c>
      <c r="H53" s="9">
        <v>33.073413848876953</v>
      </c>
      <c r="I53" s="9">
        <v>32.798053741455078</v>
      </c>
      <c r="J53" s="9">
        <v>33.489349365234375</v>
      </c>
      <c r="K53" s="9">
        <v>34.067001342773438</v>
      </c>
      <c r="L53" s="9">
        <v>32.840934753417969</v>
      </c>
      <c r="M53" s="9">
        <v>33.599998474121094</v>
      </c>
      <c r="N53" s="9">
        <v>33.104152679443359</v>
      </c>
      <c r="O53" s="9">
        <v>32.430004119873047</v>
      </c>
      <c r="P53" s="9">
        <v>32.862323760986328</v>
      </c>
      <c r="Q53" s="9">
        <v>31.823240280151367</v>
      </c>
      <c r="R53" s="9">
        <v>31.429986953735352</v>
      </c>
      <c r="S53" s="9">
        <v>32.848926544189453</v>
      </c>
      <c r="T53" s="9">
        <v>32.947742462158203</v>
      </c>
      <c r="U53" s="9">
        <v>32.51092529296875</v>
      </c>
      <c r="V53" s="9">
        <v>33.330368041992188</v>
      </c>
      <c r="W53" s="9">
        <v>32.144638061523438</v>
      </c>
      <c r="X53" s="9">
        <v>32.991554260253906</v>
      </c>
      <c r="Y53" s="9">
        <v>33.595279693603516</v>
      </c>
      <c r="Z53" s="9">
        <v>33.262767791748047</v>
      </c>
      <c r="AA53" s="9">
        <v>32.244922637939453</v>
      </c>
      <c r="AB53" s="9">
        <v>31.867551803588867</v>
      </c>
      <c r="AC53" s="9">
        <v>31.490890502929688</v>
      </c>
      <c r="AD53" s="9">
        <v>30.5997314453125</v>
      </c>
      <c r="AE53" s="9">
        <v>30.081411361694336</v>
      </c>
      <c r="AG53" s="9">
        <f t="shared" si="0"/>
        <v>32.652242140336469</v>
      </c>
    </row>
    <row r="54" spans="1:33" x14ac:dyDescent="0.2">
      <c r="A54" s="7" t="s">
        <v>152</v>
      </c>
      <c r="B54" s="7" t="s">
        <v>153</v>
      </c>
      <c r="C54" s="8"/>
      <c r="D54" s="8"/>
      <c r="E54" s="8"/>
      <c r="F54" s="9">
        <v>20.236776351928711</v>
      </c>
      <c r="G54" s="9">
        <v>19.963459014892578</v>
      </c>
      <c r="H54" s="9">
        <v>19.690584182739258</v>
      </c>
      <c r="I54" s="9">
        <v>19.796918869018555</v>
      </c>
      <c r="J54" s="9">
        <v>19.250158309936523</v>
      </c>
      <c r="K54" s="9">
        <v>18.768951416015625</v>
      </c>
      <c r="L54" s="9">
        <v>18.463390350341797</v>
      </c>
      <c r="M54" s="9">
        <v>18.100000381469727</v>
      </c>
      <c r="N54" s="9">
        <v>17.994543075561523</v>
      </c>
      <c r="O54" s="9">
        <v>18.042619705200195</v>
      </c>
      <c r="P54" s="9">
        <v>17.982566833496094</v>
      </c>
      <c r="Q54" s="9">
        <v>17.896631240844727</v>
      </c>
      <c r="R54" s="9">
        <v>17.840862274169922</v>
      </c>
      <c r="S54" s="9">
        <v>17.591901779174805</v>
      </c>
      <c r="T54" s="9">
        <v>17.36433219909668</v>
      </c>
      <c r="U54" s="9">
        <v>17.417619705200195</v>
      </c>
      <c r="V54" s="9">
        <v>18.261625289916992</v>
      </c>
      <c r="W54" s="9">
        <v>18.07659912109375</v>
      </c>
      <c r="X54" s="9">
        <v>17.878871917724609</v>
      </c>
      <c r="Y54" s="9">
        <v>18.113912582397461</v>
      </c>
      <c r="Z54" s="9">
        <v>18.319568634033203</v>
      </c>
      <c r="AA54" s="9">
        <v>18.495826721191406</v>
      </c>
      <c r="AB54" s="9">
        <v>18.629486083984375</v>
      </c>
      <c r="AC54" s="9">
        <v>18.354671478271484</v>
      </c>
      <c r="AD54" s="9">
        <v>17.978681564331055</v>
      </c>
      <c r="AE54" s="9">
        <v>17.786581039428711</v>
      </c>
      <c r="AG54" s="9">
        <f t="shared" si="0"/>
        <v>17.999146027998492</v>
      </c>
    </row>
    <row r="55" spans="1:33" x14ac:dyDescent="0.2">
      <c r="A55" s="7" t="s">
        <v>154</v>
      </c>
      <c r="B55" s="7" t="s">
        <v>155</v>
      </c>
      <c r="C55" s="8"/>
      <c r="D55" s="8"/>
      <c r="E55" s="8"/>
      <c r="F55" s="9">
        <v>16.808504104614258</v>
      </c>
      <c r="G55" s="9">
        <v>16.706005096435547</v>
      </c>
      <c r="H55" s="9">
        <v>16.540771484375</v>
      </c>
      <c r="I55" s="9">
        <v>16.781888961791992</v>
      </c>
      <c r="J55" s="9">
        <v>16.571392059326172</v>
      </c>
      <c r="K55" s="9">
        <v>15.953896522521973</v>
      </c>
      <c r="L55" s="9">
        <v>15.715093612670898</v>
      </c>
      <c r="M55" s="9">
        <v>15.199999809265137</v>
      </c>
      <c r="N55" s="9">
        <v>14.967157363891602</v>
      </c>
      <c r="O55" s="9">
        <v>15.212766647338867</v>
      </c>
      <c r="P55" s="9">
        <v>15.290253639221191</v>
      </c>
      <c r="Q55" s="9">
        <v>15.120858192443848</v>
      </c>
      <c r="R55" s="9">
        <v>15.118074417114258</v>
      </c>
      <c r="S55" s="9">
        <v>14.899965286254883</v>
      </c>
      <c r="T55" s="9">
        <v>14.698661804199219</v>
      </c>
      <c r="U55" s="9">
        <v>14.65235710144043</v>
      </c>
      <c r="V55" s="9">
        <v>15.673038482666016</v>
      </c>
      <c r="W55" s="9">
        <v>15.589509010314941</v>
      </c>
      <c r="X55" s="9">
        <v>15.418810844421387</v>
      </c>
      <c r="Y55" s="9">
        <v>15.575552940368652</v>
      </c>
      <c r="Z55" s="9">
        <v>15.578228950500488</v>
      </c>
      <c r="AA55" s="9">
        <v>15.566699981689453</v>
      </c>
      <c r="AB55" s="9">
        <v>15.38303279876709</v>
      </c>
      <c r="AC55" s="9">
        <v>15.30415153503418</v>
      </c>
      <c r="AD55" s="9">
        <v>15.115432739257813</v>
      </c>
      <c r="AE55" s="9">
        <v>14.78849983215332</v>
      </c>
      <c r="AG55" s="9">
        <f t="shared" si="0"/>
        <v>15.286721056157893</v>
      </c>
    </row>
    <row r="56" spans="1:33" x14ac:dyDescent="0.2">
      <c r="A56" s="7" t="s">
        <v>156</v>
      </c>
      <c r="B56" s="7" t="s">
        <v>157</v>
      </c>
      <c r="C56" s="8"/>
      <c r="D56" s="8"/>
      <c r="E56" s="8"/>
      <c r="F56" s="9">
        <v>47.780609130859375</v>
      </c>
      <c r="G56" s="9">
        <v>46.458580017089844</v>
      </c>
      <c r="H56" s="9">
        <v>46.2572021484375</v>
      </c>
      <c r="I56" s="9">
        <v>45.503902435302734</v>
      </c>
      <c r="J56" s="9">
        <v>45.281871795654297</v>
      </c>
      <c r="K56" s="9">
        <v>47.176166534423828</v>
      </c>
      <c r="L56" s="9">
        <v>48.071807861328125</v>
      </c>
      <c r="M56" s="9">
        <v>48</v>
      </c>
      <c r="N56" s="9">
        <v>50.455394744873047</v>
      </c>
      <c r="O56" s="9">
        <v>50.916648864746094</v>
      </c>
      <c r="P56" s="9">
        <v>51.036033630371094</v>
      </c>
      <c r="Q56" s="9">
        <v>51.427619934082031</v>
      </c>
      <c r="R56" s="9">
        <v>50.506195068359375</v>
      </c>
      <c r="S56" s="9">
        <v>51.724369049072266</v>
      </c>
      <c r="T56" s="9">
        <v>51.446319580078125</v>
      </c>
      <c r="U56" s="9">
        <v>52.039741516113281</v>
      </c>
      <c r="V56" s="9">
        <v>53.889884948730469</v>
      </c>
      <c r="W56" s="9">
        <v>52.029056549072266</v>
      </c>
      <c r="X56" s="9">
        <v>51.299270629882813</v>
      </c>
      <c r="Y56" s="9">
        <v>51.704135894775391</v>
      </c>
      <c r="Z56" s="9">
        <v>51.488357543945313</v>
      </c>
      <c r="AA56" s="9">
        <v>51.023014068603516</v>
      </c>
      <c r="AB56" s="9">
        <v>51.0352783203125</v>
      </c>
      <c r="AC56" s="9">
        <v>51.171489715576172</v>
      </c>
      <c r="AD56" s="9">
        <v>51.114414215087891</v>
      </c>
      <c r="AE56" s="9">
        <v>50.099693298339844</v>
      </c>
      <c r="AG56" s="9">
        <f t="shared" si="0"/>
        <v>51.653238469904117</v>
      </c>
    </row>
    <row r="57" spans="1:33" x14ac:dyDescent="0.2">
      <c r="A57" s="7" t="s">
        <v>158</v>
      </c>
      <c r="B57" s="7" t="s">
        <v>159</v>
      </c>
      <c r="C57" s="8"/>
      <c r="D57" s="8"/>
      <c r="E57" s="8"/>
      <c r="F57" s="9">
        <v>47.238285064697266</v>
      </c>
      <c r="G57" s="9">
        <v>46.955162048339844</v>
      </c>
      <c r="H57" s="9">
        <v>48.152683258056641</v>
      </c>
      <c r="I57" s="9">
        <v>48.099399566650391</v>
      </c>
      <c r="J57" s="9">
        <v>47.197856903076172</v>
      </c>
      <c r="K57" s="9">
        <v>46.309181213378906</v>
      </c>
      <c r="L57" s="9">
        <v>45.312664031982422</v>
      </c>
      <c r="M57" s="9">
        <v>45.099998474121094</v>
      </c>
      <c r="N57" s="9">
        <v>44.372409820556641</v>
      </c>
      <c r="O57" s="9">
        <v>46.711585998535156</v>
      </c>
      <c r="P57" s="9">
        <v>44.027744293212891</v>
      </c>
      <c r="Q57" s="9">
        <v>42.318363189697266</v>
      </c>
      <c r="R57" s="9">
        <v>45.326889038085938</v>
      </c>
      <c r="S57" s="9">
        <v>46.405200958251953</v>
      </c>
      <c r="T57" s="9">
        <v>45.959316253662109</v>
      </c>
      <c r="U57" s="9">
        <v>45.964385986328125</v>
      </c>
      <c r="V57" s="9">
        <v>44.17181396484375</v>
      </c>
      <c r="W57" s="9">
        <v>43.324542999267578</v>
      </c>
      <c r="X57" s="9">
        <v>47.646778106689453</v>
      </c>
      <c r="Y57" s="9">
        <v>45.969436645507813</v>
      </c>
      <c r="Z57" s="9">
        <v>46.631416320800781</v>
      </c>
      <c r="AA57" s="9">
        <v>48.898101806640625</v>
      </c>
      <c r="AB57" s="9">
        <v>49.629932403564453</v>
      </c>
      <c r="AC57" s="9">
        <v>49.335735321044922</v>
      </c>
      <c r="AD57" s="9">
        <v>48.197246551513672</v>
      </c>
      <c r="AE57" s="9">
        <v>46.844100952148438</v>
      </c>
      <c r="AG57" s="9">
        <f t="shared" si="0"/>
        <v>46.357074043967508</v>
      </c>
    </row>
    <row r="58" spans="1:33" x14ac:dyDescent="0.2">
      <c r="A58" s="7" t="s">
        <v>160</v>
      </c>
      <c r="B58" s="7" t="s">
        <v>161</v>
      </c>
      <c r="C58" s="8"/>
      <c r="D58" s="8"/>
      <c r="E58" s="8"/>
      <c r="F58" s="9">
        <v>67.89923095703125</v>
      </c>
      <c r="G58" s="9">
        <v>68.917427062988281</v>
      </c>
      <c r="H58" s="9">
        <v>69.345603942871094</v>
      </c>
      <c r="I58" s="9">
        <v>68.211494445800781</v>
      </c>
      <c r="J58" s="9">
        <v>68.359786987304688</v>
      </c>
      <c r="K58" s="9">
        <v>68.4302978515625</v>
      </c>
      <c r="L58" s="9">
        <v>68.566177368164063</v>
      </c>
      <c r="M58" s="9">
        <v>67.300003051757813</v>
      </c>
      <c r="N58" s="9">
        <v>67.490028381347656</v>
      </c>
      <c r="O58" s="9">
        <v>67.712303161621094</v>
      </c>
      <c r="P58" s="9">
        <v>66.73663330078125</v>
      </c>
      <c r="Q58" s="9">
        <v>67.760673522949219</v>
      </c>
      <c r="R58" s="9">
        <v>68.25146484375</v>
      </c>
      <c r="S58" s="9">
        <v>67.190719604492188</v>
      </c>
      <c r="T58" s="9">
        <v>67.574806213378906</v>
      </c>
      <c r="U58" s="9">
        <v>68.913314819335938</v>
      </c>
      <c r="V58" s="9">
        <v>68.881568908691406</v>
      </c>
      <c r="W58" s="9">
        <v>66.389320373535156</v>
      </c>
      <c r="X58" s="9">
        <v>65.091163635253906</v>
      </c>
      <c r="Y58" s="9">
        <v>64.53753662109375</v>
      </c>
      <c r="Z58" s="9">
        <v>64.265884399414063</v>
      </c>
      <c r="AA58" s="9">
        <v>63.779556274414063</v>
      </c>
      <c r="AB58" s="9">
        <v>63.286979675292969</v>
      </c>
      <c r="AC58" s="9">
        <v>63.220439910888672</v>
      </c>
      <c r="AD58" s="9">
        <v>61.828231811523438</v>
      </c>
      <c r="AE58" s="9">
        <v>61.2352294921875</v>
      </c>
      <c r="AG58" s="9">
        <f t="shared" si="0"/>
        <v>66.196574124422938</v>
      </c>
    </row>
    <row r="59" spans="1:33" x14ac:dyDescent="0.2">
      <c r="A59" s="7" t="s">
        <v>162</v>
      </c>
      <c r="B59" s="7" t="s">
        <v>163</v>
      </c>
      <c r="C59" s="8"/>
      <c r="D59" s="8"/>
      <c r="E59" s="8"/>
      <c r="F59" s="9">
        <v>16.882621765136719</v>
      </c>
      <c r="G59" s="9">
        <v>16.799530029296875</v>
      </c>
      <c r="H59" s="9">
        <v>16.780973434448242</v>
      </c>
      <c r="I59" s="9">
        <v>16.867733001708984</v>
      </c>
      <c r="J59" s="9">
        <v>16.619756698608398</v>
      </c>
      <c r="K59" s="9">
        <v>16.321269989013672</v>
      </c>
      <c r="L59" s="9">
        <v>16.262290954589844</v>
      </c>
      <c r="M59" s="9">
        <v>16</v>
      </c>
      <c r="N59" s="9">
        <v>15.94591236114502</v>
      </c>
      <c r="O59" s="9">
        <v>16.196968078613281</v>
      </c>
      <c r="P59" s="9">
        <v>16.530506134033203</v>
      </c>
      <c r="Q59" s="9">
        <v>16.238885879516602</v>
      </c>
      <c r="R59" s="9">
        <v>16.210929870605469</v>
      </c>
      <c r="S59" s="9">
        <v>15.661530494689941</v>
      </c>
      <c r="T59" s="9">
        <v>15.199258804321289</v>
      </c>
      <c r="U59" s="9">
        <v>15.348127365112305</v>
      </c>
      <c r="V59" s="9">
        <v>16.420112609863281</v>
      </c>
      <c r="W59" s="9">
        <v>15.973832130432129</v>
      </c>
      <c r="X59" s="9">
        <v>15.380826950073242</v>
      </c>
      <c r="Y59" s="9">
        <v>15.410167694091797</v>
      </c>
      <c r="Z59" s="9">
        <v>15.597273826599121</v>
      </c>
      <c r="AA59" s="9">
        <v>15.325316429138184</v>
      </c>
      <c r="AB59" s="9">
        <v>15.239039421081543</v>
      </c>
      <c r="AC59" s="9">
        <v>15.236104011535645</v>
      </c>
      <c r="AD59" s="9">
        <v>15.139071464538574</v>
      </c>
      <c r="AE59" s="9">
        <v>15.140613555908203</v>
      </c>
      <c r="AG59" s="9">
        <f t="shared" si="0"/>
        <v>15.615128690546209</v>
      </c>
    </row>
    <row r="60" spans="1:33" x14ac:dyDescent="0.2">
      <c r="A60" s="7" t="s">
        <v>11</v>
      </c>
      <c r="B60" s="7" t="s">
        <v>44</v>
      </c>
      <c r="C60" s="8"/>
      <c r="D60" s="8"/>
      <c r="E60" s="8"/>
      <c r="F60" s="9">
        <v>43.884502410888672</v>
      </c>
      <c r="G60" s="9">
        <v>43.298973083496094</v>
      </c>
      <c r="H60" s="9">
        <v>42.537715911865234</v>
      </c>
      <c r="I60" s="9">
        <v>43.054866790771484</v>
      </c>
      <c r="J60" s="9">
        <v>42.871509552001953</v>
      </c>
      <c r="K60" s="9">
        <v>42.279804229736328</v>
      </c>
      <c r="L60" s="9">
        <v>42.320476531982422</v>
      </c>
      <c r="M60" s="9">
        <v>41.900001525878906</v>
      </c>
      <c r="N60" s="9">
        <v>41.854000091552734</v>
      </c>
      <c r="O60" s="9">
        <v>41.979087829589844</v>
      </c>
      <c r="P60" s="9">
        <v>42.418998718261719</v>
      </c>
      <c r="Q60" s="9">
        <v>42.375873565673828</v>
      </c>
      <c r="R60" s="9">
        <v>42.843765258789063</v>
      </c>
      <c r="S60" s="9">
        <v>40.018550872802734</v>
      </c>
      <c r="T60" s="9">
        <v>39.834785461425781</v>
      </c>
      <c r="U60" s="9">
        <v>39.923439025878906</v>
      </c>
      <c r="V60" s="9">
        <v>39.456657409667969</v>
      </c>
      <c r="W60" s="9">
        <v>39.284843444824219</v>
      </c>
      <c r="X60" s="9">
        <v>40.576728820800781</v>
      </c>
      <c r="Y60" s="9">
        <v>39.474140167236328</v>
      </c>
      <c r="Z60" s="9">
        <v>38.858100891113281</v>
      </c>
      <c r="AA60" s="9">
        <v>39.123664855957031</v>
      </c>
      <c r="AB60" s="9">
        <v>38.80218505859375</v>
      </c>
      <c r="AC60" s="9">
        <v>38.241268157958984</v>
      </c>
      <c r="AD60" s="9">
        <v>37.591098785400391</v>
      </c>
      <c r="AE60" s="9">
        <v>37.569698333740234</v>
      </c>
      <c r="AG60" s="9">
        <f t="shared" si="0"/>
        <v>39.836078297008164</v>
      </c>
    </row>
    <row r="61" spans="1:33" x14ac:dyDescent="0.2">
      <c r="A61" s="7" t="s">
        <v>164</v>
      </c>
      <c r="B61" s="7" t="s">
        <v>165</v>
      </c>
      <c r="C61" s="8"/>
      <c r="D61" s="8"/>
      <c r="E61" s="8"/>
      <c r="F61" s="9">
        <v>29.465055465698242</v>
      </c>
      <c r="G61" s="9">
        <v>29.229127883911133</v>
      </c>
      <c r="H61" s="9">
        <v>29.601930618286133</v>
      </c>
      <c r="I61" s="9">
        <v>29.172876358032227</v>
      </c>
      <c r="J61" s="9">
        <v>28.971530914306641</v>
      </c>
      <c r="K61" s="9">
        <v>28.778118133544922</v>
      </c>
      <c r="L61" s="9">
        <v>28.817792892456055</v>
      </c>
      <c r="M61" s="9">
        <v>28.700000762939453</v>
      </c>
      <c r="N61" s="9">
        <v>28.445329666137695</v>
      </c>
      <c r="O61" s="9">
        <v>28.230890274047852</v>
      </c>
      <c r="P61" s="9">
        <v>27.785993576049805</v>
      </c>
      <c r="Q61" s="9">
        <v>27.440986633300781</v>
      </c>
      <c r="R61" s="9">
        <v>27.688377380371094</v>
      </c>
      <c r="S61" s="9">
        <v>27.319141387939453</v>
      </c>
      <c r="T61" s="9">
        <v>27.197010040283203</v>
      </c>
      <c r="U61" s="9">
        <v>27.257978439331055</v>
      </c>
      <c r="V61" s="9">
        <v>28.336080551147461</v>
      </c>
      <c r="W61" s="9">
        <v>28.691644668579102</v>
      </c>
      <c r="X61" s="9">
        <v>29.517574310302734</v>
      </c>
      <c r="Y61" s="9">
        <v>30.380508422851563</v>
      </c>
      <c r="Z61" s="9">
        <v>30.202447891235352</v>
      </c>
      <c r="AA61" s="9">
        <v>30.093637466430664</v>
      </c>
      <c r="AB61" s="9">
        <v>30.16767692565918</v>
      </c>
      <c r="AC61" s="9">
        <v>30.07646369934082</v>
      </c>
      <c r="AD61" s="9">
        <v>29.756443023681641</v>
      </c>
      <c r="AE61" s="9">
        <v>29.349082946777344</v>
      </c>
      <c r="AG61" s="9">
        <f t="shared" si="0"/>
        <v>28.804734316739168</v>
      </c>
    </row>
    <row r="62" spans="1:33" x14ac:dyDescent="0.2">
      <c r="A62" s="7" t="s">
        <v>12</v>
      </c>
      <c r="B62" s="7" t="s">
        <v>45</v>
      </c>
      <c r="C62" s="8"/>
      <c r="D62" s="8"/>
      <c r="E62" s="8"/>
      <c r="F62" s="9">
        <v>54.228130340576172</v>
      </c>
      <c r="G62" s="9">
        <v>53.567111968994141</v>
      </c>
      <c r="H62" s="9">
        <v>53.664276123046875</v>
      </c>
      <c r="I62" s="9">
        <v>52.916088104248047</v>
      </c>
      <c r="J62" s="9">
        <v>52.732330322265625</v>
      </c>
      <c r="K62" s="9">
        <v>52.150302886962891</v>
      </c>
      <c r="L62" s="9">
        <v>51.579524993896484</v>
      </c>
      <c r="M62" s="9">
        <v>51.5</v>
      </c>
      <c r="N62" s="9">
        <v>52.657520294189453</v>
      </c>
      <c r="O62" s="9">
        <v>53.226417541503906</v>
      </c>
      <c r="P62" s="9">
        <v>52.989555358886719</v>
      </c>
      <c r="Q62" s="9">
        <v>53.283592224121094</v>
      </c>
      <c r="R62" s="9">
        <v>52.68939208984375</v>
      </c>
      <c r="S62" s="9">
        <v>51.479713439941406</v>
      </c>
      <c r="T62" s="9">
        <v>51.126445770263672</v>
      </c>
      <c r="U62" s="9">
        <v>51.281364440917969</v>
      </c>
      <c r="V62" s="9">
        <v>52.69525146484375</v>
      </c>
      <c r="W62" s="9">
        <v>52.920597076416016</v>
      </c>
      <c r="X62" s="9">
        <v>52.667186737060547</v>
      </c>
      <c r="Y62" s="9">
        <v>52.088138580322266</v>
      </c>
      <c r="Z62" s="9">
        <v>51.795612335205078</v>
      </c>
      <c r="AA62" s="9">
        <v>51.535991668701172</v>
      </c>
      <c r="AB62" s="9">
        <v>50.782695770263672</v>
      </c>
      <c r="AC62" s="9">
        <v>50.090530395507813</v>
      </c>
      <c r="AD62" s="9">
        <v>49.937080383300781</v>
      </c>
      <c r="AE62" s="9">
        <v>49.780509948730469</v>
      </c>
      <c r="AG62" s="9">
        <f t="shared" si="0"/>
        <v>51.914762670343571</v>
      </c>
    </row>
    <row r="63" spans="1:33" x14ac:dyDescent="0.2">
      <c r="A63" s="7" t="s">
        <v>166</v>
      </c>
      <c r="B63" s="7" t="s">
        <v>167</v>
      </c>
      <c r="C63" s="8"/>
      <c r="D63" s="8"/>
      <c r="E63" s="8"/>
      <c r="F63" s="9">
        <v>41.283046722412109</v>
      </c>
      <c r="G63" s="9">
        <v>41.637668609619141</v>
      </c>
      <c r="H63" s="9">
        <v>41.273021697998047</v>
      </c>
      <c r="I63" s="9">
        <v>41.017791748046875</v>
      </c>
      <c r="J63" s="9">
        <v>40.378917694091797</v>
      </c>
      <c r="K63" s="9">
        <v>39.869949340820313</v>
      </c>
      <c r="L63" s="9">
        <v>39.650100708007813</v>
      </c>
      <c r="M63" s="9">
        <v>39.599998474121094</v>
      </c>
      <c r="N63" s="9">
        <v>39.495395660400391</v>
      </c>
      <c r="O63" s="9">
        <v>39.458782196044922</v>
      </c>
      <c r="P63" s="9">
        <v>39.240898132324219</v>
      </c>
      <c r="Q63" s="9">
        <v>39.270965576171875</v>
      </c>
      <c r="R63" s="9">
        <v>39.429855346679688</v>
      </c>
      <c r="S63" s="9">
        <v>39.774749755859375</v>
      </c>
      <c r="T63" s="9">
        <v>39.347137451171875</v>
      </c>
      <c r="U63" s="9">
        <v>38.956241607666016</v>
      </c>
      <c r="V63" s="9">
        <v>39.330944061279297</v>
      </c>
      <c r="W63" s="9">
        <v>39.551189422607422</v>
      </c>
      <c r="X63" s="9">
        <v>39.628391265869141</v>
      </c>
      <c r="Y63" s="9">
        <v>39.387737274169922</v>
      </c>
      <c r="Z63" s="9">
        <v>39.657398223876953</v>
      </c>
      <c r="AA63" s="9">
        <v>39.526393890380859</v>
      </c>
      <c r="AB63" s="9">
        <v>39.46533203125</v>
      </c>
      <c r="AC63" s="9">
        <v>38.005176544189453</v>
      </c>
      <c r="AD63" s="9">
        <v>36.900833129882813</v>
      </c>
      <c r="AE63" s="9">
        <v>36.470741271972656</v>
      </c>
      <c r="AG63" s="9">
        <f t="shared" si="0"/>
        <v>39.459579120982774</v>
      </c>
    </row>
    <row r="64" spans="1:33" x14ac:dyDescent="0.2">
      <c r="A64" s="7" t="s">
        <v>168</v>
      </c>
      <c r="B64" s="7" t="s">
        <v>169</v>
      </c>
      <c r="C64" s="8"/>
      <c r="D64" s="8"/>
      <c r="E64" s="8"/>
      <c r="F64" s="9">
        <v>36.162036895751953</v>
      </c>
      <c r="G64" s="9">
        <v>36.035610198974609</v>
      </c>
      <c r="H64" s="9">
        <v>35.906475067138672</v>
      </c>
      <c r="I64" s="9">
        <v>34.570152282714844</v>
      </c>
      <c r="J64" s="9">
        <v>33.924777984619141</v>
      </c>
      <c r="K64" s="9">
        <v>39.628292083740234</v>
      </c>
      <c r="L64" s="9">
        <v>38.714622497558594</v>
      </c>
      <c r="M64" s="9">
        <v>39.599998474121094</v>
      </c>
      <c r="N64" s="9">
        <v>38.944995880126953</v>
      </c>
      <c r="O64" s="9">
        <v>39.577350616455078</v>
      </c>
      <c r="P64" s="9">
        <v>40.260143280029297</v>
      </c>
      <c r="Q64" s="9">
        <v>40.038913726806641</v>
      </c>
      <c r="R64" s="9">
        <v>39.540386199951172</v>
      </c>
      <c r="S64" s="9">
        <v>38.992599487304688</v>
      </c>
      <c r="T64" s="9">
        <v>38.506336212158203</v>
      </c>
      <c r="U64" s="9">
        <v>38.071235656738281</v>
      </c>
      <c r="V64" s="9">
        <v>37.969997406005859</v>
      </c>
      <c r="W64" s="9">
        <v>37.823467254638672</v>
      </c>
      <c r="X64" s="9">
        <v>37.135173797607422</v>
      </c>
      <c r="Y64" s="9">
        <v>38.319709777832031</v>
      </c>
      <c r="Z64" s="9">
        <v>37.703563690185547</v>
      </c>
      <c r="AA64" s="9">
        <v>39.502117156982422</v>
      </c>
      <c r="AB64" s="9">
        <v>38.623943328857422</v>
      </c>
      <c r="AC64" s="9">
        <v>37.868068695068359</v>
      </c>
      <c r="AD64" s="9">
        <v>37.314907073974609</v>
      </c>
      <c r="AE64" s="9">
        <v>36.779396057128906</v>
      </c>
      <c r="AG64" s="9">
        <f t="shared" si="0"/>
        <v>38.380775451660156</v>
      </c>
    </row>
    <row r="65" spans="1:33" x14ac:dyDescent="0.2">
      <c r="A65" s="7" t="s">
        <v>329</v>
      </c>
      <c r="B65" s="7" t="s">
        <v>330</v>
      </c>
      <c r="C65" s="8"/>
      <c r="D65" s="8"/>
      <c r="E65" s="8"/>
      <c r="F65" s="9">
        <v>33.941936492919922</v>
      </c>
      <c r="G65" s="9">
        <v>33.67657470703125</v>
      </c>
      <c r="H65" s="9">
        <v>33.394393920898438</v>
      </c>
      <c r="I65" s="9">
        <v>33.433624267578125</v>
      </c>
      <c r="J65" s="9">
        <v>32.985542297363281</v>
      </c>
      <c r="K65" s="9">
        <v>32.791877746582031</v>
      </c>
      <c r="L65" s="9">
        <v>32.825355529785156</v>
      </c>
      <c r="M65" s="9">
        <v>33.599998474121094</v>
      </c>
      <c r="N65" s="9">
        <v>33.706645965576172</v>
      </c>
      <c r="O65" s="9">
        <v>33.891849517822266</v>
      </c>
      <c r="P65" s="9">
        <v>34.165851593017578</v>
      </c>
      <c r="Q65" s="9">
        <v>33.849803924560547</v>
      </c>
      <c r="R65" s="9">
        <v>34.888435363769531</v>
      </c>
      <c r="S65" s="9">
        <v>32.282321929931641</v>
      </c>
      <c r="T65" s="9">
        <v>31.305849075317383</v>
      </c>
      <c r="U65" s="9">
        <v>32.049911499023438</v>
      </c>
      <c r="V65" s="9">
        <v>31.747177124023438</v>
      </c>
      <c r="W65" s="9">
        <v>31.221715927124023</v>
      </c>
      <c r="X65" s="9">
        <v>30.863458633422852</v>
      </c>
      <c r="Y65" s="9">
        <v>30.460287094116211</v>
      </c>
      <c r="Z65" s="9">
        <v>30.45037841796875</v>
      </c>
      <c r="AA65" s="9">
        <v>30.553844451904297</v>
      </c>
      <c r="AB65" s="9">
        <v>30.602676391601563</v>
      </c>
      <c r="AC65" s="9">
        <v>30.419679641723633</v>
      </c>
      <c r="AD65" s="9"/>
      <c r="AE65" s="9"/>
      <c r="AG65" s="9">
        <f t="shared" si="0"/>
        <v>31.493277809836648</v>
      </c>
    </row>
    <row r="66" spans="1:33" x14ac:dyDescent="0.2">
      <c r="A66" s="7" t="s">
        <v>331</v>
      </c>
      <c r="B66" s="7" t="s">
        <v>332</v>
      </c>
      <c r="C66" s="8"/>
      <c r="D66" s="8"/>
      <c r="E66" s="8"/>
      <c r="F66" s="9">
        <v>54.502056121826172</v>
      </c>
      <c r="G66" s="9">
        <v>61.113166809082031</v>
      </c>
      <c r="H66" s="9">
        <v>58.285160064697266</v>
      </c>
      <c r="I66" s="9">
        <v>56.328418731689453</v>
      </c>
      <c r="J66" s="9">
        <v>56.639610290527344</v>
      </c>
      <c r="K66" s="9">
        <v>56.044338226318359</v>
      </c>
      <c r="L66" s="9">
        <v>54.825565338134766</v>
      </c>
      <c r="M66" s="9">
        <v>55.400001525878906</v>
      </c>
      <c r="N66" s="9">
        <v>56.859928131103516</v>
      </c>
      <c r="O66" s="9">
        <v>58.096385955810547</v>
      </c>
      <c r="P66" s="9">
        <v>58.456645965576172</v>
      </c>
      <c r="Q66" s="9">
        <v>60.733856201171875</v>
      </c>
      <c r="R66" s="9">
        <v>60.784271240234375</v>
      </c>
      <c r="S66" s="9">
        <v>59.804378509521484</v>
      </c>
      <c r="T66" s="9">
        <v>58.640224456787109</v>
      </c>
      <c r="U66" s="9">
        <v>59.822994232177734</v>
      </c>
      <c r="V66" s="9">
        <v>59.413139343261719</v>
      </c>
      <c r="W66" s="9">
        <v>61.745841979980469</v>
      </c>
      <c r="X66" s="9">
        <v>61.000667572021484</v>
      </c>
      <c r="Y66" s="9">
        <v>60.500049591064453</v>
      </c>
      <c r="Z66" s="9">
        <v>59.157848358154297</v>
      </c>
      <c r="AA66" s="9">
        <v>59.244220733642578</v>
      </c>
      <c r="AB66" s="9">
        <v>59.710029602050781</v>
      </c>
      <c r="AC66" s="9">
        <v>60.003810882568359</v>
      </c>
      <c r="AD66" s="9">
        <v>59.705265045166016</v>
      </c>
      <c r="AE66" s="9">
        <v>59.085697174072266</v>
      </c>
      <c r="AG66" s="9">
        <f t="shared" si="0"/>
        <v>59.98396960171786</v>
      </c>
    </row>
    <row r="67" spans="1:33" x14ac:dyDescent="0.2">
      <c r="A67" s="7" t="s">
        <v>170</v>
      </c>
      <c r="B67" s="7" t="s">
        <v>171</v>
      </c>
      <c r="C67" s="8"/>
      <c r="D67" s="8"/>
      <c r="E67" s="8"/>
      <c r="F67" s="9">
        <v>49.333423614501953</v>
      </c>
      <c r="G67" s="9">
        <v>49.34527587890625</v>
      </c>
      <c r="H67" s="9">
        <v>48.852615356445313</v>
      </c>
      <c r="I67" s="9">
        <v>49.993648529052734</v>
      </c>
      <c r="J67" s="9">
        <v>48.752342224121094</v>
      </c>
      <c r="K67" s="9">
        <v>49.064716339111328</v>
      </c>
      <c r="L67" s="9">
        <v>49.761810302734375</v>
      </c>
      <c r="M67" s="9">
        <v>49.599998474121094</v>
      </c>
      <c r="N67" s="9">
        <v>50.168167114257813</v>
      </c>
      <c r="O67" s="9">
        <v>50.136646270751953</v>
      </c>
      <c r="P67" s="9">
        <v>50.664600372314453</v>
      </c>
      <c r="Q67" s="9">
        <v>50.559043884277344</v>
      </c>
      <c r="R67" s="9">
        <v>49.568305969238281</v>
      </c>
      <c r="S67" s="9">
        <v>48.276863098144531</v>
      </c>
      <c r="T67" s="9">
        <v>47.801750183105469</v>
      </c>
      <c r="U67" s="9">
        <v>47.986766815185547</v>
      </c>
      <c r="V67" s="9">
        <v>49.374965667724609</v>
      </c>
      <c r="W67" s="9">
        <v>49.515209197998047</v>
      </c>
      <c r="X67" s="9">
        <v>48.184028625488281</v>
      </c>
      <c r="Y67" s="9">
        <v>48.257556915283203</v>
      </c>
      <c r="Z67" s="9">
        <v>48.324943542480469</v>
      </c>
      <c r="AA67" s="9">
        <v>48.005313873291016</v>
      </c>
      <c r="AB67" s="9">
        <v>47.750396728515625</v>
      </c>
      <c r="AC67" s="9">
        <v>47.328853607177734</v>
      </c>
      <c r="AD67" s="9">
        <v>45.464218139648438</v>
      </c>
      <c r="AE67" s="9">
        <v>45.554008483886719</v>
      </c>
      <c r="AG67" s="9">
        <f t="shared" ref="AG67:AG130" si="1">AVERAGE($R67:$AB67)</f>
        <v>48.458736419677734</v>
      </c>
    </row>
    <row r="68" spans="1:33" x14ac:dyDescent="0.2">
      <c r="A68" s="7" t="s">
        <v>172</v>
      </c>
      <c r="B68" s="7" t="s">
        <v>173</v>
      </c>
      <c r="C68" s="8"/>
      <c r="D68" s="8"/>
      <c r="E68" s="8"/>
      <c r="F68" s="9">
        <v>27.897994995117188</v>
      </c>
      <c r="G68" s="9">
        <v>27.198602676391602</v>
      </c>
      <c r="H68" s="9">
        <v>26.529018402099609</v>
      </c>
      <c r="I68" s="9">
        <v>26.081352233886719</v>
      </c>
      <c r="J68" s="9">
        <v>25.753767013549805</v>
      </c>
      <c r="K68" s="9">
        <v>25.427734375</v>
      </c>
      <c r="L68" s="9">
        <v>25.325393676757813</v>
      </c>
      <c r="M68" s="9">
        <v>25.100000381469727</v>
      </c>
      <c r="N68" s="9">
        <v>24.835262298583984</v>
      </c>
      <c r="O68" s="9">
        <v>24.787189483642578</v>
      </c>
      <c r="P68" s="9">
        <v>24.932533264160156</v>
      </c>
      <c r="Q68" s="9">
        <v>24.604818344116211</v>
      </c>
      <c r="R68" s="9">
        <v>24.585865020751953</v>
      </c>
      <c r="S68" s="9">
        <v>24.302431106567383</v>
      </c>
      <c r="T68" s="9">
        <v>24.147603988647461</v>
      </c>
      <c r="U68" s="9">
        <v>24.244117736816406</v>
      </c>
      <c r="V68" s="9">
        <v>24.905843734741211</v>
      </c>
      <c r="W68" s="9">
        <v>24.855350494384766</v>
      </c>
      <c r="X68" s="9">
        <v>24.546848297119141</v>
      </c>
      <c r="Y68" s="9">
        <v>24.488254547119141</v>
      </c>
      <c r="Z68" s="9">
        <v>24.24566650390625</v>
      </c>
      <c r="AA68" s="9">
        <v>24.004814147949219</v>
      </c>
      <c r="AB68" s="9">
        <v>23.705142974853516</v>
      </c>
      <c r="AC68" s="9">
        <v>23.537296295166016</v>
      </c>
      <c r="AD68" s="9">
        <v>23.215511322021484</v>
      </c>
      <c r="AE68" s="9">
        <v>22.775291442871094</v>
      </c>
      <c r="AG68" s="9">
        <f t="shared" si="1"/>
        <v>24.366539868441496</v>
      </c>
    </row>
    <row r="69" spans="1:33" x14ac:dyDescent="0.2">
      <c r="A69" s="7" t="s">
        <v>174</v>
      </c>
      <c r="B69" s="7" t="s">
        <v>175</v>
      </c>
      <c r="C69" s="8"/>
      <c r="D69" s="8"/>
      <c r="E69" s="8"/>
      <c r="F69" s="9">
        <v>16.523704528808594</v>
      </c>
      <c r="G69" s="9">
        <v>16.431404113769531</v>
      </c>
      <c r="H69" s="9">
        <v>16.499860763549805</v>
      </c>
      <c r="I69" s="9">
        <v>16.240894317626953</v>
      </c>
      <c r="J69" s="9">
        <v>16.108964920043945</v>
      </c>
      <c r="K69" s="9">
        <v>15.927000999450684</v>
      </c>
      <c r="L69" s="9">
        <v>15.919269561767578</v>
      </c>
      <c r="M69" s="9">
        <v>15.899999618530273</v>
      </c>
      <c r="N69" s="9">
        <v>15.856473922729492</v>
      </c>
      <c r="O69" s="9">
        <v>16.218406677246094</v>
      </c>
      <c r="P69" s="9">
        <v>16.270252227783203</v>
      </c>
      <c r="Q69" s="9">
        <v>15.858901977539063</v>
      </c>
      <c r="R69" s="9">
        <v>15.663558959960938</v>
      </c>
      <c r="S69" s="9">
        <v>15.604206085205078</v>
      </c>
      <c r="T69" s="9">
        <v>15.250414848327637</v>
      </c>
      <c r="U69" s="9">
        <v>15.382853507995605</v>
      </c>
      <c r="V69" s="9">
        <v>16.248430252075195</v>
      </c>
      <c r="W69" s="9">
        <v>16.364604949951172</v>
      </c>
      <c r="X69" s="9">
        <v>16.272186279296875</v>
      </c>
      <c r="Y69" s="9">
        <v>16.167814254760742</v>
      </c>
      <c r="Z69" s="9">
        <v>15.970171928405762</v>
      </c>
      <c r="AA69" s="9">
        <v>15.865015983581543</v>
      </c>
      <c r="AB69" s="9">
        <v>15.576093673706055</v>
      </c>
      <c r="AC69" s="9">
        <v>15.221318244934082</v>
      </c>
      <c r="AD69" s="9">
        <v>15.202729225158691</v>
      </c>
      <c r="AE69" s="9">
        <v>15.147697448730469</v>
      </c>
      <c r="AG69" s="9">
        <f t="shared" si="1"/>
        <v>15.851395520296963</v>
      </c>
    </row>
    <row r="70" spans="1:33" x14ac:dyDescent="0.2">
      <c r="A70" s="7" t="s">
        <v>13</v>
      </c>
      <c r="B70" s="7" t="s">
        <v>46</v>
      </c>
      <c r="C70" s="8"/>
      <c r="D70" s="8"/>
      <c r="E70" s="8"/>
      <c r="F70" s="9">
        <v>22.902858734130859</v>
      </c>
      <c r="G70" s="9">
        <v>22.243154525756836</v>
      </c>
      <c r="H70" s="9">
        <v>22.39405632019043</v>
      </c>
      <c r="I70" s="9">
        <v>22.282245635986328</v>
      </c>
      <c r="J70" s="9">
        <v>22.687395095825195</v>
      </c>
      <c r="K70" s="9">
        <v>23.024747848510742</v>
      </c>
      <c r="L70" s="9">
        <v>23.25334358215332</v>
      </c>
      <c r="M70" s="9">
        <v>23.100000381469727</v>
      </c>
      <c r="N70" s="9">
        <v>22.817043304443359</v>
      </c>
      <c r="O70" s="9">
        <v>22.685338973999023</v>
      </c>
      <c r="P70" s="9">
        <v>22.151052474975586</v>
      </c>
      <c r="Q70" s="9">
        <v>21.887847900390625</v>
      </c>
      <c r="R70" s="9">
        <v>21.939844131469727</v>
      </c>
      <c r="S70" s="9">
        <v>21.483024597167969</v>
      </c>
      <c r="T70" s="9">
        <v>20.8857421875</v>
      </c>
      <c r="U70" s="9">
        <v>21.54754638671875</v>
      </c>
      <c r="V70" s="9">
        <v>21.804803848266602</v>
      </c>
      <c r="W70" s="9">
        <v>21.196895599365234</v>
      </c>
      <c r="X70" s="9">
        <v>21.172609329223633</v>
      </c>
      <c r="Y70" s="9">
        <v>21.109090805053711</v>
      </c>
      <c r="Z70" s="9">
        <v>20.783535003662109</v>
      </c>
      <c r="AA70" s="9">
        <v>20.740846633911133</v>
      </c>
      <c r="AB70" s="9">
        <v>20.204658508300781</v>
      </c>
      <c r="AC70" s="9">
        <v>19.932491302490234</v>
      </c>
      <c r="AD70" s="9">
        <v>20.066373825073242</v>
      </c>
      <c r="AE70" s="9">
        <v>19.729753494262695</v>
      </c>
      <c r="AG70" s="9">
        <f t="shared" si="1"/>
        <v>21.169872457330879</v>
      </c>
    </row>
    <row r="71" spans="1:33" x14ac:dyDescent="0.2">
      <c r="A71" s="7" t="s">
        <v>14</v>
      </c>
      <c r="B71" s="7" t="s">
        <v>47</v>
      </c>
      <c r="C71" s="8"/>
      <c r="D71" s="8"/>
      <c r="E71" s="8"/>
      <c r="F71" s="9">
        <v>20.102558135986328</v>
      </c>
      <c r="G71" s="9">
        <v>19.8052978515625</v>
      </c>
      <c r="H71" s="9">
        <v>19.512468338012695</v>
      </c>
      <c r="I71" s="9">
        <v>19.583505630493164</v>
      </c>
      <c r="J71" s="9">
        <v>19.319620132446289</v>
      </c>
      <c r="K71" s="9">
        <v>19.358455657958984</v>
      </c>
      <c r="L71" s="9">
        <v>19.58216667175293</v>
      </c>
      <c r="M71" s="9">
        <v>19.399999618530273</v>
      </c>
      <c r="N71" s="9">
        <v>19.62339973449707</v>
      </c>
      <c r="O71" s="9">
        <v>19.762365341186523</v>
      </c>
      <c r="P71" s="9">
        <v>19.979429244995117</v>
      </c>
      <c r="Q71" s="9">
        <v>19.956010818481445</v>
      </c>
      <c r="R71" s="9">
        <v>19.933475494384766</v>
      </c>
      <c r="S71" s="9">
        <v>19.834018707275391</v>
      </c>
      <c r="T71" s="9">
        <v>19.530622482299805</v>
      </c>
      <c r="U71" s="9">
        <v>19.366785049438477</v>
      </c>
      <c r="V71" s="9">
        <v>19.5888671875</v>
      </c>
      <c r="W71" s="9">
        <v>19.205591201782227</v>
      </c>
      <c r="X71" s="9">
        <v>19.075899124145508</v>
      </c>
      <c r="Y71" s="9">
        <v>18.963539123535156</v>
      </c>
      <c r="Z71" s="9">
        <v>18.881797790527344</v>
      </c>
      <c r="AA71" s="9">
        <v>18.647932052612305</v>
      </c>
      <c r="AB71" s="9">
        <v>18.724573135375977</v>
      </c>
      <c r="AC71" s="9">
        <v>18.389829635620117</v>
      </c>
      <c r="AD71" s="9">
        <v>18.110591888427734</v>
      </c>
      <c r="AE71" s="9">
        <v>17.884134292602539</v>
      </c>
      <c r="AG71" s="9">
        <f t="shared" si="1"/>
        <v>19.250281940806996</v>
      </c>
    </row>
    <row r="72" spans="1:33" x14ac:dyDescent="0.2">
      <c r="A72" s="7" t="s">
        <v>176</v>
      </c>
      <c r="B72" s="7" t="s">
        <v>177</v>
      </c>
      <c r="C72" s="8"/>
      <c r="D72" s="8"/>
      <c r="E72" s="8"/>
      <c r="F72" s="9">
        <v>19.369518280029297</v>
      </c>
      <c r="G72" s="9">
        <v>19.460174560546875</v>
      </c>
      <c r="H72" s="9">
        <v>19.398761749267578</v>
      </c>
      <c r="I72" s="9">
        <v>19.15052604675293</v>
      </c>
      <c r="J72" s="9">
        <v>18.808059692382813</v>
      </c>
      <c r="K72" s="9">
        <v>19.057361602783203</v>
      </c>
      <c r="L72" s="9">
        <v>18.766124725341797</v>
      </c>
      <c r="M72" s="9">
        <v>18.899999618530273</v>
      </c>
      <c r="N72" s="9">
        <v>19.017946243286133</v>
      </c>
      <c r="O72" s="9">
        <v>18.63311767578125</v>
      </c>
      <c r="P72" s="9">
        <v>18.184938430786133</v>
      </c>
      <c r="Q72" s="9">
        <v>17.792617797851563</v>
      </c>
      <c r="R72" s="9">
        <v>18.212799072265625</v>
      </c>
      <c r="S72" s="9">
        <v>17.994657516479492</v>
      </c>
      <c r="T72" s="9">
        <v>17.12584114074707</v>
      </c>
      <c r="U72" s="9">
        <v>17.277395248413086</v>
      </c>
      <c r="V72" s="9">
        <v>17.586338043212891</v>
      </c>
      <c r="W72" s="9">
        <v>17.423772811889648</v>
      </c>
      <c r="X72" s="9">
        <v>17.086448669433594</v>
      </c>
      <c r="Y72" s="9">
        <v>17.51738166809082</v>
      </c>
      <c r="Z72" s="9">
        <v>17.642770767211914</v>
      </c>
      <c r="AA72" s="9">
        <v>17.466386795043945</v>
      </c>
      <c r="AB72" s="9">
        <v>17.88330078125</v>
      </c>
      <c r="AC72" s="9">
        <v>17.626981735229492</v>
      </c>
      <c r="AD72" s="9">
        <v>17.50091552734375</v>
      </c>
      <c r="AE72" s="9">
        <v>17.762594223022461</v>
      </c>
      <c r="AG72" s="9">
        <f t="shared" si="1"/>
        <v>17.565190228548918</v>
      </c>
    </row>
    <row r="73" spans="1:33" x14ac:dyDescent="0.2">
      <c r="A73" s="7" t="s">
        <v>178</v>
      </c>
      <c r="B73" s="7" t="s">
        <v>179</v>
      </c>
      <c r="C73" s="8"/>
      <c r="D73" s="8"/>
      <c r="E73" s="8"/>
      <c r="F73" s="9">
        <v>17.52037239074707</v>
      </c>
      <c r="G73" s="9">
        <v>17.409038543701172</v>
      </c>
      <c r="H73" s="9">
        <v>17.113576889038086</v>
      </c>
      <c r="I73" s="9">
        <v>16.838338851928711</v>
      </c>
      <c r="J73" s="9">
        <v>16.566535949707031</v>
      </c>
      <c r="K73" s="9">
        <v>16.274158477783203</v>
      </c>
      <c r="L73" s="9">
        <v>16.060955047607422</v>
      </c>
      <c r="M73" s="9">
        <v>15.899999618530273</v>
      </c>
      <c r="N73" s="9">
        <v>15.904167175292969</v>
      </c>
      <c r="O73" s="9">
        <v>15.898274421691895</v>
      </c>
      <c r="P73" s="9">
        <v>15.955290794372559</v>
      </c>
      <c r="Q73" s="9">
        <v>15.882673263549805</v>
      </c>
      <c r="R73" s="9">
        <v>15.659989356994629</v>
      </c>
      <c r="S73" s="9">
        <v>15.769277572631836</v>
      </c>
      <c r="T73" s="9">
        <v>15.778558731079102</v>
      </c>
      <c r="U73" s="9">
        <v>16.220199584960938</v>
      </c>
      <c r="V73" s="9">
        <v>16.777746200561523</v>
      </c>
      <c r="W73" s="9">
        <v>16.644983291625977</v>
      </c>
      <c r="X73" s="9">
        <v>16.543943405151367</v>
      </c>
      <c r="Y73" s="9">
        <v>16.415397644042969</v>
      </c>
      <c r="Z73" s="9">
        <v>16.314212799072266</v>
      </c>
      <c r="AA73" s="9">
        <v>15.936738014221191</v>
      </c>
      <c r="AB73" s="9">
        <v>14.963448524475098</v>
      </c>
      <c r="AC73" s="9">
        <v>14.995302200317383</v>
      </c>
      <c r="AD73" s="9">
        <v>14.743144989013672</v>
      </c>
      <c r="AE73" s="9">
        <v>14.404099464416504</v>
      </c>
      <c r="AG73" s="9">
        <f t="shared" si="1"/>
        <v>16.093135920437899</v>
      </c>
    </row>
    <row r="74" spans="1:33" x14ac:dyDescent="0.2">
      <c r="A74" s="7" t="s">
        <v>180</v>
      </c>
      <c r="B74" s="7" t="s">
        <v>181</v>
      </c>
      <c r="C74" s="8"/>
      <c r="D74" s="8"/>
      <c r="E74" s="8"/>
      <c r="F74" s="9">
        <v>23.195154190063477</v>
      </c>
      <c r="G74" s="9">
        <v>22.719150543212891</v>
      </c>
      <c r="H74" s="9">
        <v>22.716701507568359</v>
      </c>
      <c r="I74" s="9">
        <v>22.995506286621094</v>
      </c>
      <c r="J74" s="9">
        <v>22.788869857788086</v>
      </c>
      <c r="K74" s="9">
        <v>22.53297233581543</v>
      </c>
      <c r="L74" s="9">
        <v>22.430665969848633</v>
      </c>
      <c r="M74" s="9">
        <v>21.899999618530273</v>
      </c>
      <c r="N74" s="9">
        <v>22.326055526733398</v>
      </c>
      <c r="O74" s="9">
        <v>22.810287475585938</v>
      </c>
      <c r="P74" s="9">
        <v>22.627851486206055</v>
      </c>
      <c r="Q74" s="9">
        <v>22.138080596923828</v>
      </c>
      <c r="R74" s="9">
        <v>21.99464225769043</v>
      </c>
      <c r="S74" s="9">
        <v>21.489452362060547</v>
      </c>
      <c r="T74" s="9">
        <v>20.988714218139648</v>
      </c>
      <c r="U74" s="9">
        <v>20.731019973754883</v>
      </c>
      <c r="V74" s="9">
        <v>20.963779449462891</v>
      </c>
      <c r="W74" s="9">
        <v>20.529436111450195</v>
      </c>
      <c r="X74" s="9">
        <v>20.250112533569336</v>
      </c>
      <c r="Y74" s="9">
        <v>20.445072174072266</v>
      </c>
      <c r="Z74" s="9">
        <v>20.269643783569336</v>
      </c>
      <c r="AA74" s="9">
        <v>20.151824951171875</v>
      </c>
      <c r="AB74" s="9">
        <v>19.85893440246582</v>
      </c>
      <c r="AC74" s="9">
        <v>19.710121154785156</v>
      </c>
      <c r="AD74" s="9">
        <v>19.569618225097656</v>
      </c>
      <c r="AE74" s="9">
        <v>19.66254997253418</v>
      </c>
      <c r="AG74" s="9">
        <f t="shared" si="1"/>
        <v>20.697512019764293</v>
      </c>
    </row>
    <row r="75" spans="1:33" x14ac:dyDescent="0.2">
      <c r="A75" s="7" t="s">
        <v>182</v>
      </c>
      <c r="B75" s="7" t="s">
        <v>183</v>
      </c>
      <c r="C75" s="8"/>
      <c r="D75" s="8"/>
      <c r="E75" s="8"/>
      <c r="F75" s="9">
        <v>30.580818176269531</v>
      </c>
      <c r="G75" s="9">
        <v>29.995689392089844</v>
      </c>
      <c r="H75" s="9">
        <v>28.973577499389648</v>
      </c>
      <c r="I75" s="9">
        <v>28.638282775878906</v>
      </c>
      <c r="J75" s="9">
        <v>28.368341445922852</v>
      </c>
      <c r="K75" s="9">
        <v>27.989559173583984</v>
      </c>
      <c r="L75" s="9">
        <v>27.72117805480957</v>
      </c>
      <c r="M75" s="9">
        <v>27.100000381469727</v>
      </c>
      <c r="N75" s="9">
        <v>26.924554824829102</v>
      </c>
      <c r="O75" s="9">
        <v>26.917469024658203</v>
      </c>
      <c r="P75" s="9">
        <v>27.143863677978516</v>
      </c>
      <c r="Q75" s="9">
        <v>27.108978271484375</v>
      </c>
      <c r="R75" s="9">
        <v>27.308574676513672</v>
      </c>
      <c r="S75" s="9">
        <v>27.035728454589844</v>
      </c>
      <c r="T75" s="9">
        <v>26.700822830200195</v>
      </c>
      <c r="U75" s="9">
        <v>27.255178451538086</v>
      </c>
      <c r="V75" s="9">
        <v>28.857276916503906</v>
      </c>
      <c r="W75" s="9">
        <v>28.593011856079102</v>
      </c>
      <c r="X75" s="9">
        <v>28.205343246459961</v>
      </c>
      <c r="Y75" s="9">
        <v>28.993444442749023</v>
      </c>
      <c r="Z75" s="9">
        <v>29.640575408935547</v>
      </c>
      <c r="AA75" s="9">
        <v>29.772014617919922</v>
      </c>
      <c r="AB75" s="9">
        <v>29.302024841308594</v>
      </c>
      <c r="AC75" s="9">
        <v>28.923198699951172</v>
      </c>
      <c r="AD75" s="9">
        <v>28.481582641601563</v>
      </c>
      <c r="AE75" s="9">
        <v>28.414623260498047</v>
      </c>
      <c r="AG75" s="9">
        <f t="shared" si="1"/>
        <v>28.333090522072531</v>
      </c>
    </row>
    <row r="76" spans="1:33" x14ac:dyDescent="0.2">
      <c r="A76" s="7" t="s">
        <v>184</v>
      </c>
      <c r="B76" s="7" t="s">
        <v>185</v>
      </c>
      <c r="C76" s="8"/>
      <c r="D76" s="8"/>
      <c r="E76" s="8"/>
      <c r="F76" s="9">
        <v>33.357242584228516</v>
      </c>
      <c r="G76" s="9">
        <v>32.751976013183594</v>
      </c>
      <c r="H76" s="9">
        <v>32.451801300048828</v>
      </c>
      <c r="I76" s="9">
        <v>33.571475982666016</v>
      </c>
      <c r="J76" s="9">
        <v>34.930057525634766</v>
      </c>
      <c r="K76" s="9">
        <v>36.497947692871094</v>
      </c>
      <c r="L76" s="9">
        <v>36.237159729003906</v>
      </c>
      <c r="M76" s="9">
        <v>36.400001525878906</v>
      </c>
      <c r="N76" s="9">
        <v>36.225082397460938</v>
      </c>
      <c r="O76" s="9">
        <v>35.782207489013672</v>
      </c>
      <c r="P76" s="9">
        <v>34.073287963867188</v>
      </c>
      <c r="Q76" s="9">
        <v>33.184425354003906</v>
      </c>
      <c r="R76" s="9">
        <v>33.7568359375</v>
      </c>
      <c r="S76" s="9">
        <v>32.041576385498047</v>
      </c>
      <c r="T76" s="9">
        <v>31.827669143676758</v>
      </c>
      <c r="U76" s="9">
        <v>32.923763275146484</v>
      </c>
      <c r="V76" s="9">
        <v>35.284767150878906</v>
      </c>
      <c r="W76" s="9">
        <v>36.084236145019531</v>
      </c>
      <c r="X76" s="9">
        <v>35.534835815429688</v>
      </c>
      <c r="Y76" s="9">
        <v>36.555469512939453</v>
      </c>
      <c r="Z76" s="9">
        <v>36.460952758789063</v>
      </c>
      <c r="AA76" s="9">
        <v>35.815967559814453</v>
      </c>
      <c r="AB76" s="9">
        <v>35.287887573242188</v>
      </c>
      <c r="AC76" s="9">
        <v>34.687286376953125</v>
      </c>
      <c r="AD76" s="9">
        <v>34.089149475097656</v>
      </c>
      <c r="AE76" s="9">
        <v>33.230480194091797</v>
      </c>
      <c r="AG76" s="9">
        <f t="shared" si="1"/>
        <v>34.688541932539508</v>
      </c>
    </row>
    <row r="77" spans="1:33" x14ac:dyDescent="0.2">
      <c r="A77" s="7" t="s">
        <v>186</v>
      </c>
      <c r="B77" s="7" t="s">
        <v>187</v>
      </c>
      <c r="C77" s="8"/>
      <c r="D77" s="8"/>
      <c r="E77" s="8"/>
      <c r="F77" s="9">
        <v>11.151355743408203</v>
      </c>
      <c r="G77" s="9">
        <v>11.191974639892578</v>
      </c>
      <c r="H77" s="9">
        <v>11.120049476623535</v>
      </c>
      <c r="I77" s="9">
        <v>11.105954170227051</v>
      </c>
      <c r="J77" s="9">
        <v>11.053420066833496</v>
      </c>
      <c r="K77" s="9">
        <v>11.210633277893066</v>
      </c>
      <c r="L77" s="9">
        <v>11.323529243469238</v>
      </c>
      <c r="M77" s="9">
        <v>11.199999809265137</v>
      </c>
      <c r="N77" s="9">
        <v>11.286359786987305</v>
      </c>
      <c r="O77" s="9">
        <v>11.398764610290527</v>
      </c>
      <c r="P77" s="9">
        <v>11.274770736694336</v>
      </c>
      <c r="Q77" s="9">
        <v>11.059144973754883</v>
      </c>
      <c r="R77" s="9">
        <v>10.952668190002441</v>
      </c>
      <c r="S77" s="9">
        <v>10.755595207214355</v>
      </c>
      <c r="T77" s="9">
        <v>10.677128791809082</v>
      </c>
      <c r="U77" s="9">
        <v>10.791587829589844</v>
      </c>
      <c r="V77" s="9">
        <v>11.331862449645996</v>
      </c>
      <c r="W77" s="9">
        <v>11.05793285369873</v>
      </c>
      <c r="X77" s="9">
        <v>11.084731101989746</v>
      </c>
      <c r="Y77" s="9">
        <v>10.985761642456055</v>
      </c>
      <c r="Z77" s="9">
        <v>10.768731117248535</v>
      </c>
      <c r="AA77" s="9">
        <v>10.660846710205078</v>
      </c>
      <c r="AB77" s="9">
        <v>10.525887489318848</v>
      </c>
      <c r="AC77" s="9">
        <v>10.44891357421875</v>
      </c>
      <c r="AD77" s="9">
        <v>10.317000389099121</v>
      </c>
      <c r="AE77" s="9">
        <v>10.207539558410645</v>
      </c>
      <c r="AG77" s="9">
        <f t="shared" si="1"/>
        <v>10.872066671198064</v>
      </c>
    </row>
    <row r="78" spans="1:33" x14ac:dyDescent="0.2">
      <c r="A78" s="7" t="s">
        <v>188</v>
      </c>
      <c r="B78" s="7" t="s">
        <v>189</v>
      </c>
      <c r="C78" s="8"/>
      <c r="D78" s="8"/>
      <c r="E78" s="8"/>
      <c r="F78" s="9">
        <v>19.879405975341797</v>
      </c>
      <c r="G78" s="9">
        <v>19.826574325561523</v>
      </c>
      <c r="H78" s="9">
        <v>19.561435699462891</v>
      </c>
      <c r="I78" s="9">
        <v>19.744281768798828</v>
      </c>
      <c r="J78" s="9">
        <v>19.619192123413086</v>
      </c>
      <c r="K78" s="9">
        <v>19.472986221313477</v>
      </c>
      <c r="L78" s="9">
        <v>19.348215103149414</v>
      </c>
      <c r="M78" s="9">
        <v>19.399999618530273</v>
      </c>
      <c r="N78" s="9">
        <v>19.242380142211914</v>
      </c>
      <c r="O78" s="9">
        <v>18.994840621948242</v>
      </c>
      <c r="P78" s="9">
        <v>18.755823135375977</v>
      </c>
      <c r="Q78" s="9">
        <v>18.314834594726563</v>
      </c>
      <c r="R78" s="9">
        <v>18.128265380859375</v>
      </c>
      <c r="S78" s="9">
        <v>17.720880508422852</v>
      </c>
      <c r="T78" s="9">
        <v>17.423177719116211</v>
      </c>
      <c r="U78" s="9">
        <v>17.338254928588867</v>
      </c>
      <c r="V78" s="9">
        <v>17.136589050292969</v>
      </c>
      <c r="W78" s="9">
        <v>17.28498649597168</v>
      </c>
      <c r="X78" s="9">
        <v>17.546258926391602</v>
      </c>
      <c r="Y78" s="9">
        <v>17.682214736938477</v>
      </c>
      <c r="Z78" s="9">
        <v>17.796520233154297</v>
      </c>
      <c r="AA78" s="9">
        <v>17.598014831542969</v>
      </c>
      <c r="AB78" s="9">
        <v>17.762371063232422</v>
      </c>
      <c r="AC78" s="9">
        <v>17.971538543701172</v>
      </c>
      <c r="AD78" s="9">
        <v>17.997432708740234</v>
      </c>
      <c r="AE78" s="9">
        <v>17.973659515380859</v>
      </c>
      <c r="AG78" s="9">
        <f t="shared" si="1"/>
        <v>17.583412170410156</v>
      </c>
    </row>
    <row r="79" spans="1:33" x14ac:dyDescent="0.2">
      <c r="A79" s="7" t="s">
        <v>190</v>
      </c>
      <c r="B79" s="7" t="s">
        <v>191</v>
      </c>
      <c r="C79" s="8"/>
      <c r="D79" s="8"/>
      <c r="E79" s="8"/>
      <c r="F79" s="9">
        <v>43.797264099121094</v>
      </c>
      <c r="G79" s="9">
        <v>42.118503570556641</v>
      </c>
      <c r="H79" s="9">
        <v>44.144142150878906</v>
      </c>
      <c r="I79" s="9">
        <v>44.199577331542969</v>
      </c>
      <c r="J79" s="9">
        <v>43.798912048339844</v>
      </c>
      <c r="K79" s="9">
        <v>42.925125122070313</v>
      </c>
      <c r="L79" s="9">
        <v>43.236701965332031</v>
      </c>
      <c r="M79" s="9">
        <v>43.200000762939453</v>
      </c>
      <c r="N79" s="9">
        <v>43.458026885986328</v>
      </c>
      <c r="O79" s="9">
        <v>42.275424957275391</v>
      </c>
      <c r="P79" s="9">
        <v>41.552646636962891</v>
      </c>
      <c r="Q79" s="9">
        <v>41.452049255371094</v>
      </c>
      <c r="R79" s="9">
        <v>40.917495727539063</v>
      </c>
      <c r="S79" s="9">
        <v>39.840141296386719</v>
      </c>
      <c r="T79" s="9">
        <v>40.063655853271484</v>
      </c>
      <c r="U79" s="9">
        <v>39.372631072998047</v>
      </c>
      <c r="V79" s="9">
        <v>40.136619567871094</v>
      </c>
      <c r="W79" s="9">
        <v>39.414142608642578</v>
      </c>
      <c r="X79" s="9">
        <v>38.916664123535156</v>
      </c>
      <c r="Y79" s="9">
        <v>39.309165954589844</v>
      </c>
      <c r="Z79" s="9">
        <v>38.458457946777344</v>
      </c>
      <c r="AA79" s="9">
        <v>38.089981079101563</v>
      </c>
      <c r="AB79" s="9">
        <v>38.602153778076172</v>
      </c>
      <c r="AC79" s="9">
        <v>38.616275787353516</v>
      </c>
      <c r="AD79" s="9">
        <v>37.860313415527344</v>
      </c>
      <c r="AE79" s="9">
        <v>36.555557250976563</v>
      </c>
      <c r="AG79" s="9">
        <f t="shared" si="1"/>
        <v>39.374646273526281</v>
      </c>
    </row>
    <row r="80" spans="1:33" x14ac:dyDescent="0.2">
      <c r="A80" s="7" t="s">
        <v>16</v>
      </c>
      <c r="B80" s="7" t="s">
        <v>49</v>
      </c>
      <c r="C80" s="8"/>
      <c r="D80" s="8"/>
      <c r="E80" s="8"/>
      <c r="F80" s="9">
        <v>34.134407043457031</v>
      </c>
      <c r="G80" s="9">
        <v>34.340202331542969</v>
      </c>
      <c r="H80" s="9">
        <v>34.052616119384766</v>
      </c>
      <c r="I80" s="9">
        <v>34.041847229003906</v>
      </c>
      <c r="J80" s="9">
        <v>34.33819580078125</v>
      </c>
      <c r="K80" s="9">
        <v>34.463764190673828</v>
      </c>
      <c r="L80" s="9">
        <v>34.353057861328125</v>
      </c>
      <c r="M80" s="9">
        <v>34.299999237060547</v>
      </c>
      <c r="N80" s="9">
        <v>34.560859680175781</v>
      </c>
      <c r="O80" s="9">
        <v>35.199962615966797</v>
      </c>
      <c r="P80" s="9">
        <v>35.457317352294922</v>
      </c>
      <c r="Q80" s="9">
        <v>35.138744354248047</v>
      </c>
      <c r="R80" s="9">
        <v>34.860908508300781</v>
      </c>
      <c r="S80" s="9">
        <v>33.373394012451172</v>
      </c>
      <c r="T80" s="9">
        <v>32.863845825195313</v>
      </c>
      <c r="U80" s="9">
        <v>33.602081298828125</v>
      </c>
      <c r="V80" s="9">
        <v>33.472118377685547</v>
      </c>
      <c r="W80" s="9">
        <v>32.444923400878906</v>
      </c>
      <c r="X80" s="9">
        <v>32.042758941650391</v>
      </c>
      <c r="Y80" s="9">
        <v>31.745941162109375</v>
      </c>
      <c r="Z80" s="9">
        <v>31.359832763671875</v>
      </c>
      <c r="AA80" s="9">
        <v>30.866184234619141</v>
      </c>
      <c r="AB80" s="9">
        <v>30.547565460205078</v>
      </c>
      <c r="AC80" s="9">
        <v>29.824079513549805</v>
      </c>
      <c r="AD80" s="9">
        <v>29.436239242553711</v>
      </c>
      <c r="AE80" s="9">
        <v>29.205049514770508</v>
      </c>
      <c r="AG80" s="9">
        <f t="shared" si="1"/>
        <v>32.470868544145063</v>
      </c>
    </row>
    <row r="81" spans="1:33" x14ac:dyDescent="0.2">
      <c r="A81" s="7" t="s">
        <v>192</v>
      </c>
      <c r="B81" s="7" t="s">
        <v>193</v>
      </c>
      <c r="C81" s="8"/>
      <c r="D81" s="8"/>
      <c r="E81" s="8"/>
      <c r="F81" s="9">
        <v>27.955377578735352</v>
      </c>
      <c r="G81" s="9">
        <v>27.604015350341797</v>
      </c>
      <c r="H81" s="9">
        <v>27.292457580566406</v>
      </c>
      <c r="I81" s="9">
        <v>27.514871597290039</v>
      </c>
      <c r="J81" s="9">
        <v>27.501424789428711</v>
      </c>
      <c r="K81" s="9">
        <v>28.758432388305664</v>
      </c>
      <c r="L81" s="9">
        <v>28.201581954956055</v>
      </c>
      <c r="M81" s="9">
        <v>27.5</v>
      </c>
      <c r="N81" s="9">
        <v>27.472711563110352</v>
      </c>
      <c r="O81" s="9">
        <v>27.097562789916992</v>
      </c>
      <c r="P81" s="9">
        <v>27.145412445068359</v>
      </c>
      <c r="Q81" s="9">
        <v>27.113510131835938</v>
      </c>
      <c r="R81" s="9">
        <v>27.052770614624023</v>
      </c>
      <c r="S81" s="9">
        <v>26.933448791503906</v>
      </c>
      <c r="T81" s="9">
        <v>26.635246276855469</v>
      </c>
      <c r="U81" s="9">
        <v>26.835481643676758</v>
      </c>
      <c r="V81" s="9">
        <v>26.993171691894531</v>
      </c>
      <c r="W81" s="9">
        <v>26.565647125244141</v>
      </c>
      <c r="X81" s="9">
        <v>26.394304275512695</v>
      </c>
      <c r="Y81" s="9">
        <v>26.375358581542969</v>
      </c>
      <c r="Z81" s="9">
        <v>26.340463638305664</v>
      </c>
      <c r="AA81" s="9">
        <v>26.302646636962891</v>
      </c>
      <c r="AB81" s="9">
        <v>26.290456771850586</v>
      </c>
      <c r="AC81" s="9">
        <v>26.205989837646484</v>
      </c>
      <c r="AD81" s="9">
        <v>26.117546081542969</v>
      </c>
      <c r="AE81" s="9">
        <v>26.139612197875977</v>
      </c>
      <c r="AG81" s="9">
        <f t="shared" si="1"/>
        <v>26.610817822543058</v>
      </c>
    </row>
    <row r="82" spans="1:33" x14ac:dyDescent="0.2">
      <c r="A82" s="7" t="s">
        <v>194</v>
      </c>
      <c r="B82" s="7" t="s">
        <v>195</v>
      </c>
      <c r="C82" s="8"/>
      <c r="D82" s="8"/>
      <c r="E82" s="8"/>
      <c r="F82" s="9">
        <v>19.993951797485352</v>
      </c>
      <c r="G82" s="9">
        <v>20.597726821899414</v>
      </c>
      <c r="H82" s="9">
        <v>19.702672958374023</v>
      </c>
      <c r="I82" s="9">
        <v>19.413557052612305</v>
      </c>
      <c r="J82" s="9">
        <v>19.612697601318359</v>
      </c>
      <c r="K82" s="9">
        <v>20.051515579223633</v>
      </c>
      <c r="L82" s="9">
        <v>20.317750930786133</v>
      </c>
      <c r="M82" s="9">
        <v>20.100000381469727</v>
      </c>
      <c r="N82" s="9">
        <v>20.236732482910156</v>
      </c>
      <c r="O82" s="9">
        <v>20.2022705078125</v>
      </c>
      <c r="P82" s="9">
        <v>19.327577590942383</v>
      </c>
      <c r="Q82" s="9">
        <v>18.792577743530273</v>
      </c>
      <c r="R82" s="9">
        <v>18.138275146484375</v>
      </c>
      <c r="S82" s="9">
        <v>17.654520034790039</v>
      </c>
      <c r="T82" s="9">
        <v>17.833316802978516</v>
      </c>
      <c r="U82" s="9">
        <v>18.18280029296875</v>
      </c>
      <c r="V82" s="9">
        <v>19.015174865722656</v>
      </c>
      <c r="W82" s="9">
        <v>19.474382400512695</v>
      </c>
      <c r="X82" s="9">
        <v>19.596546173095703</v>
      </c>
      <c r="Y82" s="9">
        <v>19.61439323425293</v>
      </c>
      <c r="Z82" s="9">
        <v>19.863498687744141</v>
      </c>
      <c r="AA82" s="9">
        <v>20.180021286010742</v>
      </c>
      <c r="AB82" s="9">
        <v>20.423225402832031</v>
      </c>
      <c r="AC82" s="9">
        <v>20.619384765625</v>
      </c>
      <c r="AD82" s="9">
        <v>20.864864349365234</v>
      </c>
      <c r="AE82" s="9">
        <v>20.778236389160156</v>
      </c>
      <c r="AG82" s="9">
        <f t="shared" si="1"/>
        <v>19.088741302490234</v>
      </c>
    </row>
    <row r="83" spans="1:33" x14ac:dyDescent="0.2">
      <c r="A83" s="7" t="s">
        <v>196</v>
      </c>
      <c r="B83" s="7" t="s">
        <v>197</v>
      </c>
      <c r="C83" s="8"/>
      <c r="D83" s="8"/>
      <c r="E83" s="8"/>
      <c r="F83" s="9">
        <v>41.406406402587891</v>
      </c>
      <c r="G83" s="9">
        <v>41.612583160400391</v>
      </c>
      <c r="H83" s="9">
        <v>42.307689666748047</v>
      </c>
      <c r="I83" s="9">
        <v>41.158241271972656</v>
      </c>
      <c r="J83" s="9">
        <v>39.8309326171875</v>
      </c>
      <c r="K83" s="9">
        <v>40.332695007324219</v>
      </c>
      <c r="L83" s="9">
        <v>40.819683074951172</v>
      </c>
      <c r="M83" s="9">
        <v>41.200000762939453</v>
      </c>
      <c r="N83" s="9">
        <v>39.605033874511719</v>
      </c>
      <c r="O83" s="9">
        <v>41.55035400390625</v>
      </c>
      <c r="P83" s="9">
        <v>39.497291564941406</v>
      </c>
      <c r="Q83" s="9">
        <v>39.745471954345703</v>
      </c>
      <c r="R83" s="9">
        <v>39.538829803466797</v>
      </c>
      <c r="S83" s="9">
        <v>39.677822113037109</v>
      </c>
      <c r="T83" s="9">
        <v>38.662586212158203</v>
      </c>
      <c r="U83" s="9">
        <v>38.455287933349609</v>
      </c>
      <c r="V83" s="9">
        <v>39.117317199707031</v>
      </c>
      <c r="W83" s="9">
        <v>38.768276214599609</v>
      </c>
      <c r="X83" s="9">
        <v>38.472244262695313</v>
      </c>
      <c r="Y83" s="9">
        <v>39.697540283203125</v>
      </c>
      <c r="Z83" s="9">
        <v>38.092235565185547</v>
      </c>
      <c r="AA83" s="9">
        <v>37.549636840820313</v>
      </c>
      <c r="AB83" s="9">
        <v>37.509670257568359</v>
      </c>
      <c r="AC83" s="9">
        <v>37.041721343994141</v>
      </c>
      <c r="AD83" s="9">
        <v>36.371707916259766</v>
      </c>
      <c r="AE83" s="9">
        <v>35.561065673828125</v>
      </c>
      <c r="AG83" s="9">
        <f t="shared" si="1"/>
        <v>38.68558606234464</v>
      </c>
    </row>
    <row r="84" spans="1:33" x14ac:dyDescent="0.2">
      <c r="A84" s="7" t="s">
        <v>198</v>
      </c>
      <c r="B84" s="7" t="s">
        <v>50</v>
      </c>
      <c r="C84" s="8"/>
      <c r="D84" s="8"/>
      <c r="E84" s="8"/>
      <c r="F84" s="9">
        <v>31.470993041992188</v>
      </c>
      <c r="G84" s="9">
        <v>31.436962127685547</v>
      </c>
      <c r="H84" s="9">
        <v>31.420928955078125</v>
      </c>
      <c r="I84" s="9">
        <v>30.900508880615234</v>
      </c>
      <c r="J84" s="9">
        <v>30.825691223144531</v>
      </c>
      <c r="K84" s="9">
        <v>30.711467742919922</v>
      </c>
      <c r="L84" s="9">
        <v>30.70869255065918</v>
      </c>
      <c r="M84" s="9">
        <v>30.600000381469727</v>
      </c>
      <c r="N84" s="9">
        <v>30.591608047485352</v>
      </c>
      <c r="O84" s="9">
        <v>30.856250762939453</v>
      </c>
      <c r="P84" s="9">
        <v>30.827198028564453</v>
      </c>
      <c r="Q84" s="9">
        <v>30.898992538452148</v>
      </c>
      <c r="R84" s="9">
        <v>30.513671875</v>
      </c>
      <c r="S84" s="9">
        <v>30.091955184936523</v>
      </c>
      <c r="T84" s="9">
        <v>29.942132949829102</v>
      </c>
      <c r="U84" s="9">
        <v>29.758358001708984</v>
      </c>
      <c r="V84" s="9">
        <v>30.448429107666016</v>
      </c>
      <c r="W84" s="9">
        <v>29.988029479980469</v>
      </c>
      <c r="X84" s="9">
        <v>29.737014770507813</v>
      </c>
      <c r="Y84" s="9">
        <v>29.800823211669922</v>
      </c>
      <c r="Z84" s="9">
        <v>29.956605911254883</v>
      </c>
      <c r="AA84" s="9">
        <v>29.273164749145508</v>
      </c>
      <c r="AB84" s="9">
        <v>29.130146026611328</v>
      </c>
      <c r="AC84" s="9">
        <v>28.663766860961914</v>
      </c>
      <c r="AD84" s="9">
        <v>27.807573318481445</v>
      </c>
      <c r="AE84" s="9">
        <v>27.923810958862305</v>
      </c>
      <c r="AG84" s="9">
        <f t="shared" si="1"/>
        <v>29.876393751664594</v>
      </c>
    </row>
    <row r="85" spans="1:33" x14ac:dyDescent="0.2">
      <c r="A85" s="7" t="s">
        <v>199</v>
      </c>
      <c r="B85" s="7" t="s">
        <v>200</v>
      </c>
      <c r="C85" s="8"/>
      <c r="D85" s="8"/>
      <c r="E85" s="8"/>
      <c r="F85" s="9">
        <v>30.864036560058594</v>
      </c>
      <c r="G85" s="9">
        <v>30.207363128662109</v>
      </c>
      <c r="H85" s="9">
        <v>31.311120986938477</v>
      </c>
      <c r="I85" s="9">
        <v>30.969381332397461</v>
      </c>
      <c r="J85" s="9">
        <v>30.827054977416992</v>
      </c>
      <c r="K85" s="9">
        <v>31.16090202331543</v>
      </c>
      <c r="L85" s="9">
        <v>30.999614715576172</v>
      </c>
      <c r="M85" s="9">
        <v>30.5</v>
      </c>
      <c r="N85" s="9">
        <v>30.136983871459961</v>
      </c>
      <c r="O85" s="9">
        <v>29.918586730957031</v>
      </c>
      <c r="P85" s="9">
        <v>29.575403213500977</v>
      </c>
      <c r="Q85" s="9">
        <v>29.086082458496094</v>
      </c>
      <c r="R85" s="9">
        <v>28.28407096862793</v>
      </c>
      <c r="S85" s="9">
        <v>27.558586120605469</v>
      </c>
      <c r="T85" s="9">
        <v>27.388677597045898</v>
      </c>
      <c r="U85" s="9">
        <v>27.988679885864258</v>
      </c>
      <c r="V85" s="9">
        <v>28.815574645996094</v>
      </c>
      <c r="W85" s="9">
        <v>28.778287887573242</v>
      </c>
      <c r="X85" s="9">
        <v>28.347803115844727</v>
      </c>
      <c r="Y85" s="9">
        <v>27.804187774658203</v>
      </c>
      <c r="Z85" s="9">
        <v>27.527027130126953</v>
      </c>
      <c r="AA85" s="9">
        <v>27.240327835083008</v>
      </c>
      <c r="AB85" s="9">
        <v>27.050064086914063</v>
      </c>
      <c r="AC85" s="9">
        <v>26.988088607788086</v>
      </c>
      <c r="AD85" s="9">
        <v>26.834877014160156</v>
      </c>
      <c r="AE85" s="9">
        <v>26.365018844604492</v>
      </c>
      <c r="AG85" s="9">
        <f t="shared" si="1"/>
        <v>27.889389731667258</v>
      </c>
    </row>
    <row r="86" spans="1:33" x14ac:dyDescent="0.2">
      <c r="A86" s="7" t="s">
        <v>201</v>
      </c>
      <c r="B86" s="7" t="s">
        <v>202</v>
      </c>
      <c r="C86" s="8"/>
      <c r="D86" s="8"/>
      <c r="E86" s="8"/>
      <c r="F86" s="9">
        <v>33.815437316894531</v>
      </c>
      <c r="G86" s="9">
        <v>33.721988677978516</v>
      </c>
      <c r="H86" s="9">
        <v>33.508922576904297</v>
      </c>
      <c r="I86" s="9">
        <v>33.123695373535156</v>
      </c>
      <c r="J86" s="9">
        <v>33.2589111328125</v>
      </c>
      <c r="K86" s="9">
        <v>33.330646514892578</v>
      </c>
      <c r="L86" s="9">
        <v>33.741569519042969</v>
      </c>
      <c r="M86" s="9">
        <v>34.099998474121094</v>
      </c>
      <c r="N86" s="9">
        <v>34.086593627929688</v>
      </c>
      <c r="O86" s="9">
        <v>34.129409790039063</v>
      </c>
      <c r="P86" s="9">
        <v>34.121204376220703</v>
      </c>
      <c r="Q86" s="9">
        <v>33.188388824462891</v>
      </c>
      <c r="R86" s="9">
        <v>33.198558807373047</v>
      </c>
      <c r="S86" s="9">
        <v>33.292621612548828</v>
      </c>
      <c r="T86" s="9">
        <v>32.542270660400391</v>
      </c>
      <c r="U86" s="9">
        <v>31.344879150390625</v>
      </c>
      <c r="V86" s="9">
        <v>30.13751220703125</v>
      </c>
      <c r="W86" s="9">
        <v>29.211746215820313</v>
      </c>
      <c r="X86" s="9">
        <v>29.748218536376953</v>
      </c>
      <c r="Y86" s="9">
        <v>30.604343414306641</v>
      </c>
      <c r="Z86" s="9">
        <v>30.910602569580078</v>
      </c>
      <c r="AA86" s="9">
        <v>31.258642196655273</v>
      </c>
      <c r="AB86" s="9">
        <v>31.692522048950195</v>
      </c>
      <c r="AC86" s="9">
        <v>31.7974853515625</v>
      </c>
      <c r="AD86" s="9">
        <v>32.04730224609375</v>
      </c>
      <c r="AE86" s="9">
        <v>32.36474609375</v>
      </c>
      <c r="AG86" s="9">
        <f t="shared" si="1"/>
        <v>31.267447038130328</v>
      </c>
    </row>
    <row r="87" spans="1:33" x14ac:dyDescent="0.2">
      <c r="A87" s="7" t="s">
        <v>203</v>
      </c>
      <c r="B87" s="7" t="s">
        <v>204</v>
      </c>
      <c r="C87" s="8"/>
      <c r="D87" s="8"/>
      <c r="E87" s="8"/>
      <c r="F87" s="9">
        <v>33.824878692626953</v>
      </c>
      <c r="G87" s="9">
        <v>32.084426879882813</v>
      </c>
      <c r="H87" s="9">
        <v>32.454216003417969</v>
      </c>
      <c r="I87" s="9">
        <v>32.309192657470703</v>
      </c>
      <c r="J87" s="9">
        <v>32.604061126708984</v>
      </c>
      <c r="K87" s="9">
        <v>32.758609771728516</v>
      </c>
      <c r="L87" s="9">
        <v>31.648187637329102</v>
      </c>
      <c r="M87" s="9">
        <v>31.299999237060547</v>
      </c>
      <c r="N87" s="9">
        <v>31.272743225097656</v>
      </c>
      <c r="O87" s="9">
        <v>31.780759811401367</v>
      </c>
      <c r="P87" s="9">
        <v>31.999797821044922</v>
      </c>
      <c r="Q87" s="9">
        <v>31.545831680297852</v>
      </c>
      <c r="R87" s="9">
        <v>31.574848175048828</v>
      </c>
      <c r="S87" s="9">
        <v>31.086174011230469</v>
      </c>
      <c r="T87" s="9">
        <v>30.542177200317383</v>
      </c>
      <c r="U87" s="9">
        <v>30.364582061767578</v>
      </c>
      <c r="V87" s="9">
        <v>31.670047760009766</v>
      </c>
      <c r="W87" s="9">
        <v>30.519329071044922</v>
      </c>
      <c r="X87" s="9">
        <v>29.58922004699707</v>
      </c>
      <c r="Y87" s="9">
        <v>29.937301635742188</v>
      </c>
      <c r="Z87" s="9">
        <v>28.986068725585938</v>
      </c>
      <c r="AA87" s="9">
        <v>29.591289520263672</v>
      </c>
      <c r="AB87" s="9">
        <v>29.138349533081055</v>
      </c>
      <c r="AC87" s="9">
        <v>29.016763687133789</v>
      </c>
      <c r="AD87" s="9">
        <v>30.002214431762695</v>
      </c>
      <c r="AE87" s="9">
        <v>30.045162200927734</v>
      </c>
      <c r="AG87" s="9">
        <f t="shared" si="1"/>
        <v>30.272671612826262</v>
      </c>
    </row>
    <row r="88" spans="1:33" x14ac:dyDescent="0.2">
      <c r="A88" s="7" t="s">
        <v>205</v>
      </c>
      <c r="B88" s="7" t="s">
        <v>206</v>
      </c>
      <c r="C88" s="8"/>
      <c r="D88" s="8"/>
      <c r="E88" s="8"/>
      <c r="F88" s="9">
        <v>47.233940124511719</v>
      </c>
      <c r="G88" s="9">
        <v>47.631591796875</v>
      </c>
      <c r="H88" s="9">
        <v>47.7886962890625</v>
      </c>
      <c r="I88" s="9">
        <v>49.554645538330078</v>
      </c>
      <c r="J88" s="9">
        <v>48.644271850585938</v>
      </c>
      <c r="K88" s="9">
        <v>48.380142211914063</v>
      </c>
      <c r="L88" s="9">
        <v>47.964553833007813</v>
      </c>
      <c r="M88" s="9">
        <v>43.200000762939453</v>
      </c>
      <c r="N88" s="9">
        <v>43.002182006835938</v>
      </c>
      <c r="O88" s="9">
        <v>42.42706298828125</v>
      </c>
      <c r="P88" s="9">
        <v>44.033145904541016</v>
      </c>
      <c r="Q88" s="9">
        <v>44.826847076416016</v>
      </c>
      <c r="R88" s="9">
        <v>45.213386535644531</v>
      </c>
      <c r="S88" s="9">
        <v>44.148963928222656</v>
      </c>
      <c r="T88" s="9">
        <v>45.294929504394531</v>
      </c>
      <c r="U88" s="9">
        <v>45.444812774658203</v>
      </c>
      <c r="V88" s="9">
        <v>44.716876983642578</v>
      </c>
      <c r="W88" s="9">
        <v>43.909290313720703</v>
      </c>
      <c r="X88" s="9">
        <v>43.758560180664063</v>
      </c>
      <c r="Y88" s="9">
        <v>43.452980041503906</v>
      </c>
      <c r="Z88" s="9">
        <v>43.819858551025391</v>
      </c>
      <c r="AA88" s="9">
        <v>43.663349151611328</v>
      </c>
      <c r="AB88" s="9">
        <v>43.800895690917969</v>
      </c>
      <c r="AC88" s="9">
        <v>44.471965789794922</v>
      </c>
      <c r="AD88" s="9">
        <v>44.528213500976563</v>
      </c>
      <c r="AE88" s="9">
        <v>44.585964202880859</v>
      </c>
      <c r="AG88" s="9">
        <f t="shared" si="1"/>
        <v>44.293082150545985</v>
      </c>
    </row>
    <row r="89" spans="1:33" x14ac:dyDescent="0.2">
      <c r="A89" s="7" t="s">
        <v>333</v>
      </c>
      <c r="B89" s="7" t="s">
        <v>334</v>
      </c>
      <c r="C89" s="8"/>
      <c r="D89" s="8"/>
      <c r="E89" s="8"/>
      <c r="F89" s="9">
        <v>32.432826995849609</v>
      </c>
      <c r="G89" s="9">
        <v>32.466278076171875</v>
      </c>
      <c r="H89" s="9">
        <v>33.344131469726563</v>
      </c>
      <c r="I89" s="9">
        <v>33.373886108398438</v>
      </c>
      <c r="J89" s="9">
        <v>33.544979095458984</v>
      </c>
      <c r="K89" s="9">
        <v>33.933597564697266</v>
      </c>
      <c r="L89" s="9">
        <v>35.133304595947266</v>
      </c>
      <c r="M89" s="9">
        <v>35.099998474121094</v>
      </c>
      <c r="N89" s="9">
        <v>35.224266052246094</v>
      </c>
      <c r="O89" s="9">
        <v>35.089931488037109</v>
      </c>
      <c r="P89" s="9">
        <v>34.447303771972656</v>
      </c>
      <c r="Q89" s="9">
        <v>34.305416107177734</v>
      </c>
      <c r="R89" s="9">
        <v>33.8697509765625</v>
      </c>
      <c r="S89" s="9">
        <v>33.53216552734375</v>
      </c>
      <c r="T89" s="9">
        <v>33.3785400390625</v>
      </c>
      <c r="U89" s="9">
        <v>33.019393920898438</v>
      </c>
      <c r="V89" s="9">
        <v>33.870433807373047</v>
      </c>
      <c r="W89" s="9">
        <v>33.343463897705078</v>
      </c>
      <c r="X89" s="9">
        <v>37.162532806396484</v>
      </c>
      <c r="Y89" s="9">
        <v>35.229232788085938</v>
      </c>
      <c r="Z89" s="9">
        <v>36.559650421142578</v>
      </c>
      <c r="AA89" s="9">
        <v>37.243160247802734</v>
      </c>
      <c r="AB89" s="9">
        <v>36.535476684570313</v>
      </c>
      <c r="AC89" s="9">
        <v>36.757011413574219</v>
      </c>
      <c r="AD89" s="9"/>
      <c r="AE89" s="9"/>
      <c r="AG89" s="9">
        <f t="shared" si="1"/>
        <v>34.885800101540305</v>
      </c>
    </row>
    <row r="90" spans="1:33" x14ac:dyDescent="0.2">
      <c r="A90" s="7" t="s">
        <v>207</v>
      </c>
      <c r="B90" s="7" t="s">
        <v>208</v>
      </c>
      <c r="C90" s="8"/>
      <c r="D90" s="8"/>
      <c r="E90" s="8"/>
      <c r="F90" s="9">
        <v>31.26801872253418</v>
      </c>
      <c r="G90" s="9">
        <v>32.742652893066406</v>
      </c>
      <c r="H90" s="9">
        <v>34.19366455078125</v>
      </c>
      <c r="I90" s="9">
        <v>34.053661346435547</v>
      </c>
      <c r="J90" s="9">
        <v>33.918125152587891</v>
      </c>
      <c r="K90" s="9">
        <v>34.120357513427734</v>
      </c>
      <c r="L90" s="9">
        <v>33.798072814941406</v>
      </c>
      <c r="M90" s="9">
        <v>33.700000762939453</v>
      </c>
      <c r="N90" s="9">
        <v>33.253574371337891</v>
      </c>
      <c r="O90" s="9">
        <v>32.647140502929688</v>
      </c>
      <c r="P90" s="9">
        <v>32.079708099365234</v>
      </c>
      <c r="Q90" s="9">
        <v>31.772089004516602</v>
      </c>
      <c r="R90" s="9">
        <v>31.19866943359375</v>
      </c>
      <c r="S90" s="9">
        <v>30.926633834838867</v>
      </c>
      <c r="T90" s="9">
        <v>30.198421478271484</v>
      </c>
      <c r="U90" s="9">
        <v>30.411993026733398</v>
      </c>
      <c r="V90" s="9">
        <v>31.736207962036133</v>
      </c>
      <c r="W90" s="9">
        <v>31.58842658996582</v>
      </c>
      <c r="X90" s="9">
        <v>30.943632125854492</v>
      </c>
      <c r="Y90" s="9">
        <v>30.405441284179688</v>
      </c>
      <c r="Z90" s="9">
        <v>30.020210266113281</v>
      </c>
      <c r="AA90" s="9">
        <v>29.706821441650391</v>
      </c>
      <c r="AB90" s="9">
        <v>29.40179443359375</v>
      </c>
      <c r="AC90" s="9">
        <v>29.210987091064453</v>
      </c>
      <c r="AD90" s="9">
        <v>28.875041961669922</v>
      </c>
      <c r="AE90" s="9">
        <v>28.543806076049805</v>
      </c>
      <c r="AG90" s="9">
        <f t="shared" si="1"/>
        <v>30.594386534257367</v>
      </c>
    </row>
    <row r="91" spans="1:33" x14ac:dyDescent="0.2">
      <c r="A91" s="7" t="s">
        <v>209</v>
      </c>
      <c r="B91" s="7" t="s">
        <v>210</v>
      </c>
      <c r="C91" s="8"/>
      <c r="D91" s="8"/>
      <c r="E91" s="8"/>
      <c r="F91" s="9">
        <v>10.623055458068848</v>
      </c>
      <c r="G91" s="9">
        <v>10.537747383117676</v>
      </c>
      <c r="H91" s="9">
        <v>10.632208824157715</v>
      </c>
      <c r="I91" s="9">
        <v>10.62088680267334</v>
      </c>
      <c r="J91" s="9">
        <v>10.517890930175781</v>
      </c>
      <c r="K91" s="9">
        <v>10.31910514831543</v>
      </c>
      <c r="L91" s="9">
        <v>10.053812980651855</v>
      </c>
      <c r="M91" s="9">
        <v>9.8000001907348633</v>
      </c>
      <c r="N91" s="9">
        <v>9.9440498352050781</v>
      </c>
      <c r="O91" s="9">
        <v>9.9886455535888672</v>
      </c>
      <c r="P91" s="9">
        <v>10.193721771240234</v>
      </c>
      <c r="Q91" s="9">
        <v>10.270028114318848</v>
      </c>
      <c r="R91" s="9">
        <v>10.273524284362793</v>
      </c>
      <c r="S91" s="9">
        <v>9.9906167984008789</v>
      </c>
      <c r="T91" s="9">
        <v>9.6283979415893555</v>
      </c>
      <c r="U91" s="9">
        <v>9.8661661148071289</v>
      </c>
      <c r="V91" s="9">
        <v>10.368393898010254</v>
      </c>
      <c r="W91" s="9">
        <v>10.17101001739502</v>
      </c>
      <c r="X91" s="9">
        <v>10.103178024291992</v>
      </c>
      <c r="Y91" s="9">
        <v>10.372834205627441</v>
      </c>
      <c r="Z91" s="9">
        <v>10.369743347167969</v>
      </c>
      <c r="AA91" s="9">
        <v>10.198944091796875</v>
      </c>
      <c r="AB91" s="9">
        <v>10.105746269226074</v>
      </c>
      <c r="AC91" s="9">
        <v>9.9058084487915039</v>
      </c>
      <c r="AD91" s="9">
        <v>10.000419616699219</v>
      </c>
      <c r="AE91" s="9">
        <v>9.982813835144043</v>
      </c>
      <c r="AG91" s="9">
        <f t="shared" si="1"/>
        <v>10.13168681751598</v>
      </c>
    </row>
    <row r="92" spans="1:33" x14ac:dyDescent="0.2">
      <c r="A92" s="7" t="s">
        <v>18</v>
      </c>
      <c r="B92" s="7" t="s">
        <v>51</v>
      </c>
      <c r="C92" s="8"/>
      <c r="D92" s="8"/>
      <c r="E92" s="8"/>
      <c r="F92" s="9">
        <v>39.06378173828125</v>
      </c>
      <c r="G92" s="9">
        <v>40.457660675048828</v>
      </c>
      <c r="H92" s="9">
        <v>40.766391754150391</v>
      </c>
      <c r="I92" s="9">
        <v>41.408267974853516</v>
      </c>
      <c r="J92" s="9">
        <v>40.874385833740234</v>
      </c>
      <c r="K92" s="9">
        <v>40.676231384277344</v>
      </c>
      <c r="L92" s="9">
        <v>39.955936431884766</v>
      </c>
      <c r="M92" s="9">
        <v>39.599998474121094</v>
      </c>
      <c r="N92" s="9">
        <v>39.032356262207031</v>
      </c>
      <c r="O92" s="9">
        <v>45.263412475585938</v>
      </c>
      <c r="P92" s="9">
        <v>43.459438323974609</v>
      </c>
      <c r="Q92" s="9">
        <v>41.805133819580078</v>
      </c>
      <c r="R92" s="9">
        <v>40.963584899902344</v>
      </c>
      <c r="S92" s="9">
        <v>40.914894104003906</v>
      </c>
      <c r="T92" s="9">
        <v>41.359951019287109</v>
      </c>
      <c r="U92" s="9">
        <v>39.242450714111328</v>
      </c>
      <c r="V92" s="9">
        <v>42.108261108398438</v>
      </c>
      <c r="W92" s="9">
        <v>42.652549743652344</v>
      </c>
      <c r="X92" s="9">
        <v>43.337120056152344</v>
      </c>
      <c r="Y92" s="9">
        <v>43.445541381835938</v>
      </c>
      <c r="Z92" s="9">
        <v>43.754283905029297</v>
      </c>
      <c r="AA92" s="9">
        <v>43.690597534179688</v>
      </c>
      <c r="AB92" s="9">
        <v>43.619281768798828</v>
      </c>
      <c r="AC92" s="9">
        <v>42.980533599853516</v>
      </c>
      <c r="AD92" s="9">
        <v>42.716354370117188</v>
      </c>
      <c r="AE92" s="9">
        <v>41.695899963378906</v>
      </c>
      <c r="AG92" s="9">
        <f t="shared" si="1"/>
        <v>42.280774203213781</v>
      </c>
    </row>
    <row r="93" spans="1:33" x14ac:dyDescent="0.2">
      <c r="A93" s="7" t="s">
        <v>211</v>
      </c>
      <c r="B93" s="7" t="s">
        <v>212</v>
      </c>
      <c r="C93" s="8"/>
      <c r="D93" s="8"/>
      <c r="E93" s="8"/>
      <c r="F93" s="9">
        <v>40.572853088378906</v>
      </c>
      <c r="G93" s="9">
        <v>44.684490203857422</v>
      </c>
      <c r="H93" s="9">
        <v>41.457256317138672</v>
      </c>
      <c r="I93" s="9">
        <v>39.835704803466797</v>
      </c>
      <c r="J93" s="9">
        <v>40.189487457275391</v>
      </c>
      <c r="K93" s="9">
        <v>39.840106964111328</v>
      </c>
      <c r="L93" s="9">
        <v>39.852577209472656</v>
      </c>
      <c r="M93" s="9">
        <v>40.299999237060547</v>
      </c>
      <c r="N93" s="9">
        <v>41.629199981689453</v>
      </c>
      <c r="O93" s="9">
        <v>41.056598663330078</v>
      </c>
      <c r="P93" s="9">
        <v>40.627826690673828</v>
      </c>
      <c r="Q93" s="9">
        <v>40.653614044189453</v>
      </c>
      <c r="R93" s="9">
        <v>40.992591857910156</v>
      </c>
      <c r="S93" s="9">
        <v>40.832115173339844</v>
      </c>
      <c r="T93" s="9">
        <v>39.354701995849609</v>
      </c>
      <c r="U93" s="9">
        <v>39.251316070556641</v>
      </c>
      <c r="V93" s="9">
        <v>39.029239654541016</v>
      </c>
      <c r="W93" s="9">
        <v>38.32537841796875</v>
      </c>
      <c r="X93" s="9">
        <v>38.180892944335938</v>
      </c>
      <c r="Y93" s="9">
        <v>38.488941192626953</v>
      </c>
      <c r="Z93" s="9">
        <v>38.524658203125</v>
      </c>
      <c r="AA93" s="9">
        <v>37.747814178466797</v>
      </c>
      <c r="AB93" s="9">
        <v>37.923213958740234</v>
      </c>
      <c r="AC93" s="9">
        <v>37.911605834960938</v>
      </c>
      <c r="AD93" s="9">
        <v>37.568508148193359</v>
      </c>
      <c r="AE93" s="9">
        <v>37.59552001953125</v>
      </c>
      <c r="AG93" s="9">
        <f t="shared" si="1"/>
        <v>38.968260331587359</v>
      </c>
    </row>
    <row r="94" spans="1:33" x14ac:dyDescent="0.2">
      <c r="A94" s="7" t="s">
        <v>213</v>
      </c>
      <c r="B94" s="7" t="s">
        <v>214</v>
      </c>
      <c r="C94" s="8"/>
      <c r="D94" s="8"/>
      <c r="E94" s="8"/>
      <c r="F94" s="9">
        <v>33.753101348876953</v>
      </c>
      <c r="G94" s="9">
        <v>33.215824127197266</v>
      </c>
      <c r="H94" s="9">
        <v>32.646102905273438</v>
      </c>
      <c r="I94" s="9">
        <v>31.979715347290039</v>
      </c>
      <c r="J94" s="9">
        <v>31.483463287353516</v>
      </c>
      <c r="K94" s="9">
        <v>31.701398849487305</v>
      </c>
      <c r="L94" s="9">
        <v>32.066192626953125</v>
      </c>
      <c r="M94" s="9">
        <v>31.100000381469727</v>
      </c>
      <c r="N94" s="9">
        <v>32.283180236816406</v>
      </c>
      <c r="O94" s="9">
        <v>32.592502593994141</v>
      </c>
      <c r="P94" s="9">
        <v>32.351333618164063</v>
      </c>
      <c r="Q94" s="9">
        <v>32.012660980224609</v>
      </c>
      <c r="R94" s="9">
        <v>31.368070602416992</v>
      </c>
      <c r="S94" s="9">
        <v>30.785024642944336</v>
      </c>
      <c r="T94" s="9">
        <v>30.749216079711914</v>
      </c>
      <c r="U94" s="9">
        <v>30.775810241699219</v>
      </c>
      <c r="V94" s="9">
        <v>31.970697402954102</v>
      </c>
      <c r="W94" s="9">
        <v>31.192619323730469</v>
      </c>
      <c r="X94" s="9">
        <v>31.271907806396484</v>
      </c>
      <c r="Y94" s="9">
        <v>31.380199432373047</v>
      </c>
      <c r="Z94" s="9">
        <v>31.162288665771484</v>
      </c>
      <c r="AA94" s="9">
        <v>29.994543075561523</v>
      </c>
      <c r="AB94" s="9">
        <v>30.451864242553711</v>
      </c>
      <c r="AC94" s="9">
        <v>30.295068740844727</v>
      </c>
      <c r="AD94" s="9">
        <v>29.877004623413086</v>
      </c>
      <c r="AE94" s="9">
        <v>29.261739730834961</v>
      </c>
      <c r="AG94" s="9">
        <f t="shared" si="1"/>
        <v>31.009294683283027</v>
      </c>
    </row>
    <row r="95" spans="1:33" x14ac:dyDescent="0.2">
      <c r="A95" s="7" t="s">
        <v>215</v>
      </c>
      <c r="B95" s="7" t="s">
        <v>216</v>
      </c>
      <c r="C95" s="8"/>
      <c r="D95" s="8"/>
      <c r="E95" s="8"/>
      <c r="F95" s="9">
        <v>31.656270980834961</v>
      </c>
      <c r="G95" s="9">
        <v>31.478551864624023</v>
      </c>
      <c r="H95" s="9">
        <v>30.59086799621582</v>
      </c>
      <c r="I95" s="9">
        <v>30.012552261352539</v>
      </c>
      <c r="J95" s="9">
        <v>29.999183654785156</v>
      </c>
      <c r="K95" s="9">
        <v>29.850612640380859</v>
      </c>
      <c r="L95" s="9">
        <v>29.957233428955078</v>
      </c>
      <c r="M95" s="9">
        <v>30.299999237060547</v>
      </c>
      <c r="N95" s="9">
        <v>30.731193542480469</v>
      </c>
      <c r="O95" s="9">
        <v>30.682209014892578</v>
      </c>
      <c r="P95" s="9">
        <v>30.244871139526367</v>
      </c>
      <c r="Q95" s="9">
        <v>30.110172271728516</v>
      </c>
      <c r="R95" s="9">
        <v>31.563243865966797</v>
      </c>
      <c r="S95" s="9">
        <v>30.437490463256836</v>
      </c>
      <c r="T95" s="9">
        <v>30.162307739257813</v>
      </c>
      <c r="U95" s="9">
        <v>30.080999374389648</v>
      </c>
      <c r="V95" s="9">
        <v>31.078296661376953</v>
      </c>
      <c r="W95" s="9">
        <v>30.253238677978516</v>
      </c>
      <c r="X95" s="9">
        <v>29.601522445678711</v>
      </c>
      <c r="Y95" s="9">
        <v>29.789331436157227</v>
      </c>
      <c r="Z95" s="9">
        <v>29.701808929443359</v>
      </c>
      <c r="AA95" s="9">
        <v>29.861989974975586</v>
      </c>
      <c r="AB95" s="9">
        <v>29.628011703491211</v>
      </c>
      <c r="AC95" s="9">
        <v>29.600433349609375</v>
      </c>
      <c r="AD95" s="9">
        <v>29.501483917236328</v>
      </c>
      <c r="AE95" s="9">
        <v>29.322233200073242</v>
      </c>
      <c r="AG95" s="9">
        <f t="shared" si="1"/>
        <v>30.196203751997515</v>
      </c>
    </row>
    <row r="96" spans="1:33" x14ac:dyDescent="0.2">
      <c r="A96" s="7" t="s">
        <v>19</v>
      </c>
      <c r="B96" s="7" t="s">
        <v>52</v>
      </c>
      <c r="C96" s="8"/>
      <c r="D96" s="8"/>
      <c r="E96" s="8"/>
      <c r="F96" s="9">
        <v>42.682346343994141</v>
      </c>
      <c r="G96" s="9">
        <v>41.982742309570313</v>
      </c>
      <c r="H96" s="9">
        <v>42.049831390380859</v>
      </c>
      <c r="I96" s="9">
        <v>41.977531433105469</v>
      </c>
      <c r="J96" s="9">
        <v>41.601692199707031</v>
      </c>
      <c r="K96" s="9">
        <v>43.379642486572266</v>
      </c>
      <c r="L96" s="9">
        <v>41.642551422119141</v>
      </c>
      <c r="M96" s="9">
        <v>42.299999237060547</v>
      </c>
      <c r="N96" s="9">
        <v>40.662303924560547</v>
      </c>
      <c r="O96" s="9">
        <v>40.638175964355469</v>
      </c>
      <c r="P96" s="9">
        <v>40.306777954101563</v>
      </c>
      <c r="Q96" s="9">
        <v>40.748821258544922</v>
      </c>
      <c r="R96" s="9">
        <v>39.830776214599609</v>
      </c>
      <c r="S96" s="9">
        <v>39.432590484619141</v>
      </c>
      <c r="T96" s="9">
        <v>39.787422180175781</v>
      </c>
      <c r="U96" s="9">
        <v>40.039268493652344</v>
      </c>
      <c r="V96" s="9">
        <v>39.751926422119141</v>
      </c>
      <c r="W96" s="9">
        <v>39.602962493896484</v>
      </c>
      <c r="X96" s="9">
        <v>40.357227325439453</v>
      </c>
      <c r="Y96" s="9">
        <v>40.167179107666016</v>
      </c>
      <c r="Z96" s="9">
        <v>40.402950286865234</v>
      </c>
      <c r="AA96" s="9">
        <v>40.183143615722656</v>
      </c>
      <c r="AB96" s="9">
        <v>40.697898864746094</v>
      </c>
      <c r="AC96" s="9">
        <v>40.432056427001953</v>
      </c>
      <c r="AD96" s="9">
        <v>39.955402374267578</v>
      </c>
      <c r="AE96" s="9">
        <v>39.582740783691406</v>
      </c>
      <c r="AG96" s="9">
        <f t="shared" si="1"/>
        <v>40.023031408136539</v>
      </c>
    </row>
    <row r="97" spans="1:33" x14ac:dyDescent="0.2">
      <c r="A97" s="7" t="s">
        <v>217</v>
      </c>
      <c r="B97" s="7" t="s">
        <v>218</v>
      </c>
      <c r="C97" s="8"/>
      <c r="D97" s="8"/>
      <c r="E97" s="8"/>
      <c r="F97" s="9">
        <v>28.743198394775391</v>
      </c>
      <c r="G97" s="9">
        <v>28.710960388183594</v>
      </c>
      <c r="H97" s="9">
        <v>28.274448394775391</v>
      </c>
      <c r="I97" s="9">
        <v>28.642192840576172</v>
      </c>
      <c r="J97" s="9">
        <v>28.216243743896484</v>
      </c>
      <c r="K97" s="9">
        <v>27.881441116333008</v>
      </c>
      <c r="L97" s="9">
        <v>27.602285385131836</v>
      </c>
      <c r="M97" s="9">
        <v>27.100000381469727</v>
      </c>
      <c r="N97" s="9">
        <v>27.708278656005859</v>
      </c>
      <c r="O97" s="9">
        <v>27.519832611083984</v>
      </c>
      <c r="P97" s="9">
        <v>27.75212287902832</v>
      </c>
      <c r="Q97" s="9">
        <v>27.975349426269531</v>
      </c>
      <c r="R97" s="9">
        <v>27.46502685546875</v>
      </c>
      <c r="S97" s="9">
        <v>27.273612976074219</v>
      </c>
      <c r="T97" s="9">
        <v>26.59039306640625</v>
      </c>
      <c r="U97" s="9">
        <v>26.920228958129883</v>
      </c>
      <c r="V97" s="9">
        <v>27.381130218505859</v>
      </c>
      <c r="W97" s="9">
        <v>27.12248420715332</v>
      </c>
      <c r="X97" s="9">
        <v>27.067314147949219</v>
      </c>
      <c r="Y97" s="9">
        <v>27.084104537963867</v>
      </c>
      <c r="Z97" s="9">
        <v>26.636377334594727</v>
      </c>
      <c r="AA97" s="9">
        <v>26.281742095947266</v>
      </c>
      <c r="AB97" s="9">
        <v>25.468523025512695</v>
      </c>
      <c r="AC97" s="9">
        <v>24.54022216796875</v>
      </c>
      <c r="AD97" s="9">
        <v>23.862155914306641</v>
      </c>
      <c r="AE97" s="9">
        <v>23.959712982177734</v>
      </c>
      <c r="AG97" s="9">
        <f t="shared" si="1"/>
        <v>26.844630674882367</v>
      </c>
    </row>
    <row r="98" spans="1:33" x14ac:dyDescent="0.2">
      <c r="A98" s="7" t="s">
        <v>219</v>
      </c>
      <c r="B98" s="7" t="s">
        <v>220</v>
      </c>
      <c r="C98" s="8"/>
      <c r="D98" s="8"/>
      <c r="E98" s="8"/>
      <c r="F98" s="9">
        <v>35.268791198730469</v>
      </c>
      <c r="G98" s="9">
        <v>35.746677398681641</v>
      </c>
      <c r="H98" s="9">
        <v>35.095699310302734</v>
      </c>
      <c r="I98" s="9">
        <v>34.646152496337891</v>
      </c>
      <c r="J98" s="9">
        <v>35.208396911621094</v>
      </c>
      <c r="K98" s="9">
        <v>35.946475982666016</v>
      </c>
      <c r="L98" s="9">
        <v>35.621261596679688</v>
      </c>
      <c r="M98" s="9">
        <v>36.099998474121094</v>
      </c>
      <c r="N98" s="9">
        <v>36.102851867675781</v>
      </c>
      <c r="O98" s="9">
        <v>36.865570068359375</v>
      </c>
      <c r="P98" s="9">
        <v>36.925846099853516</v>
      </c>
      <c r="Q98" s="9">
        <v>36.707012176513672</v>
      </c>
      <c r="R98" s="9">
        <v>35.820785522460938</v>
      </c>
      <c r="S98" s="9">
        <v>34.187343597412109</v>
      </c>
      <c r="T98" s="9">
        <v>34.435359954833984</v>
      </c>
      <c r="U98" s="9">
        <v>34.265914916992188</v>
      </c>
      <c r="V98" s="9">
        <v>34.533943176269531</v>
      </c>
      <c r="W98" s="9">
        <v>34.218124389648438</v>
      </c>
      <c r="X98" s="9">
        <v>33.850887298583984</v>
      </c>
      <c r="Y98" s="9">
        <v>33.725849151611328</v>
      </c>
      <c r="Z98" s="9">
        <v>33.394962310791016</v>
      </c>
      <c r="AA98" s="9">
        <v>33.300506591796875</v>
      </c>
      <c r="AB98" s="9">
        <v>33.701213836669922</v>
      </c>
      <c r="AC98" s="9">
        <v>33.484809875488281</v>
      </c>
      <c r="AD98" s="9">
        <v>33.373264312744141</v>
      </c>
      <c r="AE98" s="9">
        <v>33.372982025146484</v>
      </c>
      <c r="AG98" s="9">
        <f t="shared" si="1"/>
        <v>34.130444613370031</v>
      </c>
    </row>
    <row r="99" spans="1:33" x14ac:dyDescent="0.2">
      <c r="A99" s="7" t="s">
        <v>20</v>
      </c>
      <c r="B99" s="7" t="s">
        <v>53</v>
      </c>
      <c r="C99" s="8"/>
      <c r="D99" s="8"/>
      <c r="E99" s="8"/>
      <c r="F99" s="9">
        <v>23.707670211791992</v>
      </c>
      <c r="G99" s="9">
        <v>23.926769256591797</v>
      </c>
      <c r="H99" s="9">
        <v>23.692289352416992</v>
      </c>
      <c r="I99" s="9">
        <v>23.799074172973633</v>
      </c>
      <c r="J99" s="9">
        <v>23.449844360351563</v>
      </c>
      <c r="K99" s="9">
        <v>23.204095840454102</v>
      </c>
      <c r="L99" s="9">
        <v>23.470846176147461</v>
      </c>
      <c r="M99" s="9">
        <v>23.100000381469727</v>
      </c>
      <c r="N99" s="9">
        <v>22.707065582275391</v>
      </c>
      <c r="O99" s="9">
        <v>22.875879287719727</v>
      </c>
      <c r="P99" s="9">
        <v>22.648674011230469</v>
      </c>
      <c r="Q99" s="9">
        <v>22.815280914306641</v>
      </c>
      <c r="R99" s="9">
        <v>23.152875900268555</v>
      </c>
      <c r="S99" s="9">
        <v>22.718786239624023</v>
      </c>
      <c r="T99" s="9">
        <v>21.638351440429688</v>
      </c>
      <c r="U99" s="9">
        <v>21.25645637512207</v>
      </c>
      <c r="V99" s="9">
        <v>21.875314712524414</v>
      </c>
      <c r="W99" s="9">
        <v>21.729770660400391</v>
      </c>
      <c r="X99" s="9">
        <v>21.473197937011719</v>
      </c>
      <c r="Y99" s="9">
        <v>21.411190032958984</v>
      </c>
      <c r="Z99" s="9">
        <v>21.818557739257813</v>
      </c>
      <c r="AA99" s="9">
        <v>21.657354354858398</v>
      </c>
      <c r="AB99" s="9">
        <v>21.569997787475586</v>
      </c>
      <c r="AC99" s="9">
        <v>21.612016677856445</v>
      </c>
      <c r="AD99" s="9">
        <v>21.35638427734375</v>
      </c>
      <c r="AE99" s="9">
        <v>21.257339477539063</v>
      </c>
      <c r="AG99" s="9">
        <f t="shared" si="1"/>
        <v>21.845623016357422</v>
      </c>
    </row>
    <row r="100" spans="1:33" x14ac:dyDescent="0.2">
      <c r="A100" s="7" t="s">
        <v>221</v>
      </c>
      <c r="B100" s="7" t="s">
        <v>222</v>
      </c>
      <c r="C100" s="8"/>
      <c r="D100" s="8"/>
      <c r="E100" s="8"/>
      <c r="F100" s="9">
        <v>31.830097198486328</v>
      </c>
      <c r="G100" s="9">
        <v>31.813283920288086</v>
      </c>
      <c r="H100" s="9">
        <v>33.121131896972656</v>
      </c>
      <c r="I100" s="9">
        <v>31.889715194702148</v>
      </c>
      <c r="J100" s="9">
        <v>30.979131698608398</v>
      </c>
      <c r="K100" s="9">
        <v>30.412363052368164</v>
      </c>
      <c r="L100" s="9">
        <v>30.332366943359375</v>
      </c>
      <c r="M100" s="9">
        <v>30.100000381469727</v>
      </c>
      <c r="N100" s="9">
        <v>30.432212829589844</v>
      </c>
      <c r="O100" s="9">
        <v>30.854354858398438</v>
      </c>
      <c r="P100" s="9">
        <v>31.187431335449219</v>
      </c>
      <c r="Q100" s="9">
        <v>30.934709548950195</v>
      </c>
      <c r="R100" s="9">
        <v>30.868692398071289</v>
      </c>
      <c r="S100" s="9">
        <v>30.297483444213867</v>
      </c>
      <c r="T100" s="9">
        <v>30.130899429321289</v>
      </c>
      <c r="U100" s="9">
        <v>30.286228179931641</v>
      </c>
      <c r="V100" s="9">
        <v>32.017990112304688</v>
      </c>
      <c r="W100" s="9">
        <v>31.503332138061523</v>
      </c>
      <c r="X100" s="9">
        <v>30.997442245483398</v>
      </c>
      <c r="Y100" s="9">
        <v>30.602994918823242</v>
      </c>
      <c r="Z100" s="9">
        <v>30.67869758605957</v>
      </c>
      <c r="AA100" s="9">
        <v>30.690389633178711</v>
      </c>
      <c r="AB100" s="9">
        <v>30.29536247253418</v>
      </c>
      <c r="AC100" s="9">
        <v>29.959562301635742</v>
      </c>
      <c r="AD100" s="9">
        <v>29.837440490722656</v>
      </c>
      <c r="AE100" s="9">
        <v>29.855869293212891</v>
      </c>
      <c r="AG100" s="9">
        <f t="shared" si="1"/>
        <v>30.760864777998492</v>
      </c>
    </row>
    <row r="101" spans="1:33" x14ac:dyDescent="0.2">
      <c r="A101" s="7" t="s">
        <v>223</v>
      </c>
      <c r="B101" s="7" t="s">
        <v>224</v>
      </c>
      <c r="C101" s="8"/>
      <c r="D101" s="8"/>
      <c r="E101" s="8"/>
      <c r="F101" s="9">
        <v>42.625019073486328</v>
      </c>
      <c r="G101" s="9">
        <v>45.657047271728516</v>
      </c>
      <c r="H101" s="9">
        <v>46.199733734130859</v>
      </c>
      <c r="I101" s="9">
        <v>45.783714294433594</v>
      </c>
      <c r="J101" s="9">
        <v>45.704151153564453</v>
      </c>
      <c r="K101" s="9">
        <v>45.895317077636719</v>
      </c>
      <c r="L101" s="9">
        <v>45.671012878417969</v>
      </c>
      <c r="M101" s="9">
        <v>45.099998474121094</v>
      </c>
      <c r="N101" s="9">
        <v>44.647590637207031</v>
      </c>
      <c r="O101" s="9">
        <v>45.185367584228516</v>
      </c>
      <c r="P101" s="9">
        <v>45.199489593505859</v>
      </c>
      <c r="Q101" s="9">
        <v>44.503376007080078</v>
      </c>
      <c r="R101" s="9">
        <v>44.042522430419922</v>
      </c>
      <c r="S101" s="9">
        <v>44.408912658691406</v>
      </c>
      <c r="T101" s="9">
        <v>43.864387512207031</v>
      </c>
      <c r="U101" s="9">
        <v>43.227870941162109</v>
      </c>
      <c r="V101" s="9">
        <v>44.182182312011719</v>
      </c>
      <c r="W101" s="9">
        <v>43.288368225097656</v>
      </c>
      <c r="X101" s="9">
        <v>42.4923095703125</v>
      </c>
      <c r="Y101" s="9">
        <v>42.26690673828125</v>
      </c>
      <c r="Z101" s="9">
        <v>41.152095794677734</v>
      </c>
      <c r="AA101" s="9">
        <v>40.371208190917969</v>
      </c>
      <c r="AB101" s="9">
        <v>41.082244873046875</v>
      </c>
      <c r="AC101" s="9">
        <v>40.868495941162109</v>
      </c>
      <c r="AD101" s="9">
        <v>40.367893218994141</v>
      </c>
      <c r="AE101" s="9">
        <v>39.752227783203125</v>
      </c>
      <c r="AG101" s="9">
        <f t="shared" si="1"/>
        <v>42.761728113347836</v>
      </c>
    </row>
    <row r="102" spans="1:33" x14ac:dyDescent="0.2">
      <c r="A102" s="7" t="s">
        <v>225</v>
      </c>
      <c r="B102" s="7" t="s">
        <v>226</v>
      </c>
      <c r="C102" s="8"/>
      <c r="D102" s="8"/>
      <c r="E102" s="8"/>
      <c r="F102" s="9">
        <v>19.032470703125</v>
      </c>
      <c r="G102" s="9">
        <v>19.624017715454102</v>
      </c>
      <c r="H102" s="9">
        <v>18.381254196166992</v>
      </c>
      <c r="I102" s="9">
        <v>18.301122665405273</v>
      </c>
      <c r="J102" s="9">
        <v>18.21571159362793</v>
      </c>
      <c r="K102" s="9">
        <v>18.45551872253418</v>
      </c>
      <c r="L102" s="9">
        <v>18.349916458129883</v>
      </c>
      <c r="M102" s="9">
        <v>18.399999618530273</v>
      </c>
      <c r="N102" s="9">
        <v>18.477346420288086</v>
      </c>
      <c r="O102" s="9">
        <v>18.351560592651367</v>
      </c>
      <c r="P102" s="9">
        <v>18.26652717590332</v>
      </c>
      <c r="Q102" s="9">
        <v>18.35650634765625</v>
      </c>
      <c r="R102" s="9">
        <v>18.009027481079102</v>
      </c>
      <c r="S102" s="9">
        <v>17.776256561279297</v>
      </c>
      <c r="T102" s="9">
        <v>18.044826507568359</v>
      </c>
      <c r="U102" s="9">
        <v>17.80506706237793</v>
      </c>
      <c r="V102" s="9">
        <v>17.943504333496094</v>
      </c>
      <c r="W102" s="9">
        <v>17.777454376220703</v>
      </c>
      <c r="X102" s="9">
        <v>17.211887359619141</v>
      </c>
      <c r="Y102" s="9">
        <v>17.2099609375</v>
      </c>
      <c r="Z102" s="9">
        <v>16.951791763305664</v>
      </c>
      <c r="AA102" s="9">
        <v>16.67253303527832</v>
      </c>
      <c r="AB102" s="9">
        <v>16.711179733276367</v>
      </c>
      <c r="AC102" s="9">
        <v>17.023897171020508</v>
      </c>
      <c r="AD102" s="9">
        <v>16.726535797119141</v>
      </c>
      <c r="AE102" s="9">
        <v>16.461061477661133</v>
      </c>
      <c r="AG102" s="9">
        <f t="shared" si="1"/>
        <v>17.464862650090996</v>
      </c>
    </row>
    <row r="103" spans="1:33" x14ac:dyDescent="0.2">
      <c r="A103" s="7" t="s">
        <v>227</v>
      </c>
      <c r="B103" s="7" t="s">
        <v>228</v>
      </c>
      <c r="C103" s="8"/>
      <c r="D103" s="8"/>
      <c r="E103" s="8"/>
      <c r="F103" s="9">
        <v>37.364059448242188</v>
      </c>
      <c r="G103" s="9">
        <v>36.777164459228516</v>
      </c>
      <c r="H103" s="9">
        <v>37.494663238525391</v>
      </c>
      <c r="I103" s="9">
        <v>35.930900573730469</v>
      </c>
      <c r="J103" s="9">
        <v>36.541862487792969</v>
      </c>
      <c r="K103" s="9">
        <v>35.673091888427734</v>
      </c>
      <c r="L103" s="9">
        <v>36.105503082275391</v>
      </c>
      <c r="M103" s="9">
        <v>36.400001525878906</v>
      </c>
      <c r="N103" s="9">
        <v>36.287689208984375</v>
      </c>
      <c r="O103" s="9">
        <v>36.109291076660156</v>
      </c>
      <c r="P103" s="9">
        <v>35.785728454589844</v>
      </c>
      <c r="Q103" s="9">
        <v>35.695476531982422</v>
      </c>
      <c r="R103" s="9">
        <v>36.430049896240234</v>
      </c>
      <c r="S103" s="9">
        <v>35.220993041992188</v>
      </c>
      <c r="T103" s="9">
        <v>34.994472503662109</v>
      </c>
      <c r="U103" s="9">
        <v>34.367336273193359</v>
      </c>
      <c r="V103" s="9">
        <v>34.745563507080078</v>
      </c>
      <c r="W103" s="9">
        <v>34.335182189941406</v>
      </c>
      <c r="X103" s="9">
        <v>34.602165222167969</v>
      </c>
      <c r="Y103" s="9">
        <v>34.761508941650391</v>
      </c>
      <c r="Z103" s="9">
        <v>34.515666961669922</v>
      </c>
      <c r="AA103" s="9">
        <v>34.695198059082031</v>
      </c>
      <c r="AB103" s="9">
        <v>34.081493377685547</v>
      </c>
      <c r="AC103" s="9">
        <v>34.245403289794922</v>
      </c>
      <c r="AD103" s="9">
        <v>34.160285949707031</v>
      </c>
      <c r="AE103" s="9">
        <v>34.077693939208984</v>
      </c>
      <c r="AG103" s="9">
        <f t="shared" si="1"/>
        <v>34.795420906760476</v>
      </c>
    </row>
    <row r="104" spans="1:33" x14ac:dyDescent="0.2">
      <c r="A104" s="7" t="s">
        <v>21</v>
      </c>
      <c r="B104" s="7" t="s">
        <v>54</v>
      </c>
      <c r="C104" s="8"/>
      <c r="D104" s="8"/>
      <c r="E104" s="8"/>
      <c r="F104" s="9">
        <v>42.080047607421875</v>
      </c>
      <c r="G104" s="9">
        <v>43.040397644042969</v>
      </c>
      <c r="H104" s="9">
        <v>41.3443603515625</v>
      </c>
      <c r="I104" s="9">
        <v>39.907855987548828</v>
      </c>
      <c r="J104" s="9">
        <v>40.108329772949219</v>
      </c>
      <c r="K104" s="9">
        <v>40.180675506591797</v>
      </c>
      <c r="L104" s="9">
        <v>40.290622711181641</v>
      </c>
      <c r="M104" s="9">
        <v>40.299999237060547</v>
      </c>
      <c r="N104" s="9">
        <v>40.016445159912109</v>
      </c>
      <c r="O104" s="9">
        <v>39.520046234130859</v>
      </c>
      <c r="P104" s="9">
        <v>39.529296875</v>
      </c>
      <c r="Q104" s="9">
        <v>39.627811431884766</v>
      </c>
      <c r="R104" s="9">
        <v>39.334171295166016</v>
      </c>
      <c r="S104" s="9">
        <v>39.102237701416016</v>
      </c>
      <c r="T104" s="9">
        <v>38.67901611328125</v>
      </c>
      <c r="U104" s="9">
        <v>38.546932220458984</v>
      </c>
      <c r="V104" s="9">
        <v>38.594398498535156</v>
      </c>
      <c r="W104" s="9">
        <v>38.532238006591797</v>
      </c>
      <c r="X104" s="9">
        <v>38.554115295410156</v>
      </c>
      <c r="Y104" s="9">
        <v>38.484901428222656</v>
      </c>
      <c r="Z104" s="9">
        <v>38.593948364257813</v>
      </c>
      <c r="AA104" s="9">
        <v>38.953716278076172</v>
      </c>
      <c r="AB104" s="9">
        <v>38.705368041992188</v>
      </c>
      <c r="AC104" s="9">
        <v>38.830837249755859</v>
      </c>
      <c r="AD104" s="9">
        <v>38.545936584472656</v>
      </c>
      <c r="AE104" s="9">
        <v>38.103740692138672</v>
      </c>
      <c r="AG104" s="9">
        <f t="shared" si="1"/>
        <v>38.734640294855289</v>
      </c>
    </row>
    <row r="105" spans="1:33" x14ac:dyDescent="0.2">
      <c r="A105" s="7" t="s">
        <v>22</v>
      </c>
      <c r="B105" s="7" t="s">
        <v>55</v>
      </c>
      <c r="C105" s="8"/>
      <c r="D105" s="8"/>
      <c r="E105" s="8"/>
      <c r="F105" s="9">
        <v>52.695556640625</v>
      </c>
      <c r="G105" s="9">
        <v>52.534500122070313</v>
      </c>
      <c r="H105" s="9">
        <v>52.250526428222656</v>
      </c>
      <c r="I105" s="9">
        <v>52.007156372070313</v>
      </c>
      <c r="J105" s="9">
        <v>51.832962036132813</v>
      </c>
      <c r="K105" s="9">
        <v>53.781505584716797</v>
      </c>
      <c r="L105" s="9">
        <v>52.816513061523438</v>
      </c>
      <c r="M105" s="9">
        <v>52.599998474121094</v>
      </c>
      <c r="N105" s="9">
        <v>51.945137023925781</v>
      </c>
      <c r="O105" s="9">
        <v>51.3182373046875</v>
      </c>
      <c r="P105" s="9">
        <v>50.572200775146484</v>
      </c>
      <c r="Q105" s="9">
        <v>50.904544830322266</v>
      </c>
      <c r="R105" s="9">
        <v>50.679431915283203</v>
      </c>
      <c r="S105" s="9">
        <v>50.535449981689453</v>
      </c>
      <c r="T105" s="9">
        <v>49.966285705566406</v>
      </c>
      <c r="U105" s="9">
        <v>49.869834899902344</v>
      </c>
      <c r="V105" s="9">
        <v>49.743213653564453</v>
      </c>
      <c r="W105" s="9">
        <v>49.684326171875</v>
      </c>
      <c r="X105" s="9">
        <v>49.679481506347656</v>
      </c>
      <c r="Y105" s="9">
        <v>49.654434204101563</v>
      </c>
      <c r="Z105" s="9">
        <v>49.921829223632813</v>
      </c>
      <c r="AA105" s="9">
        <v>49.769748687744141</v>
      </c>
      <c r="AB105" s="9">
        <v>49.254505157470703</v>
      </c>
      <c r="AC105" s="9">
        <v>48.856674194335938</v>
      </c>
      <c r="AD105" s="9">
        <v>48.409832000732422</v>
      </c>
      <c r="AE105" s="9">
        <v>48.053455352783203</v>
      </c>
      <c r="AG105" s="9">
        <f t="shared" si="1"/>
        <v>49.887140100652523</v>
      </c>
    </row>
    <row r="106" spans="1:33" x14ac:dyDescent="0.2">
      <c r="A106" s="7" t="s">
        <v>229</v>
      </c>
      <c r="B106" s="7" t="s">
        <v>230</v>
      </c>
      <c r="C106" s="8"/>
      <c r="D106" s="8"/>
      <c r="E106" s="8"/>
      <c r="F106" s="9">
        <v>32.255603790283203</v>
      </c>
      <c r="G106" s="9">
        <v>31.686069488525391</v>
      </c>
      <c r="H106" s="9">
        <v>32.012561798095703</v>
      </c>
      <c r="I106" s="9">
        <v>31.362155914306641</v>
      </c>
      <c r="J106" s="9">
        <v>31.475849151611328</v>
      </c>
      <c r="K106" s="9">
        <v>31.520318984985352</v>
      </c>
      <c r="L106" s="9">
        <v>31.672954559326172</v>
      </c>
      <c r="M106" s="9">
        <v>31.399999618530273</v>
      </c>
      <c r="N106" s="9">
        <v>31.326719284057617</v>
      </c>
      <c r="O106" s="9">
        <v>30.761375427246094</v>
      </c>
      <c r="P106" s="9">
        <v>30.635852813720703</v>
      </c>
      <c r="Q106" s="9">
        <v>30.138875961303711</v>
      </c>
      <c r="R106" s="9">
        <v>29.802467346191406</v>
      </c>
      <c r="S106" s="9">
        <v>29.528535842895508</v>
      </c>
      <c r="T106" s="9">
        <v>30.260381698608398</v>
      </c>
      <c r="U106" s="9">
        <v>30.457931518554688</v>
      </c>
      <c r="V106" s="9">
        <v>30.782249450683594</v>
      </c>
      <c r="W106" s="9">
        <v>30.684316635131836</v>
      </c>
      <c r="X106" s="9">
        <v>29.795738220214844</v>
      </c>
      <c r="Y106" s="9">
        <v>29.729087829589844</v>
      </c>
      <c r="Z106" s="9">
        <v>29.786609649658203</v>
      </c>
      <c r="AA106" s="9">
        <v>29.694051742553711</v>
      </c>
      <c r="AB106" s="9">
        <v>29.120283126831055</v>
      </c>
      <c r="AC106" s="9">
        <v>29.131166458129883</v>
      </c>
      <c r="AD106" s="9">
        <v>28.972673416137695</v>
      </c>
      <c r="AE106" s="9">
        <v>29.195957183837891</v>
      </c>
      <c r="AG106" s="9">
        <f t="shared" si="1"/>
        <v>29.967423005537555</v>
      </c>
    </row>
    <row r="107" spans="1:33" x14ac:dyDescent="0.2">
      <c r="A107" s="7" t="s">
        <v>23</v>
      </c>
      <c r="B107" s="7" t="s">
        <v>56</v>
      </c>
      <c r="C107" s="8"/>
      <c r="D107" s="8"/>
      <c r="E107" s="8"/>
      <c r="F107" s="9">
        <v>37.525547027587891</v>
      </c>
      <c r="G107" s="9">
        <v>37.122177124023438</v>
      </c>
      <c r="H107" s="9">
        <v>37.862686157226563</v>
      </c>
      <c r="I107" s="9">
        <v>38.258255004882813</v>
      </c>
      <c r="J107" s="9">
        <v>37.779701232910156</v>
      </c>
      <c r="K107" s="9">
        <v>37.761062622070313</v>
      </c>
      <c r="L107" s="9">
        <v>36.774036407470703</v>
      </c>
      <c r="M107" s="9">
        <v>36.799999237060547</v>
      </c>
      <c r="N107" s="9">
        <v>36.734413146972656</v>
      </c>
      <c r="O107" s="9">
        <v>36.579769134521484</v>
      </c>
      <c r="P107" s="9">
        <v>36.351272583007813</v>
      </c>
      <c r="Q107" s="9">
        <v>36.445049285888672</v>
      </c>
      <c r="R107" s="9">
        <v>36.726619720458984</v>
      </c>
      <c r="S107" s="9">
        <v>36.572166442871094</v>
      </c>
      <c r="T107" s="9">
        <v>36.527671813964844</v>
      </c>
      <c r="U107" s="9">
        <v>36.925483703613281</v>
      </c>
      <c r="V107" s="9">
        <v>37.361072540283203</v>
      </c>
      <c r="W107" s="9">
        <v>36.636077880859375</v>
      </c>
      <c r="X107" s="9">
        <v>36.264820098876953</v>
      </c>
      <c r="Y107" s="9">
        <v>36.682746887207031</v>
      </c>
      <c r="Z107" s="9">
        <v>35.922687530517578</v>
      </c>
      <c r="AA107" s="9">
        <v>35.639614105224609</v>
      </c>
      <c r="AB107" s="9">
        <v>35.984302520751953</v>
      </c>
      <c r="AC107" s="9">
        <v>36.067676544189453</v>
      </c>
      <c r="AD107" s="9">
        <v>35.477474212646484</v>
      </c>
      <c r="AE107" s="9">
        <v>35.361030578613281</v>
      </c>
      <c r="AG107" s="9">
        <f t="shared" si="1"/>
        <v>36.476660294966265</v>
      </c>
    </row>
    <row r="108" spans="1:33" x14ac:dyDescent="0.2">
      <c r="A108" s="7" t="s">
        <v>231</v>
      </c>
      <c r="B108" s="7" t="s">
        <v>232</v>
      </c>
      <c r="C108" s="8"/>
      <c r="D108" s="8"/>
      <c r="E108" s="8"/>
      <c r="F108" s="9">
        <v>14.50444507598877</v>
      </c>
      <c r="G108" s="9">
        <v>14.457326889038086</v>
      </c>
      <c r="H108" s="9">
        <v>14.358869552612305</v>
      </c>
      <c r="I108" s="9">
        <v>14.038469314575195</v>
      </c>
      <c r="J108" s="9">
        <v>13.775131225585938</v>
      </c>
      <c r="K108" s="9">
        <v>13.511862754821777</v>
      </c>
      <c r="L108" s="9">
        <v>13.284341812133789</v>
      </c>
      <c r="M108" s="9">
        <v>13.100000381469727</v>
      </c>
      <c r="N108" s="9">
        <v>13.075545310974121</v>
      </c>
      <c r="O108" s="9">
        <v>13.265688896179199</v>
      </c>
      <c r="P108" s="9">
        <v>13.402470588684082</v>
      </c>
      <c r="Q108" s="9">
        <v>13.302602767944336</v>
      </c>
      <c r="R108" s="9">
        <v>13.301456451416016</v>
      </c>
      <c r="S108" s="9">
        <v>13.31474494934082</v>
      </c>
      <c r="T108" s="9">
        <v>13.165707588195801</v>
      </c>
      <c r="U108" s="9">
        <v>13.112761497497559</v>
      </c>
      <c r="V108" s="9">
        <v>13.581013679504395</v>
      </c>
      <c r="W108" s="9">
        <v>13.63746166229248</v>
      </c>
      <c r="X108" s="9">
        <v>13.497766494750977</v>
      </c>
      <c r="Y108" s="9">
        <v>13.619500160217285</v>
      </c>
      <c r="Z108" s="9">
        <v>13.705997467041016</v>
      </c>
      <c r="AA108" s="9">
        <v>13.638104438781738</v>
      </c>
      <c r="AB108" s="9">
        <v>13.578673362731934</v>
      </c>
      <c r="AC108" s="9">
        <v>13.425085067749023</v>
      </c>
      <c r="AD108" s="9">
        <v>13.20561695098877</v>
      </c>
      <c r="AE108" s="9">
        <v>13.0498046875</v>
      </c>
      <c r="AG108" s="9">
        <f t="shared" si="1"/>
        <v>13.468471613797275</v>
      </c>
    </row>
    <row r="109" spans="1:33" x14ac:dyDescent="0.2">
      <c r="A109" s="7" t="s">
        <v>233</v>
      </c>
      <c r="B109" s="7" t="s">
        <v>234</v>
      </c>
      <c r="C109" s="8"/>
      <c r="D109" s="8"/>
      <c r="E109" s="8"/>
      <c r="F109" s="9">
        <v>13.583328247070313</v>
      </c>
      <c r="G109" s="9">
        <v>13.211451530456543</v>
      </c>
      <c r="H109" s="9">
        <v>12.997607231140137</v>
      </c>
      <c r="I109" s="9">
        <v>12.879841804504395</v>
      </c>
      <c r="J109" s="9">
        <v>12.958155632019043</v>
      </c>
      <c r="K109" s="9">
        <v>13.165830612182617</v>
      </c>
      <c r="L109" s="9">
        <v>12.943758010864258</v>
      </c>
      <c r="M109" s="9">
        <v>12.800000190734863</v>
      </c>
      <c r="N109" s="9">
        <v>12.593494415283203</v>
      </c>
      <c r="O109" s="9">
        <v>12.437593460083008</v>
      </c>
      <c r="P109" s="9">
        <v>12.263771057128906</v>
      </c>
      <c r="Q109" s="9">
        <v>12.070721626281738</v>
      </c>
      <c r="R109" s="9">
        <v>12.313309669494629</v>
      </c>
      <c r="S109" s="9">
        <v>12.45999813079834</v>
      </c>
      <c r="T109" s="9">
        <v>12.32388973236084</v>
      </c>
      <c r="U109" s="9">
        <v>12.659830093383789</v>
      </c>
      <c r="V109" s="9">
        <v>12.686853408813477</v>
      </c>
      <c r="W109" s="9">
        <v>12.705865859985352</v>
      </c>
      <c r="X109" s="9">
        <v>12.577823638916016</v>
      </c>
      <c r="Y109" s="9">
        <v>12.568890571594238</v>
      </c>
      <c r="Z109" s="9">
        <v>12.376603126525879</v>
      </c>
      <c r="AA109" s="9">
        <v>12.13021183013916</v>
      </c>
      <c r="AB109" s="9">
        <v>12.07243824005127</v>
      </c>
      <c r="AC109" s="9">
        <v>11.96082592010498</v>
      </c>
      <c r="AD109" s="9">
        <v>11.954894065856934</v>
      </c>
      <c r="AE109" s="9">
        <v>12.00825309753418</v>
      </c>
      <c r="AG109" s="9">
        <f t="shared" si="1"/>
        <v>12.443246754732998</v>
      </c>
    </row>
    <row r="110" spans="1:33" x14ac:dyDescent="0.2">
      <c r="A110" s="7" t="s">
        <v>235</v>
      </c>
      <c r="B110" s="7" t="s">
        <v>236</v>
      </c>
      <c r="C110" s="8"/>
      <c r="D110" s="8"/>
      <c r="E110" s="8"/>
      <c r="F110" s="9">
        <v>48.380290985107422</v>
      </c>
      <c r="G110" s="9">
        <v>45.979904174804688</v>
      </c>
      <c r="H110" s="9">
        <v>45.978347778320313</v>
      </c>
      <c r="I110" s="9">
        <v>45.125679016113281</v>
      </c>
      <c r="J110" s="9">
        <v>44.841579437255859</v>
      </c>
      <c r="K110" s="9">
        <v>44.967399597167969</v>
      </c>
      <c r="L110" s="9">
        <v>44.978977203369141</v>
      </c>
      <c r="M110" s="9">
        <v>45.200000762939453</v>
      </c>
      <c r="N110" s="9">
        <v>45.224361419677734</v>
      </c>
      <c r="O110" s="9">
        <v>45.299488067626953</v>
      </c>
      <c r="P110" s="9">
        <v>45.752952575683594</v>
      </c>
      <c r="Q110" s="9">
        <v>45.227165222167969</v>
      </c>
      <c r="R110" s="9">
        <v>44.957916259765625</v>
      </c>
      <c r="S110" s="9">
        <v>45.963882446289063</v>
      </c>
      <c r="T110" s="9">
        <v>45.479564666748047</v>
      </c>
      <c r="U110" s="9">
        <v>45.532215118408203</v>
      </c>
      <c r="V110" s="9">
        <v>46.398174285888672</v>
      </c>
      <c r="W110" s="9">
        <v>46.341720581054688</v>
      </c>
      <c r="X110" s="9">
        <v>45.644027709960938</v>
      </c>
      <c r="Y110" s="9">
        <v>44.984786987304688</v>
      </c>
      <c r="Z110" s="9">
        <v>44.041202545166016</v>
      </c>
      <c r="AA110" s="9">
        <v>43.863639831542969</v>
      </c>
      <c r="AB110" s="9">
        <v>43.477588653564453</v>
      </c>
      <c r="AC110" s="9">
        <v>42.742874145507813</v>
      </c>
      <c r="AD110" s="9">
        <v>42.147903442382813</v>
      </c>
      <c r="AE110" s="9">
        <v>43.725582122802734</v>
      </c>
      <c r="AG110" s="9">
        <f t="shared" si="1"/>
        <v>45.153156280517578</v>
      </c>
    </row>
    <row r="111" spans="1:33" x14ac:dyDescent="0.2">
      <c r="A111" s="7" t="s">
        <v>24</v>
      </c>
      <c r="B111" s="7" t="s">
        <v>57</v>
      </c>
      <c r="C111" s="8"/>
      <c r="D111" s="8"/>
      <c r="E111" s="8"/>
      <c r="F111" s="9">
        <v>42.616859436035156</v>
      </c>
      <c r="G111" s="9">
        <v>42.585559844970703</v>
      </c>
      <c r="H111" s="9">
        <v>41.9154052734375</v>
      </c>
      <c r="I111" s="9">
        <v>41.477413177490234</v>
      </c>
      <c r="J111" s="9">
        <v>42.574085235595703</v>
      </c>
      <c r="K111" s="9">
        <v>41.067413330078125</v>
      </c>
      <c r="L111" s="9">
        <v>42.142967224121094</v>
      </c>
      <c r="M111" s="9">
        <v>41.900001525878906</v>
      </c>
      <c r="N111" s="9">
        <v>40.880588531494141</v>
      </c>
      <c r="O111" s="9">
        <v>40.797023773193359</v>
      </c>
      <c r="P111" s="9">
        <v>41.621543884277344</v>
      </c>
      <c r="Q111" s="9">
        <v>42.580223083496094</v>
      </c>
      <c r="R111" s="9">
        <v>43.025928497314453</v>
      </c>
      <c r="S111" s="9">
        <v>42.4453125</v>
      </c>
      <c r="T111" s="9">
        <v>42.821571350097656</v>
      </c>
      <c r="U111" s="9">
        <v>41.850677490234375</v>
      </c>
      <c r="V111" s="9">
        <v>43.166385650634766</v>
      </c>
      <c r="W111" s="9">
        <v>41.323444366455078</v>
      </c>
      <c r="X111" s="9">
        <v>41.909423828125</v>
      </c>
      <c r="Y111" s="9">
        <v>40.005245208740234</v>
      </c>
      <c r="Z111" s="9">
        <v>39.772022247314453</v>
      </c>
      <c r="AA111" s="9">
        <v>39.514591217041016</v>
      </c>
      <c r="AB111" s="9">
        <v>40.295398712158203</v>
      </c>
      <c r="AC111" s="9">
        <v>39.580398559570313</v>
      </c>
      <c r="AD111" s="9">
        <v>38.930782318115234</v>
      </c>
      <c r="AE111" s="9">
        <v>37.834983825683594</v>
      </c>
      <c r="AG111" s="9">
        <f t="shared" si="1"/>
        <v>41.466363733465023</v>
      </c>
    </row>
    <row r="112" spans="1:33" x14ac:dyDescent="0.2">
      <c r="A112" s="7" t="s">
        <v>237</v>
      </c>
      <c r="B112" s="7" t="s">
        <v>238</v>
      </c>
      <c r="C112" s="8"/>
      <c r="D112" s="8"/>
      <c r="E112" s="8"/>
      <c r="F112" s="9">
        <v>57.888980865478516</v>
      </c>
      <c r="G112" s="9">
        <v>58.044582366943359</v>
      </c>
      <c r="H112" s="9">
        <v>58.040874481201172</v>
      </c>
      <c r="I112" s="9">
        <v>57.426128387451172</v>
      </c>
      <c r="J112" s="9">
        <v>57.794464111328125</v>
      </c>
      <c r="K112" s="9">
        <v>58.311714172363281</v>
      </c>
      <c r="L112" s="9">
        <v>58.112579345703125</v>
      </c>
      <c r="M112" s="9">
        <v>57.900001525878906</v>
      </c>
      <c r="N112" s="9">
        <v>57.80230712890625</v>
      </c>
      <c r="O112" s="9">
        <v>57.037300109863281</v>
      </c>
      <c r="P112" s="9">
        <v>56.309967041015625</v>
      </c>
      <c r="Q112" s="9">
        <v>56.886634826660156</v>
      </c>
      <c r="R112" s="9">
        <v>56.329742431640625</v>
      </c>
      <c r="S112" s="9">
        <v>56.556060791015625</v>
      </c>
      <c r="T112" s="9">
        <v>57.751869201660156</v>
      </c>
      <c r="U112" s="9">
        <v>57.151737213134766</v>
      </c>
      <c r="V112" s="9">
        <v>57.454006195068359</v>
      </c>
      <c r="W112" s="9">
        <v>56.844215393066406</v>
      </c>
      <c r="X112" s="9">
        <v>56.248199462890625</v>
      </c>
      <c r="Y112" s="9">
        <v>55.580047607421875</v>
      </c>
      <c r="Z112" s="9">
        <v>54.882492065429688</v>
      </c>
      <c r="AA112" s="9">
        <v>55.11700439453125</v>
      </c>
      <c r="AB112" s="9">
        <v>54.628215789794922</v>
      </c>
      <c r="AC112" s="9">
        <v>55.900505065917969</v>
      </c>
      <c r="AD112" s="9">
        <v>55.828037261962891</v>
      </c>
      <c r="AE112" s="9">
        <v>56.235744476318359</v>
      </c>
      <c r="AG112" s="9">
        <f t="shared" si="1"/>
        <v>56.231235504150391</v>
      </c>
    </row>
    <row r="113" spans="1:33" x14ac:dyDescent="0.2">
      <c r="A113" s="7" t="s">
        <v>239</v>
      </c>
      <c r="B113" s="7" t="s">
        <v>240</v>
      </c>
      <c r="C113" s="8"/>
      <c r="D113" s="8"/>
      <c r="E113" s="8"/>
      <c r="F113" s="9">
        <v>39.132328033447266</v>
      </c>
      <c r="G113" s="9">
        <v>38.735092163085938</v>
      </c>
      <c r="H113" s="9">
        <v>38.679908752441406</v>
      </c>
      <c r="I113" s="9">
        <v>38.887504577636719</v>
      </c>
      <c r="J113" s="9">
        <v>39.410415649414063</v>
      </c>
      <c r="K113" s="9">
        <v>39.325870513916016</v>
      </c>
      <c r="L113" s="9">
        <v>39.159065246582031</v>
      </c>
      <c r="M113" s="9">
        <v>38.200000762939453</v>
      </c>
      <c r="N113" s="9">
        <v>40.277530670166016</v>
      </c>
      <c r="O113" s="9">
        <v>39.287136077880859</v>
      </c>
      <c r="P113" s="9">
        <v>38.556842803955078</v>
      </c>
      <c r="Q113" s="9">
        <v>38.006843566894531</v>
      </c>
      <c r="R113" s="9">
        <v>37.499217987060547</v>
      </c>
      <c r="S113" s="9">
        <v>37.069450378417969</v>
      </c>
      <c r="T113" s="9">
        <v>36.774188995361328</v>
      </c>
      <c r="U113" s="9">
        <v>36.751930236816406</v>
      </c>
      <c r="V113" s="9">
        <v>36.857414245605469</v>
      </c>
      <c r="W113" s="9">
        <v>36.413959503173828</v>
      </c>
      <c r="X113" s="9">
        <v>36.180576324462891</v>
      </c>
      <c r="Y113" s="9">
        <v>36.326641082763672</v>
      </c>
      <c r="Z113" s="9">
        <v>35.644451141357422</v>
      </c>
      <c r="AA113" s="9">
        <v>35.061504364013672</v>
      </c>
      <c r="AB113" s="9">
        <v>34.632881164550781</v>
      </c>
      <c r="AC113" s="9">
        <v>33.815109252929688</v>
      </c>
      <c r="AD113" s="9">
        <v>33.526847839355469</v>
      </c>
      <c r="AE113" s="9">
        <v>33.359638214111328</v>
      </c>
      <c r="AG113" s="9">
        <f t="shared" si="1"/>
        <v>36.29201958396218</v>
      </c>
    </row>
    <row r="114" spans="1:33" x14ac:dyDescent="0.2">
      <c r="A114" s="7" t="s">
        <v>241</v>
      </c>
      <c r="B114" s="7" t="s">
        <v>242</v>
      </c>
      <c r="C114" s="8"/>
      <c r="D114" s="8"/>
      <c r="E114" s="8"/>
      <c r="F114" s="9">
        <v>21.557796478271484</v>
      </c>
      <c r="G114" s="9">
        <v>21.115396499633789</v>
      </c>
      <c r="H114" s="9">
        <v>20.706182479858398</v>
      </c>
      <c r="I114" s="9">
        <v>20.188297271728516</v>
      </c>
      <c r="J114" s="9">
        <v>19.645698547363281</v>
      </c>
      <c r="K114" s="9">
        <v>19.629734039306641</v>
      </c>
      <c r="L114" s="9">
        <v>19.558116912841797</v>
      </c>
      <c r="M114" s="9">
        <v>19.100000381469727</v>
      </c>
      <c r="N114" s="9">
        <v>19.214912414550781</v>
      </c>
      <c r="O114" s="9">
        <v>19.537372589111328</v>
      </c>
      <c r="P114" s="9">
        <v>19.652015686035156</v>
      </c>
      <c r="Q114" s="9">
        <v>18.861856460571289</v>
      </c>
      <c r="R114" s="9">
        <v>18.893455505371094</v>
      </c>
      <c r="S114" s="9">
        <v>18.400335311889648</v>
      </c>
      <c r="T114" s="9">
        <v>17.857872009277344</v>
      </c>
      <c r="U114" s="9">
        <v>18.223838806152344</v>
      </c>
      <c r="V114" s="9">
        <v>19.129404067993164</v>
      </c>
      <c r="W114" s="9">
        <v>19.119108200073242</v>
      </c>
      <c r="X114" s="9">
        <v>19.089311599731445</v>
      </c>
      <c r="Y114" s="9">
        <v>18.80955696105957</v>
      </c>
      <c r="Z114" s="9">
        <v>18.985355377197266</v>
      </c>
      <c r="AA114" s="9">
        <v>19.152395248413086</v>
      </c>
      <c r="AB114" s="9">
        <v>19.437492370605469</v>
      </c>
      <c r="AC114" s="9">
        <v>19.687807083129883</v>
      </c>
      <c r="AD114" s="9">
        <v>19.215763092041016</v>
      </c>
      <c r="AE114" s="9">
        <v>19.175691604614258</v>
      </c>
      <c r="AG114" s="9">
        <f t="shared" si="1"/>
        <v>18.827102314342152</v>
      </c>
    </row>
    <row r="115" spans="1:33" x14ac:dyDescent="0.2">
      <c r="A115" s="7" t="s">
        <v>243</v>
      </c>
      <c r="B115" s="7" t="s">
        <v>244</v>
      </c>
      <c r="C115" s="8"/>
      <c r="D115" s="8"/>
      <c r="E115" s="8"/>
      <c r="F115" s="9">
        <v>20.5142822265625</v>
      </c>
      <c r="G115" s="9">
        <v>20.432271957397461</v>
      </c>
      <c r="H115" s="9">
        <v>20.249212265014648</v>
      </c>
      <c r="I115" s="9">
        <v>19.890735626220703</v>
      </c>
      <c r="J115" s="9">
        <v>19.401689529418945</v>
      </c>
      <c r="K115" s="9">
        <v>19.456705093383789</v>
      </c>
      <c r="L115" s="9">
        <v>19.450649261474609</v>
      </c>
      <c r="M115" s="9">
        <v>18.899999618530273</v>
      </c>
      <c r="N115" s="9">
        <v>18.674633026123047</v>
      </c>
      <c r="O115" s="9">
        <v>18.963207244873047</v>
      </c>
      <c r="P115" s="9">
        <v>19.220634460449219</v>
      </c>
      <c r="Q115" s="9">
        <v>19.347925186157227</v>
      </c>
      <c r="R115" s="9">
        <v>19.398677825927734</v>
      </c>
      <c r="S115" s="9">
        <v>18.973880767822266</v>
      </c>
      <c r="T115" s="9">
        <v>18.813661575317383</v>
      </c>
      <c r="U115" s="9">
        <v>17.831518173217773</v>
      </c>
      <c r="V115" s="9">
        <v>18.14433479309082</v>
      </c>
      <c r="W115" s="9">
        <v>18.125181198120117</v>
      </c>
      <c r="X115" s="9">
        <v>19.059347152709961</v>
      </c>
      <c r="Y115" s="9">
        <v>18.982866287231445</v>
      </c>
      <c r="Z115" s="9">
        <v>19.500778198242188</v>
      </c>
      <c r="AA115" s="9">
        <v>20.086919784545898</v>
      </c>
      <c r="AB115" s="9">
        <v>20.624727249145508</v>
      </c>
      <c r="AC115" s="9">
        <v>20.558897018432617</v>
      </c>
      <c r="AD115" s="9">
        <v>20.526351928710938</v>
      </c>
      <c r="AE115" s="9">
        <v>20.561939239501953</v>
      </c>
      <c r="AG115" s="9">
        <f t="shared" si="1"/>
        <v>19.049263000488281</v>
      </c>
    </row>
    <row r="116" spans="1:33" x14ac:dyDescent="0.2">
      <c r="A116" s="7" t="s">
        <v>245</v>
      </c>
      <c r="B116" s="7" t="s">
        <v>246</v>
      </c>
      <c r="C116" s="8"/>
      <c r="D116" s="8"/>
      <c r="E116" s="8"/>
      <c r="F116" s="9">
        <v>38.233291625976563</v>
      </c>
      <c r="G116" s="9">
        <v>37.76300048828125</v>
      </c>
      <c r="H116" s="9">
        <v>37.646823883056641</v>
      </c>
      <c r="I116" s="9">
        <v>37.892341613769531</v>
      </c>
      <c r="J116" s="9">
        <v>37.759971618652344</v>
      </c>
      <c r="K116" s="9">
        <v>37.401515960693359</v>
      </c>
      <c r="L116" s="9">
        <v>37.19488525390625</v>
      </c>
      <c r="M116" s="9">
        <v>36.799999237060547</v>
      </c>
      <c r="N116" s="9">
        <v>36.423965454101563</v>
      </c>
      <c r="O116" s="9">
        <v>36.676769256591797</v>
      </c>
      <c r="P116" s="9">
        <v>36.477916717529297</v>
      </c>
      <c r="Q116" s="9">
        <v>35.863716125488281</v>
      </c>
      <c r="R116" s="9">
        <v>35.188694000244141</v>
      </c>
      <c r="S116" s="9">
        <v>35.459102630615234</v>
      </c>
      <c r="T116" s="9">
        <v>34.920337677001953</v>
      </c>
      <c r="U116" s="9">
        <v>35.273323059082031</v>
      </c>
      <c r="V116" s="9">
        <v>35.677761077880859</v>
      </c>
      <c r="W116" s="9">
        <v>35.581043243408203</v>
      </c>
      <c r="X116" s="9">
        <v>35.386989593505859</v>
      </c>
      <c r="Y116" s="9">
        <v>35.483333587646484</v>
      </c>
      <c r="Z116" s="9">
        <v>35.481830596923828</v>
      </c>
      <c r="AA116" s="9">
        <v>35.109752655029297</v>
      </c>
      <c r="AB116" s="9">
        <v>34.969486236572266</v>
      </c>
      <c r="AC116" s="9">
        <v>34.779216766357422</v>
      </c>
      <c r="AD116" s="9">
        <v>34.353523254394531</v>
      </c>
      <c r="AE116" s="9">
        <v>34.196392059326172</v>
      </c>
      <c r="AG116" s="9">
        <f t="shared" si="1"/>
        <v>35.321059487082742</v>
      </c>
    </row>
    <row r="117" spans="1:33" x14ac:dyDescent="0.2">
      <c r="A117" s="7" t="s">
        <v>247</v>
      </c>
      <c r="B117" s="7" t="s">
        <v>248</v>
      </c>
      <c r="C117" s="8"/>
      <c r="D117" s="8"/>
      <c r="E117" s="8"/>
      <c r="F117" s="9">
        <v>65.386558532714844</v>
      </c>
      <c r="G117" s="9">
        <v>65.244247436523438</v>
      </c>
      <c r="H117" s="9">
        <v>65.429725646972656</v>
      </c>
      <c r="I117" s="9">
        <v>65.00640869140625</v>
      </c>
      <c r="J117" s="9">
        <v>63.879978179931641</v>
      </c>
      <c r="K117" s="9">
        <v>63.599876403808594</v>
      </c>
      <c r="L117" s="9">
        <v>63.667995452880859</v>
      </c>
      <c r="M117" s="9">
        <v>64.099998474121094</v>
      </c>
      <c r="N117" s="9">
        <v>65.002189636230469</v>
      </c>
      <c r="O117" s="9">
        <v>65.800178527832031</v>
      </c>
      <c r="P117" s="9">
        <v>65.368820190429688</v>
      </c>
      <c r="Q117" s="9">
        <v>64.786689758300781</v>
      </c>
      <c r="R117" s="9">
        <v>63.630165100097656</v>
      </c>
      <c r="S117" s="9">
        <v>62.674163818359375</v>
      </c>
      <c r="T117" s="9">
        <v>61.293128967285156</v>
      </c>
      <c r="U117" s="9">
        <v>60.529548645019531</v>
      </c>
      <c r="V117" s="9">
        <v>60.543972015380859</v>
      </c>
      <c r="W117" s="9">
        <v>60.666786193847656</v>
      </c>
      <c r="X117" s="9">
        <v>59.51434326171875</v>
      </c>
      <c r="Y117" s="9">
        <v>57.702728271484375</v>
      </c>
      <c r="Z117" s="9">
        <v>57.201725006103516</v>
      </c>
      <c r="AA117" s="9">
        <v>56.628391265869141</v>
      </c>
      <c r="AB117" s="9">
        <v>56.360111236572266</v>
      </c>
      <c r="AC117" s="9">
        <v>56.789619445800781</v>
      </c>
      <c r="AD117" s="9">
        <v>57.031055450439453</v>
      </c>
      <c r="AE117" s="9">
        <v>58.259449005126953</v>
      </c>
      <c r="AG117" s="9">
        <f t="shared" si="1"/>
        <v>59.70409670743075</v>
      </c>
    </row>
    <row r="118" spans="1:33" x14ac:dyDescent="0.2">
      <c r="A118" s="7" t="s">
        <v>335</v>
      </c>
      <c r="B118" s="7" t="s">
        <v>336</v>
      </c>
      <c r="C118" s="8"/>
      <c r="D118" s="8"/>
      <c r="E118" s="8"/>
      <c r="F118" s="9">
        <v>35.949031829833984</v>
      </c>
      <c r="G118" s="9">
        <v>35.073257446289063</v>
      </c>
      <c r="H118" s="9">
        <v>35.702064514160156</v>
      </c>
      <c r="I118" s="9">
        <v>34.888317108154297</v>
      </c>
      <c r="J118" s="9">
        <v>35.811408996582031</v>
      </c>
      <c r="K118" s="9">
        <v>35.817420959472656</v>
      </c>
      <c r="L118" s="9">
        <v>35.750576019287109</v>
      </c>
      <c r="M118" s="9">
        <v>36.099998474121094</v>
      </c>
      <c r="N118" s="9">
        <v>36.098041534423828</v>
      </c>
      <c r="O118" s="9">
        <v>36.126331329345703</v>
      </c>
      <c r="P118" s="9">
        <v>36.191486358642578</v>
      </c>
      <c r="Q118" s="9">
        <v>36.357021331787109</v>
      </c>
      <c r="R118" s="9">
        <v>36.453018188476563</v>
      </c>
      <c r="S118" s="9">
        <v>36.154579162597656</v>
      </c>
      <c r="T118" s="9">
        <v>35.479442596435547</v>
      </c>
      <c r="U118" s="9">
        <v>35.577167510986328</v>
      </c>
      <c r="V118" s="9">
        <v>35.514816284179688</v>
      </c>
      <c r="W118" s="9">
        <v>34.515312194824219</v>
      </c>
      <c r="X118" s="9">
        <v>34.747215270996094</v>
      </c>
      <c r="Y118" s="9">
        <v>35.038135528564453</v>
      </c>
      <c r="Z118" s="9">
        <v>36.006198883056641</v>
      </c>
      <c r="AA118" s="9">
        <v>34.881317138671875</v>
      </c>
      <c r="AB118" s="9">
        <v>32.963401794433594</v>
      </c>
      <c r="AC118" s="9">
        <v>32.999271392822266</v>
      </c>
      <c r="AD118" s="9"/>
      <c r="AE118" s="9"/>
      <c r="AG118" s="9">
        <f t="shared" si="1"/>
        <v>35.211873141202062</v>
      </c>
    </row>
    <row r="119" spans="1:33" x14ac:dyDescent="0.2">
      <c r="A119" s="7" t="s">
        <v>249</v>
      </c>
      <c r="B119" s="7" t="s">
        <v>250</v>
      </c>
      <c r="C119" s="8"/>
      <c r="D119" s="8"/>
      <c r="E119" s="8"/>
      <c r="F119" s="9">
        <v>38.463050842285156</v>
      </c>
      <c r="G119" s="9">
        <v>38.204418182373047</v>
      </c>
      <c r="H119" s="9">
        <v>37.351268768310547</v>
      </c>
      <c r="I119" s="9">
        <v>37.892436981201172</v>
      </c>
      <c r="J119" s="9">
        <v>38.248153686523438</v>
      </c>
      <c r="K119" s="9">
        <v>38.591854095458984</v>
      </c>
      <c r="L119" s="9">
        <v>38.997547149658203</v>
      </c>
      <c r="M119" s="9">
        <v>39.799999237060547</v>
      </c>
      <c r="N119" s="9">
        <v>39.542819976806641</v>
      </c>
      <c r="O119" s="9">
        <v>39.664463043212891</v>
      </c>
      <c r="P119" s="9">
        <v>38.570163726806641</v>
      </c>
      <c r="Q119" s="9">
        <v>38.21893310546875</v>
      </c>
      <c r="R119" s="9">
        <v>37.885318756103516</v>
      </c>
      <c r="S119" s="9">
        <v>38.145149230957031</v>
      </c>
      <c r="T119" s="9">
        <v>37.235729217529297</v>
      </c>
      <c r="U119" s="9">
        <v>36.667182922363281</v>
      </c>
      <c r="V119" s="9">
        <v>37.732620239257813</v>
      </c>
      <c r="W119" s="9">
        <v>36.774543762207031</v>
      </c>
      <c r="X119" s="9">
        <v>36.563827514648438</v>
      </c>
      <c r="Y119" s="9">
        <v>37.612052917480469</v>
      </c>
      <c r="Z119" s="9">
        <v>36.776336669921875</v>
      </c>
      <c r="AA119" s="9">
        <v>36.554691314697266</v>
      </c>
      <c r="AB119" s="9">
        <v>36.465343475341797</v>
      </c>
      <c r="AC119" s="9">
        <v>35.834114074707031</v>
      </c>
      <c r="AD119" s="9">
        <v>35.258815765380859</v>
      </c>
      <c r="AE119" s="9">
        <v>34.655487060546875</v>
      </c>
      <c r="AG119" s="9">
        <f t="shared" si="1"/>
        <v>37.128436001864344</v>
      </c>
    </row>
    <row r="120" spans="1:33" x14ac:dyDescent="0.2">
      <c r="A120" s="7" t="s">
        <v>25</v>
      </c>
      <c r="B120" s="7" t="s">
        <v>58</v>
      </c>
      <c r="C120" s="8"/>
      <c r="D120" s="8"/>
      <c r="E120" s="8"/>
      <c r="F120" s="9">
        <v>58.909141540527344</v>
      </c>
      <c r="G120" s="9">
        <v>58.379558563232422</v>
      </c>
      <c r="H120" s="9">
        <v>58.962688446044922</v>
      </c>
      <c r="I120" s="9">
        <v>59.181247711181641</v>
      </c>
      <c r="J120" s="9">
        <v>58.308486938476563</v>
      </c>
      <c r="K120" s="9">
        <v>58.674892425537109</v>
      </c>
      <c r="L120" s="9">
        <v>59.806411743164063</v>
      </c>
      <c r="M120" s="9">
        <v>59.900001525878906</v>
      </c>
      <c r="N120" s="9">
        <v>59.829681396484375</v>
      </c>
      <c r="O120" s="9">
        <v>59.679298400878906</v>
      </c>
      <c r="P120" s="9">
        <v>60.074298858642578</v>
      </c>
      <c r="Q120" s="9">
        <v>59.445056915283203</v>
      </c>
      <c r="R120" s="9">
        <v>59.439952850341797</v>
      </c>
      <c r="S120" s="9">
        <v>58.542522430419922</v>
      </c>
      <c r="T120" s="9">
        <v>57.480792999267578</v>
      </c>
      <c r="U120" s="9">
        <v>56.620574951171875</v>
      </c>
      <c r="V120" s="9">
        <v>57.424453735351563</v>
      </c>
      <c r="W120" s="9">
        <v>55.723663330078125</v>
      </c>
      <c r="X120" s="9">
        <v>55.09564208984375</v>
      </c>
      <c r="Y120" s="9">
        <v>54.889373779296875</v>
      </c>
      <c r="Z120" s="9">
        <v>55.020412445068359</v>
      </c>
      <c r="AA120" s="9">
        <v>55.849620819091797</v>
      </c>
      <c r="AB120" s="9">
        <v>56.935768127441406</v>
      </c>
      <c r="AC120" s="9">
        <v>56.905063629150391</v>
      </c>
      <c r="AD120" s="9">
        <v>56.755207061767578</v>
      </c>
      <c r="AE120" s="9">
        <v>56.624565124511719</v>
      </c>
      <c r="AG120" s="9">
        <f t="shared" si="1"/>
        <v>56.638434323397547</v>
      </c>
    </row>
    <row r="121" spans="1:33" x14ac:dyDescent="0.2">
      <c r="A121" s="7" t="s">
        <v>251</v>
      </c>
      <c r="B121" s="7" t="s">
        <v>252</v>
      </c>
      <c r="C121" s="8"/>
      <c r="D121" s="8"/>
      <c r="E121" s="8"/>
      <c r="F121" s="9">
        <v>42.508522033691406</v>
      </c>
      <c r="G121" s="9">
        <v>42.708442687988281</v>
      </c>
      <c r="H121" s="9">
        <v>42.920429229736328</v>
      </c>
      <c r="I121" s="9">
        <v>43.375980377197266</v>
      </c>
      <c r="J121" s="9">
        <v>43.638729095458984</v>
      </c>
      <c r="K121" s="9">
        <v>43.726425170898438</v>
      </c>
      <c r="L121" s="9">
        <v>43.331321716308594</v>
      </c>
      <c r="M121" s="9">
        <v>43.299999237060547</v>
      </c>
      <c r="N121" s="9">
        <v>43.009059906005859</v>
      </c>
      <c r="O121" s="9">
        <v>42.707901000976563</v>
      </c>
      <c r="P121" s="9">
        <v>42.277645111083984</v>
      </c>
      <c r="Q121" s="9">
        <v>41.993045806884766</v>
      </c>
      <c r="R121" s="9">
        <v>40.613670349121094</v>
      </c>
      <c r="S121" s="9">
        <v>40.731624603271484</v>
      </c>
      <c r="T121" s="9">
        <v>40.024093627929688</v>
      </c>
      <c r="U121" s="9">
        <v>39.741130828857422</v>
      </c>
      <c r="V121" s="9">
        <v>40.42449951171875</v>
      </c>
      <c r="W121" s="9">
        <v>39.919193267822266</v>
      </c>
      <c r="X121" s="9">
        <v>39.566719055175781</v>
      </c>
      <c r="Y121" s="9">
        <v>39.816764831542969</v>
      </c>
      <c r="Z121" s="9">
        <v>39.459068298339844</v>
      </c>
      <c r="AA121" s="9">
        <v>38.856590270996094</v>
      </c>
      <c r="AB121" s="9">
        <v>38.754867553710938</v>
      </c>
      <c r="AC121" s="9">
        <v>38.6661376953125</v>
      </c>
      <c r="AD121" s="9">
        <v>38.331348419189453</v>
      </c>
      <c r="AE121" s="9">
        <v>38.056636810302734</v>
      </c>
      <c r="AG121" s="9">
        <f t="shared" si="1"/>
        <v>39.809838381680578</v>
      </c>
    </row>
    <row r="122" spans="1:33" x14ac:dyDescent="0.2">
      <c r="A122" s="7" t="s">
        <v>253</v>
      </c>
      <c r="B122" s="7" t="s">
        <v>254</v>
      </c>
      <c r="C122" s="8"/>
      <c r="D122" s="8"/>
      <c r="E122" s="8"/>
      <c r="F122" s="9">
        <v>30.312187194824219</v>
      </c>
      <c r="G122" s="9">
        <v>28.66264533996582</v>
      </c>
      <c r="H122" s="9">
        <v>28.481906890869141</v>
      </c>
      <c r="I122" s="9">
        <v>27.980300903320313</v>
      </c>
      <c r="J122" s="9">
        <v>27.586706161499023</v>
      </c>
      <c r="K122" s="9">
        <v>27.275154113769531</v>
      </c>
      <c r="L122" s="9">
        <v>27.403480529785156</v>
      </c>
      <c r="M122" s="9">
        <v>27.600000381469727</v>
      </c>
      <c r="N122" s="9">
        <v>28.030490875244141</v>
      </c>
      <c r="O122" s="9">
        <v>28.116519927978516</v>
      </c>
      <c r="P122" s="9">
        <v>28.09295654296875</v>
      </c>
      <c r="Q122" s="9">
        <v>27.727672576904297</v>
      </c>
      <c r="R122" s="9">
        <v>27.560995101928711</v>
      </c>
      <c r="S122" s="9">
        <v>27.428564071655273</v>
      </c>
      <c r="T122" s="9">
        <v>26.812393188476563</v>
      </c>
      <c r="U122" s="9">
        <v>26.687343597412109</v>
      </c>
      <c r="V122" s="9">
        <v>26.62309455871582</v>
      </c>
      <c r="W122" s="9">
        <v>26.61674690246582</v>
      </c>
      <c r="X122" s="9">
        <v>25.934940338134766</v>
      </c>
      <c r="Y122" s="9">
        <v>25.764541625976563</v>
      </c>
      <c r="Z122" s="9">
        <v>25.761785507202148</v>
      </c>
      <c r="AA122" s="9">
        <v>25.456199645996094</v>
      </c>
      <c r="AB122" s="9">
        <v>25.333209991455078</v>
      </c>
      <c r="AC122" s="9">
        <v>25.194816589355469</v>
      </c>
      <c r="AD122" s="9">
        <v>24.903894424438477</v>
      </c>
      <c r="AE122" s="9">
        <v>24.655708312988281</v>
      </c>
      <c r="AG122" s="9">
        <f t="shared" si="1"/>
        <v>26.361801320856269</v>
      </c>
    </row>
    <row r="123" spans="1:33" x14ac:dyDescent="0.2">
      <c r="A123" s="7" t="s">
        <v>255</v>
      </c>
      <c r="B123" s="7" t="s">
        <v>256</v>
      </c>
      <c r="C123" s="8"/>
      <c r="D123" s="8"/>
      <c r="E123" s="8"/>
      <c r="F123" s="9">
        <v>24.153495788574219</v>
      </c>
      <c r="G123" s="9">
        <v>24.172082901000977</v>
      </c>
      <c r="H123" s="9">
        <v>23.858766555786133</v>
      </c>
      <c r="I123" s="9">
        <v>23.474882125854492</v>
      </c>
      <c r="J123" s="9">
        <v>23.177158355712891</v>
      </c>
      <c r="K123" s="9">
        <v>22.880544662475586</v>
      </c>
      <c r="L123" s="9">
        <v>22.698989868164063</v>
      </c>
      <c r="M123" s="9">
        <v>22.700000762939453</v>
      </c>
      <c r="N123" s="9">
        <v>22.589710235595703</v>
      </c>
      <c r="O123" s="9">
        <v>22.592563629150391</v>
      </c>
      <c r="P123" s="9">
        <v>22.967681884765625</v>
      </c>
      <c r="Q123" s="9">
        <v>23.043920516967773</v>
      </c>
      <c r="R123" s="9">
        <v>23.187883377075195</v>
      </c>
      <c r="S123" s="9">
        <v>23.084957122802734</v>
      </c>
      <c r="T123" s="9">
        <v>22.656179428100586</v>
      </c>
      <c r="U123" s="9">
        <v>22.453767776489258</v>
      </c>
      <c r="V123" s="9">
        <v>23.189002990722656</v>
      </c>
      <c r="W123" s="9">
        <v>23.06309700012207</v>
      </c>
      <c r="X123" s="9">
        <v>23.136272430419922</v>
      </c>
      <c r="Y123" s="9">
        <v>23.15557861328125</v>
      </c>
      <c r="Z123" s="9">
        <v>23.146377563476563</v>
      </c>
      <c r="AA123" s="9">
        <v>23.072483062744141</v>
      </c>
      <c r="AB123" s="9">
        <v>22.374616622924805</v>
      </c>
      <c r="AC123" s="9">
        <v>22.029930114746094</v>
      </c>
      <c r="AD123" s="9">
        <v>21.315744400024414</v>
      </c>
      <c r="AE123" s="9">
        <v>21.044055938720703</v>
      </c>
      <c r="AG123" s="9">
        <f t="shared" si="1"/>
        <v>22.956383271650836</v>
      </c>
    </row>
    <row r="124" spans="1:33" x14ac:dyDescent="0.2">
      <c r="A124" s="7" t="s">
        <v>257</v>
      </c>
      <c r="B124" s="7" t="s">
        <v>258</v>
      </c>
      <c r="C124" s="8"/>
      <c r="D124" s="8"/>
      <c r="E124" s="8"/>
      <c r="F124" s="9">
        <v>20.667341232299805</v>
      </c>
      <c r="G124" s="9">
        <v>20.629730224609375</v>
      </c>
      <c r="H124" s="9">
        <v>20.497766494750977</v>
      </c>
      <c r="I124" s="9">
        <v>20.511396408081055</v>
      </c>
      <c r="J124" s="9">
        <v>19.606863021850586</v>
      </c>
      <c r="K124" s="9">
        <v>19.284543991088867</v>
      </c>
      <c r="L124" s="9">
        <v>19.143970489501953</v>
      </c>
      <c r="M124" s="9">
        <v>19</v>
      </c>
      <c r="N124" s="9">
        <v>18.866476058959961</v>
      </c>
      <c r="O124" s="9">
        <v>18.614984512329102</v>
      </c>
      <c r="P124" s="9">
        <v>18.846958160400391</v>
      </c>
      <c r="Q124" s="9">
        <v>18.544332504272461</v>
      </c>
      <c r="R124" s="9">
        <v>18.814949035644531</v>
      </c>
      <c r="S124" s="9">
        <v>18.337810516357422</v>
      </c>
      <c r="T124" s="9">
        <v>18.216230392456055</v>
      </c>
      <c r="U124" s="9">
        <v>17.981063842773438</v>
      </c>
      <c r="V124" s="9">
        <v>18.114246368408203</v>
      </c>
      <c r="W124" s="9">
        <v>17.845104217529297</v>
      </c>
      <c r="X124" s="9">
        <v>17.698846817016602</v>
      </c>
      <c r="Y124" s="9">
        <v>17.75701904296875</v>
      </c>
      <c r="Z124" s="9">
        <v>17.787897109985352</v>
      </c>
      <c r="AA124" s="9">
        <v>17.942461013793945</v>
      </c>
      <c r="AB124" s="9">
        <v>18.125802993774414</v>
      </c>
      <c r="AC124" s="9">
        <v>18.276369094848633</v>
      </c>
      <c r="AD124" s="9">
        <v>18.230398178100586</v>
      </c>
      <c r="AE124" s="9">
        <v>18.266189575195313</v>
      </c>
      <c r="AG124" s="9">
        <f t="shared" si="1"/>
        <v>18.056493759155273</v>
      </c>
    </row>
    <row r="125" spans="1:33" x14ac:dyDescent="0.2">
      <c r="A125" s="7" t="s">
        <v>259</v>
      </c>
      <c r="B125" s="7" t="s">
        <v>260</v>
      </c>
      <c r="C125" s="8"/>
      <c r="D125" s="8"/>
      <c r="E125" s="8"/>
      <c r="F125" s="9">
        <v>33.422595977783203</v>
      </c>
      <c r="G125" s="9">
        <v>33.74066162109375</v>
      </c>
      <c r="H125" s="9">
        <v>33.045982360839844</v>
      </c>
      <c r="I125" s="9">
        <v>32.453815460205078</v>
      </c>
      <c r="J125" s="9">
        <v>32.819446563720703</v>
      </c>
      <c r="K125" s="9">
        <v>32.847511291503906</v>
      </c>
      <c r="L125" s="9">
        <v>34.374576568603516</v>
      </c>
      <c r="M125" s="9">
        <v>34.400001525878906</v>
      </c>
      <c r="N125" s="9">
        <v>33.677265167236328</v>
      </c>
      <c r="O125" s="9">
        <v>33.398830413818359</v>
      </c>
      <c r="P125" s="9">
        <v>33.527141571044922</v>
      </c>
      <c r="Q125" s="9">
        <v>32.882354736328125</v>
      </c>
      <c r="R125" s="9">
        <v>33.228137969970703</v>
      </c>
      <c r="S125" s="9">
        <v>32.717308044433594</v>
      </c>
      <c r="T125" s="9">
        <v>32.181289672851563</v>
      </c>
      <c r="U125" s="9">
        <v>31.764217376708984</v>
      </c>
      <c r="V125" s="9">
        <v>32.356365203857422</v>
      </c>
      <c r="W125" s="9">
        <v>32.247791290283203</v>
      </c>
      <c r="X125" s="9">
        <v>31.881767272949219</v>
      </c>
      <c r="Y125" s="9">
        <v>31.74085807800293</v>
      </c>
      <c r="Z125" s="9">
        <v>31.144191741943359</v>
      </c>
      <c r="AA125" s="9">
        <v>30.884061813354492</v>
      </c>
      <c r="AB125" s="9">
        <v>30.577678680419922</v>
      </c>
      <c r="AC125" s="9">
        <v>30.701507568359375</v>
      </c>
      <c r="AD125" s="9">
        <v>30.283464431762695</v>
      </c>
      <c r="AE125" s="9">
        <v>30.269315719604492</v>
      </c>
      <c r="AG125" s="9">
        <f t="shared" si="1"/>
        <v>31.883969740434125</v>
      </c>
    </row>
    <row r="126" spans="1:33" x14ac:dyDescent="0.2">
      <c r="A126" s="7" t="s">
        <v>261</v>
      </c>
      <c r="B126" s="7" t="s">
        <v>262</v>
      </c>
      <c r="C126" s="8"/>
      <c r="D126" s="8"/>
      <c r="E126" s="8"/>
      <c r="F126" s="9">
        <v>46.985279083251953</v>
      </c>
      <c r="G126" s="9">
        <v>47.454952239990234</v>
      </c>
      <c r="H126" s="9">
        <v>47.803607940673828</v>
      </c>
      <c r="I126" s="9">
        <v>48.135852813720703</v>
      </c>
      <c r="J126" s="9">
        <v>49.288383483886719</v>
      </c>
      <c r="K126" s="9">
        <v>48.790904998779297</v>
      </c>
      <c r="L126" s="9">
        <v>46.579627990722656</v>
      </c>
      <c r="M126" s="9">
        <v>46.099998474121094</v>
      </c>
      <c r="N126" s="9">
        <v>45.988021850585938</v>
      </c>
      <c r="O126" s="9">
        <v>46.018283843994141</v>
      </c>
      <c r="P126" s="9">
        <v>45.823448181152344</v>
      </c>
      <c r="Q126" s="9">
        <v>45.010528564453125</v>
      </c>
      <c r="R126" s="9">
        <v>44.594123840332031</v>
      </c>
      <c r="S126" s="9">
        <v>44.259132385253906</v>
      </c>
      <c r="T126" s="9">
        <v>43.461936950683594</v>
      </c>
      <c r="U126" s="9">
        <v>43.349033355712891</v>
      </c>
      <c r="V126" s="9">
        <v>45.629447937011719</v>
      </c>
      <c r="W126" s="9">
        <v>44.327236175537109</v>
      </c>
      <c r="X126" s="9">
        <v>43.350135803222656</v>
      </c>
      <c r="Y126" s="9">
        <v>43.066764831542969</v>
      </c>
      <c r="Z126" s="9">
        <v>43.1806640625</v>
      </c>
      <c r="AA126" s="9">
        <v>42.575553894042969</v>
      </c>
      <c r="AB126" s="9">
        <v>42.841815948486328</v>
      </c>
      <c r="AC126" s="9">
        <v>43.104988098144531</v>
      </c>
      <c r="AD126" s="9">
        <v>42.678352355957031</v>
      </c>
      <c r="AE126" s="9">
        <v>42.117359161376953</v>
      </c>
      <c r="AG126" s="9">
        <f t="shared" si="1"/>
        <v>43.694167744029649</v>
      </c>
    </row>
    <row r="127" spans="1:33" x14ac:dyDescent="0.2">
      <c r="A127" s="7" t="s">
        <v>26</v>
      </c>
      <c r="B127" s="7" t="s">
        <v>59</v>
      </c>
      <c r="C127" s="8"/>
      <c r="D127" s="8"/>
      <c r="E127" s="8"/>
      <c r="F127" s="9">
        <v>38.862274169921875</v>
      </c>
      <c r="G127" s="9">
        <v>39.664005279541016</v>
      </c>
      <c r="H127" s="9">
        <v>38.870048522949219</v>
      </c>
      <c r="I127" s="9">
        <v>39.315555572509766</v>
      </c>
      <c r="J127" s="9">
        <v>38.726467132568359</v>
      </c>
      <c r="K127" s="9">
        <v>38.735935211181641</v>
      </c>
      <c r="L127" s="9">
        <v>40.458736419677734</v>
      </c>
      <c r="M127" s="9">
        <v>40.299999237060547</v>
      </c>
      <c r="N127" s="9">
        <v>40.2640380859375</v>
      </c>
      <c r="O127" s="9">
        <v>40.235031127929688</v>
      </c>
      <c r="P127" s="9">
        <v>40.036041259765625</v>
      </c>
      <c r="Q127" s="9">
        <v>39.633224487304688</v>
      </c>
      <c r="R127" s="9">
        <v>39.561611175537109</v>
      </c>
      <c r="S127" s="9">
        <v>38.762535095214844</v>
      </c>
      <c r="T127" s="9">
        <v>38.196319580078125</v>
      </c>
      <c r="U127" s="9">
        <v>37.478126525878906</v>
      </c>
      <c r="V127" s="9">
        <v>37.424373626708984</v>
      </c>
      <c r="W127" s="9">
        <v>37.271675109863281</v>
      </c>
      <c r="X127" s="9">
        <v>36.736328125</v>
      </c>
      <c r="Y127" s="9">
        <v>36.707141876220703</v>
      </c>
      <c r="Z127" s="9">
        <v>36.539569854736328</v>
      </c>
      <c r="AA127" s="9">
        <v>36.686344146728516</v>
      </c>
      <c r="AB127" s="9">
        <v>36.1146240234375</v>
      </c>
      <c r="AC127" s="9">
        <v>35.726615905761719</v>
      </c>
      <c r="AD127" s="9">
        <v>35.111095428466797</v>
      </c>
      <c r="AE127" s="9">
        <v>34.41357421875</v>
      </c>
      <c r="AG127" s="9">
        <f t="shared" si="1"/>
        <v>37.407149921764024</v>
      </c>
    </row>
    <row r="128" spans="1:33" x14ac:dyDescent="0.2">
      <c r="A128" s="7" t="s">
        <v>263</v>
      </c>
      <c r="B128" s="7" t="s">
        <v>264</v>
      </c>
      <c r="C128" s="8"/>
      <c r="D128" s="8"/>
      <c r="E128" s="8"/>
      <c r="F128" s="9">
        <v>18.155952453613281</v>
      </c>
      <c r="G128" s="9">
        <v>17.880186080932617</v>
      </c>
      <c r="H128" s="9">
        <v>18.131103515625</v>
      </c>
      <c r="I128" s="9">
        <v>18.348880767822266</v>
      </c>
      <c r="J128" s="9">
        <v>18.633159637451172</v>
      </c>
      <c r="K128" s="9">
        <v>18.803562164306641</v>
      </c>
      <c r="L128" s="9">
        <v>18.556423187255859</v>
      </c>
      <c r="M128" s="9">
        <v>18.399999618530273</v>
      </c>
      <c r="N128" s="9">
        <v>18.884683609008789</v>
      </c>
      <c r="O128" s="9">
        <v>19.390903472900391</v>
      </c>
      <c r="P128" s="9">
        <v>18.782869338989258</v>
      </c>
      <c r="Q128" s="9">
        <v>18.241437911987305</v>
      </c>
      <c r="R128" s="9">
        <v>17.878593444824219</v>
      </c>
      <c r="S128" s="9">
        <v>17.946020126342773</v>
      </c>
      <c r="T128" s="9">
        <v>17.733211517333984</v>
      </c>
      <c r="U128" s="9">
        <v>16.987714767456055</v>
      </c>
      <c r="V128" s="9">
        <v>17.936906814575195</v>
      </c>
      <c r="W128" s="9">
        <v>17.525928497314453</v>
      </c>
      <c r="X128" s="9">
        <v>17.07432746887207</v>
      </c>
      <c r="Y128" s="9">
        <v>16.694295883178711</v>
      </c>
      <c r="Z128" s="9">
        <v>16.966775894165039</v>
      </c>
      <c r="AA128" s="9">
        <v>17.135272979736328</v>
      </c>
      <c r="AB128" s="9">
        <v>17.323928833007813</v>
      </c>
      <c r="AC128" s="9">
        <v>16.982015609741211</v>
      </c>
      <c r="AD128" s="9">
        <v>17.190176010131836</v>
      </c>
      <c r="AE128" s="9">
        <v>17.1502685546875</v>
      </c>
      <c r="AG128" s="9">
        <f t="shared" si="1"/>
        <v>17.382088747891512</v>
      </c>
    </row>
    <row r="129" spans="1:33" x14ac:dyDescent="0.2">
      <c r="A129" s="7" t="s">
        <v>265</v>
      </c>
      <c r="B129" s="7" t="s">
        <v>266</v>
      </c>
      <c r="C129" s="8"/>
      <c r="D129" s="8"/>
      <c r="E129" s="8"/>
      <c r="F129" s="9">
        <v>48.3916015625</v>
      </c>
      <c r="G129" s="9">
        <v>47.411018371582031</v>
      </c>
      <c r="H129" s="9">
        <v>46.310321807861328</v>
      </c>
      <c r="I129" s="9">
        <v>46.619335174560547</v>
      </c>
      <c r="J129" s="9">
        <v>46.311473846435547</v>
      </c>
      <c r="K129" s="9">
        <v>45.143684387207031</v>
      </c>
      <c r="L129" s="9">
        <v>45.108631134033203</v>
      </c>
      <c r="M129" s="9">
        <v>45.099998474121094</v>
      </c>
      <c r="N129" s="9">
        <v>44.399864196777344</v>
      </c>
      <c r="O129" s="9">
        <v>43.705596923828125</v>
      </c>
      <c r="P129" s="9">
        <v>44.414794921875</v>
      </c>
      <c r="Q129" s="9">
        <v>44.394950866699219</v>
      </c>
      <c r="R129" s="9">
        <v>44.031345367431641</v>
      </c>
      <c r="S129" s="9">
        <v>44.683063507080078</v>
      </c>
      <c r="T129" s="9">
        <v>44.481800079345703</v>
      </c>
      <c r="U129" s="9">
        <v>43.499862670898438</v>
      </c>
      <c r="V129" s="9">
        <v>44.885181427001953</v>
      </c>
      <c r="W129" s="9">
        <v>45.034786224365234</v>
      </c>
      <c r="X129" s="9">
        <v>46.084041595458984</v>
      </c>
      <c r="Y129" s="9">
        <v>45.521358489990234</v>
      </c>
      <c r="Z129" s="9">
        <v>45.512741088867188</v>
      </c>
      <c r="AA129" s="9">
        <v>44.658882141113281</v>
      </c>
      <c r="AB129" s="9">
        <v>43.603118896484375</v>
      </c>
      <c r="AC129" s="9">
        <v>42.938549041748047</v>
      </c>
      <c r="AD129" s="9">
        <v>42.136493682861328</v>
      </c>
      <c r="AE129" s="9">
        <v>41.104961395263672</v>
      </c>
      <c r="AG129" s="9">
        <f t="shared" si="1"/>
        <v>44.726925589821555</v>
      </c>
    </row>
    <row r="130" spans="1:33" x14ac:dyDescent="0.2">
      <c r="A130" s="7" t="s">
        <v>267</v>
      </c>
      <c r="B130" s="7" t="s">
        <v>268</v>
      </c>
      <c r="C130" s="8"/>
      <c r="D130" s="8"/>
      <c r="E130" s="8"/>
      <c r="F130" s="9">
        <v>46.002849578857422</v>
      </c>
      <c r="G130" s="9">
        <v>46.363731384277344</v>
      </c>
      <c r="H130" s="9">
        <v>46.074306488037109</v>
      </c>
      <c r="I130" s="9">
        <v>47.169467926025391</v>
      </c>
      <c r="J130" s="9">
        <v>46.757156372070313</v>
      </c>
      <c r="K130" s="9">
        <v>46.655277252197266</v>
      </c>
      <c r="L130" s="9">
        <v>47.941509246826172</v>
      </c>
      <c r="M130" s="9">
        <v>48.599998474121094</v>
      </c>
      <c r="N130" s="9">
        <v>48.692520141601563</v>
      </c>
      <c r="O130" s="9">
        <v>48.044303894042969</v>
      </c>
      <c r="P130" s="9">
        <v>46.512310028076172</v>
      </c>
      <c r="Q130" s="9">
        <v>45.604183197021484</v>
      </c>
      <c r="R130" s="9">
        <v>45.967193603515625</v>
      </c>
      <c r="S130" s="9">
        <v>45.454044342041016</v>
      </c>
      <c r="T130" s="9">
        <v>44.595684051513672</v>
      </c>
      <c r="U130" s="9">
        <v>44.797763824462891</v>
      </c>
      <c r="V130" s="9">
        <v>45.210792541503906</v>
      </c>
      <c r="W130" s="9">
        <v>44.96881103515625</v>
      </c>
      <c r="X130" s="9">
        <v>44.475856781005859</v>
      </c>
      <c r="Y130" s="9">
        <v>43.596832275390625</v>
      </c>
      <c r="Z130" s="9">
        <v>41.347038269042969</v>
      </c>
      <c r="AA130" s="9">
        <v>40.162979125976563</v>
      </c>
      <c r="AB130" s="9">
        <v>43.757156372070313</v>
      </c>
      <c r="AC130" s="9">
        <v>43.99560546875</v>
      </c>
      <c r="AD130" s="9">
        <v>42.697021484375</v>
      </c>
      <c r="AE130" s="9">
        <v>41.743335723876953</v>
      </c>
      <c r="AG130" s="9">
        <f t="shared" si="1"/>
        <v>44.030377474698156</v>
      </c>
    </row>
    <row r="131" spans="1:33" x14ac:dyDescent="0.2">
      <c r="A131" s="7" t="s">
        <v>269</v>
      </c>
      <c r="B131" s="7" t="s">
        <v>270</v>
      </c>
      <c r="C131" s="8"/>
      <c r="D131" s="8"/>
      <c r="E131" s="8"/>
      <c r="F131" s="9">
        <v>12.99838924407959</v>
      </c>
      <c r="G131" s="9">
        <v>12.742885589599609</v>
      </c>
      <c r="H131" s="9">
        <v>12.712040901184082</v>
      </c>
      <c r="I131" s="9">
        <v>12.899501800537109</v>
      </c>
      <c r="J131" s="9">
        <v>12.737865447998047</v>
      </c>
      <c r="K131" s="9">
        <v>13.059102058410645</v>
      </c>
      <c r="L131" s="9">
        <v>12.989335060119629</v>
      </c>
      <c r="M131" s="9">
        <v>13.100000381469727</v>
      </c>
      <c r="N131" s="9">
        <v>13.473324775695801</v>
      </c>
      <c r="O131" s="9">
        <v>13.67566967010498</v>
      </c>
      <c r="P131" s="9">
        <v>13.488665580749512</v>
      </c>
      <c r="Q131" s="9">
        <v>13.039670944213867</v>
      </c>
      <c r="R131" s="9">
        <v>12.86296272277832</v>
      </c>
      <c r="S131" s="9">
        <v>12.583736419677734</v>
      </c>
      <c r="T131" s="9">
        <v>12.198532104492188</v>
      </c>
      <c r="U131" s="9">
        <v>12.448550224304199</v>
      </c>
      <c r="V131" s="9">
        <v>12.655759811401367</v>
      </c>
      <c r="W131" s="9">
        <v>12.289392471313477</v>
      </c>
      <c r="X131" s="9">
        <v>12.143460273742676</v>
      </c>
      <c r="Y131" s="9">
        <v>12.010462760925293</v>
      </c>
      <c r="Z131" s="9">
        <v>12.168017387390137</v>
      </c>
      <c r="AA131" s="9">
        <v>12.056629180908203</v>
      </c>
      <c r="AB131" s="9">
        <v>11.983684539794922</v>
      </c>
      <c r="AC131" s="9">
        <v>12.020499229431152</v>
      </c>
      <c r="AD131" s="9">
        <v>11.958630561828613</v>
      </c>
      <c r="AE131" s="9">
        <v>11.893574714660645</v>
      </c>
      <c r="AG131" s="9">
        <f t="shared" ref="AG131:AG159" si="2">AVERAGE($R131:$AB131)</f>
        <v>12.309198899702592</v>
      </c>
    </row>
    <row r="132" spans="1:33" x14ac:dyDescent="0.2">
      <c r="A132" s="7" t="s">
        <v>271</v>
      </c>
      <c r="B132" s="7" t="s">
        <v>272</v>
      </c>
      <c r="C132" s="8"/>
      <c r="D132" s="8"/>
      <c r="E132" s="8"/>
      <c r="F132" s="9">
        <v>19.682401657104492</v>
      </c>
      <c r="G132" s="9">
        <v>19.253177642822266</v>
      </c>
      <c r="H132" s="9">
        <v>19.13420295715332</v>
      </c>
      <c r="I132" s="9">
        <v>19.325336456298828</v>
      </c>
      <c r="J132" s="9">
        <v>19.007736206054688</v>
      </c>
      <c r="K132" s="9">
        <v>18.967283248901367</v>
      </c>
      <c r="L132" s="9">
        <v>18.883380889892578</v>
      </c>
      <c r="M132" s="9">
        <v>18.899999618530273</v>
      </c>
      <c r="N132" s="9">
        <v>18.883720397949219</v>
      </c>
      <c r="O132" s="9">
        <v>18.733854293823242</v>
      </c>
      <c r="P132" s="9">
        <v>18.553369522094727</v>
      </c>
      <c r="Q132" s="9">
        <v>18.168598175048828</v>
      </c>
      <c r="R132" s="9">
        <v>17.897087097167969</v>
      </c>
      <c r="S132" s="9">
        <v>17.678899765014648</v>
      </c>
      <c r="T132" s="9">
        <v>17.308609008789063</v>
      </c>
      <c r="U132" s="9">
        <v>17.06334114074707</v>
      </c>
      <c r="V132" s="9">
        <v>17.544448852539063</v>
      </c>
      <c r="W132" s="9">
        <v>17.451667785644531</v>
      </c>
      <c r="X132" s="9">
        <v>17.260740280151367</v>
      </c>
      <c r="Y132" s="9">
        <v>17.169496536254883</v>
      </c>
      <c r="Z132" s="9">
        <v>17.22700309753418</v>
      </c>
      <c r="AA132" s="9">
        <v>17.094982147216797</v>
      </c>
      <c r="AB132" s="9">
        <v>16.956695556640625</v>
      </c>
      <c r="AC132" s="9">
        <v>16.816644668579102</v>
      </c>
      <c r="AD132" s="9">
        <v>16.74351692199707</v>
      </c>
      <c r="AE132" s="9">
        <v>16.606727600097656</v>
      </c>
      <c r="AG132" s="9">
        <f t="shared" si="2"/>
        <v>17.332088297063653</v>
      </c>
    </row>
    <row r="133" spans="1:33" x14ac:dyDescent="0.2">
      <c r="A133" s="7" t="s">
        <v>273</v>
      </c>
      <c r="B133" s="7" t="s">
        <v>274</v>
      </c>
      <c r="C133" s="8"/>
      <c r="D133" s="8"/>
      <c r="E133" s="8"/>
      <c r="F133" s="9">
        <v>28.836803436279297</v>
      </c>
      <c r="G133" s="9">
        <v>28.191984176635742</v>
      </c>
      <c r="H133" s="9">
        <v>27.372505187988281</v>
      </c>
      <c r="I133" s="9">
        <v>27.271509170532227</v>
      </c>
      <c r="J133" s="9">
        <v>27.050983428955078</v>
      </c>
      <c r="K133" s="9">
        <v>27.056652069091797</v>
      </c>
      <c r="L133" s="9">
        <v>26.953182220458984</v>
      </c>
      <c r="M133" s="9">
        <v>27.100000381469727</v>
      </c>
      <c r="N133" s="9">
        <v>26.867486953735352</v>
      </c>
      <c r="O133" s="9">
        <v>26.614837646484375</v>
      </c>
      <c r="P133" s="9">
        <v>26.380640029907227</v>
      </c>
      <c r="Q133" s="9">
        <v>26.348567962646484</v>
      </c>
      <c r="R133" s="9">
        <v>26.271371841430664</v>
      </c>
      <c r="S133" s="9">
        <v>25.726627349853516</v>
      </c>
      <c r="T133" s="9">
        <v>24.728076934814453</v>
      </c>
      <c r="U133" s="9">
        <v>24.477727890014648</v>
      </c>
      <c r="V133" s="9">
        <v>26.098567962646484</v>
      </c>
      <c r="W133" s="9">
        <v>26.499780654907227</v>
      </c>
      <c r="X133" s="9">
        <v>26.706371307373047</v>
      </c>
      <c r="Y133" s="9">
        <v>26.796590805053711</v>
      </c>
      <c r="Z133" s="9">
        <v>26.750141143798828</v>
      </c>
      <c r="AA133" s="9">
        <v>26.193328857421875</v>
      </c>
      <c r="AB133" s="9">
        <v>26.024402618408203</v>
      </c>
      <c r="AC133" s="9">
        <v>25.658231735229492</v>
      </c>
      <c r="AD133" s="9">
        <v>24.84168815612793</v>
      </c>
      <c r="AE133" s="9">
        <v>24.425432205200195</v>
      </c>
      <c r="AG133" s="9">
        <f t="shared" si="2"/>
        <v>26.024817033247515</v>
      </c>
    </row>
    <row r="134" spans="1:33" x14ac:dyDescent="0.2">
      <c r="A134" s="7" t="s">
        <v>337</v>
      </c>
      <c r="B134" s="7" t="s">
        <v>338</v>
      </c>
      <c r="C134" s="8"/>
      <c r="D134" s="8"/>
      <c r="E134" s="8"/>
      <c r="F134" s="9">
        <v>32.450332641601563</v>
      </c>
      <c r="G134" s="9">
        <v>30.971776962280273</v>
      </c>
      <c r="H134" s="9">
        <v>30.866493225097656</v>
      </c>
      <c r="I134" s="9">
        <v>31.146827697753906</v>
      </c>
      <c r="J134" s="9">
        <v>31.172483444213867</v>
      </c>
      <c r="K134" s="9">
        <v>30.687528610229492</v>
      </c>
      <c r="L134" s="9">
        <v>31.165668487548828</v>
      </c>
      <c r="M134" s="9">
        <v>33.400001525878906</v>
      </c>
      <c r="N134" s="9">
        <v>34.230567932128906</v>
      </c>
      <c r="O134" s="9">
        <v>34.464588165283203</v>
      </c>
      <c r="P134" s="9">
        <v>33.998813629150391</v>
      </c>
      <c r="Q134" s="9">
        <v>33.789886474609375</v>
      </c>
      <c r="R134" s="9">
        <v>33.649051666259766</v>
      </c>
      <c r="S134" s="9">
        <v>33.91131591796875</v>
      </c>
      <c r="T134" s="9">
        <v>33.480449676513672</v>
      </c>
      <c r="U134" s="9">
        <v>32.858066558837891</v>
      </c>
      <c r="V134" s="9">
        <v>33.935703277587891</v>
      </c>
      <c r="W134" s="9">
        <v>33.708805084228516</v>
      </c>
      <c r="X134" s="9">
        <v>31.553895950317383</v>
      </c>
      <c r="Y134" s="9">
        <v>31.421627044677734</v>
      </c>
      <c r="Z134" s="9">
        <v>31.546903610229492</v>
      </c>
      <c r="AA134" s="9">
        <v>31.77436637878418</v>
      </c>
      <c r="AB134" s="9">
        <v>31.875137329101563</v>
      </c>
      <c r="AC134" s="9">
        <v>31.793096542358398</v>
      </c>
      <c r="AD134" s="9"/>
      <c r="AE134" s="9"/>
      <c r="AG134" s="9">
        <f t="shared" si="2"/>
        <v>32.701392954046078</v>
      </c>
    </row>
    <row r="135" spans="1:33" x14ac:dyDescent="0.2">
      <c r="A135" s="7" t="s">
        <v>275</v>
      </c>
      <c r="B135" s="7" t="s">
        <v>276</v>
      </c>
      <c r="C135" s="8"/>
      <c r="D135" s="8"/>
      <c r="E135" s="8"/>
      <c r="F135" s="9">
        <v>29.567928314208984</v>
      </c>
      <c r="G135" s="9">
        <v>29.111024856567383</v>
      </c>
      <c r="H135" s="9">
        <v>28.009424209594727</v>
      </c>
      <c r="I135" s="9">
        <v>28.240095138549805</v>
      </c>
      <c r="J135" s="9">
        <v>28.560903549194336</v>
      </c>
      <c r="K135" s="9">
        <v>28.796939849853516</v>
      </c>
      <c r="L135" s="9">
        <v>28.59465217590332</v>
      </c>
      <c r="M135" s="9">
        <v>28.399999618530273</v>
      </c>
      <c r="N135" s="9">
        <v>28.288116455078125</v>
      </c>
      <c r="O135" s="9">
        <v>28.409791946411133</v>
      </c>
      <c r="P135" s="9">
        <v>28.372867584228516</v>
      </c>
      <c r="Q135" s="9">
        <v>28.021167755126953</v>
      </c>
      <c r="R135" s="9">
        <v>27.784208297729492</v>
      </c>
      <c r="S135" s="9">
        <v>26.935676574707031</v>
      </c>
      <c r="T135" s="9">
        <v>26.41071891784668</v>
      </c>
      <c r="U135" s="9">
        <v>26.623100280761719</v>
      </c>
      <c r="V135" s="9">
        <v>27.512639999389648</v>
      </c>
      <c r="W135" s="9">
        <v>27.699150085449219</v>
      </c>
      <c r="X135" s="9">
        <v>27.378631591796875</v>
      </c>
      <c r="Y135" s="9">
        <v>27.575691223144531</v>
      </c>
      <c r="Z135" s="9">
        <v>27.52659797668457</v>
      </c>
      <c r="AA135" s="9">
        <v>27.725803375244141</v>
      </c>
      <c r="AB135" s="9">
        <v>27.669252395629883</v>
      </c>
      <c r="AC135" s="9">
        <v>28.013759613037109</v>
      </c>
      <c r="AD135" s="9">
        <v>28.075172424316406</v>
      </c>
      <c r="AE135" s="9">
        <v>28.280643463134766</v>
      </c>
      <c r="AG135" s="9">
        <f t="shared" si="2"/>
        <v>27.349224610762164</v>
      </c>
    </row>
    <row r="136" spans="1:33" x14ac:dyDescent="0.2">
      <c r="A136" s="7" t="s">
        <v>277</v>
      </c>
      <c r="B136" s="7" t="s">
        <v>278</v>
      </c>
      <c r="C136" s="8"/>
      <c r="D136" s="8"/>
      <c r="E136" s="8"/>
      <c r="F136" s="9">
        <v>25.053363800048828</v>
      </c>
      <c r="G136" s="9">
        <v>24.826555252075195</v>
      </c>
      <c r="H136" s="9">
        <v>24.608465194702148</v>
      </c>
      <c r="I136" s="9">
        <v>24.261659622192383</v>
      </c>
      <c r="J136" s="9">
        <v>23.886709213256836</v>
      </c>
      <c r="K136" s="9">
        <v>23.524791717529297</v>
      </c>
      <c r="L136" s="9">
        <v>23.125659942626953</v>
      </c>
      <c r="M136" s="9">
        <v>22.700000762939453</v>
      </c>
      <c r="N136" s="9">
        <v>22.308286666870117</v>
      </c>
      <c r="O136" s="9">
        <v>22.240375518798828</v>
      </c>
      <c r="P136" s="9">
        <v>22.176017761230469</v>
      </c>
      <c r="Q136" s="9">
        <v>22.373041152954102</v>
      </c>
      <c r="R136" s="9">
        <v>22.148414611816406</v>
      </c>
      <c r="S136" s="9">
        <v>22.214155197143555</v>
      </c>
      <c r="T136" s="9">
        <v>22.095075607299805</v>
      </c>
      <c r="U136" s="9">
        <v>22.557336807250977</v>
      </c>
      <c r="V136" s="9">
        <v>23.580841064453125</v>
      </c>
      <c r="W136" s="9">
        <v>23.643590927124023</v>
      </c>
      <c r="X136" s="9">
        <v>23.775285720825195</v>
      </c>
      <c r="Y136" s="9">
        <v>23.896209716796875</v>
      </c>
      <c r="Z136" s="9">
        <v>23.97349739074707</v>
      </c>
      <c r="AA136" s="9">
        <v>23.737594604492188</v>
      </c>
      <c r="AB136" s="9">
        <v>23.320302963256836</v>
      </c>
      <c r="AC136" s="9">
        <v>22.934915542602539</v>
      </c>
      <c r="AD136" s="9">
        <v>22.571914672851563</v>
      </c>
      <c r="AE136" s="9">
        <v>22.355960845947266</v>
      </c>
      <c r="AG136" s="9">
        <f t="shared" si="2"/>
        <v>23.176573146473277</v>
      </c>
    </row>
    <row r="137" spans="1:33" x14ac:dyDescent="0.2">
      <c r="A137" s="7" t="s">
        <v>279</v>
      </c>
      <c r="B137" s="7" t="s">
        <v>280</v>
      </c>
      <c r="C137" s="8"/>
      <c r="D137" s="8"/>
      <c r="E137" s="8"/>
      <c r="F137" s="9">
        <v>45.532260894775391</v>
      </c>
      <c r="G137" s="9">
        <v>45.487850189208984</v>
      </c>
      <c r="H137" s="9">
        <v>45.742122650146484</v>
      </c>
      <c r="I137" s="9">
        <v>45.259803771972656</v>
      </c>
      <c r="J137" s="9">
        <v>45.193691253662109</v>
      </c>
      <c r="K137" s="9">
        <v>44.993350982666016</v>
      </c>
      <c r="L137" s="9">
        <v>44.607936859130859</v>
      </c>
      <c r="M137" s="9">
        <v>44.599998474121094</v>
      </c>
      <c r="N137" s="9">
        <v>44.349876403808594</v>
      </c>
      <c r="O137" s="9">
        <v>44.648300170898438</v>
      </c>
      <c r="P137" s="9">
        <v>44.653305053710938</v>
      </c>
      <c r="Q137" s="9">
        <v>45.118473052978516</v>
      </c>
      <c r="R137" s="9">
        <v>44.727500915527344</v>
      </c>
      <c r="S137" s="9">
        <v>44.560348510742188</v>
      </c>
      <c r="T137" s="9">
        <v>44.086662292480469</v>
      </c>
      <c r="U137" s="9">
        <v>44.090839385986328</v>
      </c>
      <c r="V137" s="9">
        <v>44.436176300048828</v>
      </c>
      <c r="W137" s="9">
        <v>41.946609497070313</v>
      </c>
      <c r="X137" s="9">
        <v>41.350933074951172</v>
      </c>
      <c r="Y137" s="9">
        <v>40.860054016113281</v>
      </c>
      <c r="Z137" s="9">
        <v>40.710296630859375</v>
      </c>
      <c r="AA137" s="9">
        <v>40.156051635742188</v>
      </c>
      <c r="AB137" s="9">
        <v>40.202369689941406</v>
      </c>
      <c r="AC137" s="9">
        <v>39.878101348876953</v>
      </c>
      <c r="AD137" s="9">
        <v>39.986911773681641</v>
      </c>
      <c r="AE137" s="9">
        <v>40.168220520019531</v>
      </c>
      <c r="AG137" s="9">
        <f t="shared" si="2"/>
        <v>42.466167449951172</v>
      </c>
    </row>
    <row r="138" spans="1:33" x14ac:dyDescent="0.2">
      <c r="A138" s="7" t="s">
        <v>285</v>
      </c>
      <c r="B138" s="7" t="s">
        <v>286</v>
      </c>
      <c r="C138" s="8"/>
      <c r="D138" s="8"/>
      <c r="E138" s="8"/>
      <c r="F138" s="9">
        <v>41.098762512207031</v>
      </c>
      <c r="G138" s="9">
        <v>39.730548858642578</v>
      </c>
      <c r="H138" s="9">
        <v>41.176139831542969</v>
      </c>
      <c r="I138" s="9">
        <v>40.541412353515625</v>
      </c>
      <c r="J138" s="9">
        <v>40.680644989013672</v>
      </c>
      <c r="K138" s="9">
        <v>40.930500030517578</v>
      </c>
      <c r="L138" s="9">
        <v>39.131809234619141</v>
      </c>
      <c r="M138" s="9">
        <v>39.799999237060547</v>
      </c>
      <c r="N138" s="9">
        <v>39.140983581542969</v>
      </c>
      <c r="O138" s="9">
        <v>39.181747436523438</v>
      </c>
      <c r="P138" s="9">
        <v>39.550064086914063</v>
      </c>
      <c r="Q138" s="9">
        <v>38.196769714355469</v>
      </c>
      <c r="R138" s="9">
        <v>37.454765319824219</v>
      </c>
      <c r="S138" s="9">
        <v>37.805271148681641</v>
      </c>
      <c r="T138" s="9">
        <v>36.772773742675781</v>
      </c>
      <c r="U138" s="9">
        <v>36.435436248779297</v>
      </c>
      <c r="V138" s="9">
        <v>36.832332611083984</v>
      </c>
      <c r="W138" s="9">
        <v>36.445022583007813</v>
      </c>
      <c r="X138" s="9">
        <v>35.886150360107422</v>
      </c>
      <c r="Y138" s="9">
        <v>35.659229278564453</v>
      </c>
      <c r="Z138" s="9">
        <v>35.370433807373047</v>
      </c>
      <c r="AA138" s="9">
        <v>35.664546966552734</v>
      </c>
      <c r="AB138" s="9">
        <v>36.618484497070313</v>
      </c>
      <c r="AC138" s="9">
        <v>37.148540496826172</v>
      </c>
      <c r="AD138" s="9">
        <v>37.410568237304688</v>
      </c>
      <c r="AE138" s="9">
        <v>37.380516052246094</v>
      </c>
      <c r="AG138" s="9">
        <f t="shared" si="2"/>
        <v>36.449495142156429</v>
      </c>
    </row>
    <row r="139" spans="1:33" x14ac:dyDescent="0.2">
      <c r="A139" s="7" t="s">
        <v>287</v>
      </c>
      <c r="B139" s="7" t="s">
        <v>288</v>
      </c>
      <c r="C139" s="8"/>
      <c r="D139" s="8"/>
      <c r="E139" s="8"/>
      <c r="F139" s="9">
        <v>21.730503082275391</v>
      </c>
      <c r="G139" s="9">
        <v>21.218547821044922</v>
      </c>
      <c r="H139" s="9">
        <v>20.650861740112305</v>
      </c>
      <c r="I139" s="9">
        <v>20.80372428894043</v>
      </c>
      <c r="J139" s="9">
        <v>20.46672248840332</v>
      </c>
      <c r="K139" s="9">
        <v>20.161205291748047</v>
      </c>
      <c r="L139" s="9">
        <v>19.886863708496094</v>
      </c>
      <c r="M139" s="9">
        <v>19.200000762939453</v>
      </c>
      <c r="N139" s="9">
        <v>19.119335174560547</v>
      </c>
      <c r="O139" s="9">
        <v>19.315528869628906</v>
      </c>
      <c r="P139" s="9">
        <v>19.336307525634766</v>
      </c>
      <c r="Q139" s="9">
        <v>18.903497695922852</v>
      </c>
      <c r="R139" s="9">
        <v>19.137174606323242</v>
      </c>
      <c r="S139" s="9">
        <v>18.890260696411133</v>
      </c>
      <c r="T139" s="9">
        <v>18.202194213867188</v>
      </c>
      <c r="U139" s="9">
        <v>18.526813507080078</v>
      </c>
      <c r="V139" s="9">
        <v>19.410194396972656</v>
      </c>
      <c r="W139" s="9">
        <v>18.824811935424805</v>
      </c>
      <c r="X139" s="9">
        <v>18.651821136474609</v>
      </c>
      <c r="Y139" s="9">
        <v>19.097034454345703</v>
      </c>
      <c r="Z139" s="9">
        <v>19.338577270507813</v>
      </c>
      <c r="AA139" s="9">
        <v>19.319408416748047</v>
      </c>
      <c r="AB139" s="9">
        <v>18.938587188720703</v>
      </c>
      <c r="AC139" s="9">
        <v>19.123174667358398</v>
      </c>
      <c r="AD139" s="9">
        <v>18.834775924682617</v>
      </c>
      <c r="AE139" s="9">
        <v>18.737398147583008</v>
      </c>
      <c r="AG139" s="9">
        <f t="shared" si="2"/>
        <v>18.939716165715996</v>
      </c>
    </row>
    <row r="140" spans="1:33" x14ac:dyDescent="0.2">
      <c r="A140" s="7" t="s">
        <v>289</v>
      </c>
      <c r="B140" s="7" t="s">
        <v>290</v>
      </c>
      <c r="C140" s="8"/>
      <c r="D140" s="8"/>
      <c r="E140" s="8"/>
      <c r="F140" s="9">
        <v>9.3442859649658203</v>
      </c>
      <c r="G140" s="9">
        <v>9.3301353454589844</v>
      </c>
      <c r="H140" s="9">
        <v>9.2390937805175781</v>
      </c>
      <c r="I140" s="9">
        <v>9.4004487991333008</v>
      </c>
      <c r="J140" s="9">
        <v>9.2015209197998047</v>
      </c>
      <c r="K140" s="9">
        <v>8.9247798919677734</v>
      </c>
      <c r="L140" s="9">
        <v>8.8300724029541016</v>
      </c>
      <c r="M140" s="9">
        <v>8.6000003814697266</v>
      </c>
      <c r="N140" s="9">
        <v>8.6058254241943359</v>
      </c>
      <c r="O140" s="9">
        <v>8.8239679336547852</v>
      </c>
      <c r="P140" s="9">
        <v>9.1280727386474609</v>
      </c>
      <c r="Q140" s="9">
        <v>8.8084955215454102</v>
      </c>
      <c r="R140" s="9">
        <v>8.8243494033813477</v>
      </c>
      <c r="S140" s="9">
        <v>8.3598442077636719</v>
      </c>
      <c r="T140" s="9">
        <v>8.065394401550293</v>
      </c>
      <c r="U140" s="9">
        <v>8.0664148330688477</v>
      </c>
      <c r="V140" s="9">
        <v>8.5917797088623047</v>
      </c>
      <c r="W140" s="9">
        <v>8.5294733047485352</v>
      </c>
      <c r="X140" s="9">
        <v>8.4923810958862305</v>
      </c>
      <c r="Y140" s="9">
        <v>8.5707435607910156</v>
      </c>
      <c r="Z140" s="9">
        <v>8.625767707824707</v>
      </c>
      <c r="AA140" s="9">
        <v>8.4641323089599609</v>
      </c>
      <c r="AB140" s="9">
        <v>8.5084342956542969</v>
      </c>
      <c r="AC140" s="9">
        <v>8.5160369873046875</v>
      </c>
      <c r="AD140" s="9">
        <v>8.4596681594848633</v>
      </c>
      <c r="AE140" s="9">
        <v>8.2989778518676758</v>
      </c>
      <c r="AG140" s="9">
        <f t="shared" si="2"/>
        <v>8.4635195298628378</v>
      </c>
    </row>
    <row r="141" spans="1:33" x14ac:dyDescent="0.2">
      <c r="A141" s="7" t="s">
        <v>291</v>
      </c>
      <c r="B141" s="7" t="s">
        <v>292</v>
      </c>
      <c r="C141" s="8"/>
      <c r="D141" s="8"/>
      <c r="E141" s="8"/>
      <c r="F141" s="9">
        <v>19.421669006347656</v>
      </c>
      <c r="G141" s="9">
        <v>19.237274169921875</v>
      </c>
      <c r="H141" s="9">
        <v>19.065912246704102</v>
      </c>
      <c r="I141" s="9">
        <v>18.756755828857422</v>
      </c>
      <c r="J141" s="9">
        <v>18.700981140136719</v>
      </c>
      <c r="K141" s="9">
        <v>18.406780242919922</v>
      </c>
      <c r="L141" s="9">
        <v>18.68132209777832</v>
      </c>
      <c r="M141" s="9">
        <v>19.299999237060547</v>
      </c>
      <c r="N141" s="9">
        <v>19.448766708374023</v>
      </c>
      <c r="O141" s="9">
        <v>19.236429214477539</v>
      </c>
      <c r="P141" s="9">
        <v>19.714515686035156</v>
      </c>
      <c r="Q141" s="9">
        <v>20.014724731445313</v>
      </c>
      <c r="R141" s="9">
        <v>19.371078491210938</v>
      </c>
      <c r="S141" s="9">
        <v>18.51362419128418</v>
      </c>
      <c r="T141" s="9">
        <v>18.541891098022461</v>
      </c>
      <c r="U141" s="9">
        <v>18.344099044799805</v>
      </c>
      <c r="V141" s="9">
        <v>18.062540054321289</v>
      </c>
      <c r="W141" s="9">
        <v>18.07697868347168</v>
      </c>
      <c r="X141" s="9">
        <v>18.689697265625</v>
      </c>
      <c r="Y141" s="9">
        <v>20.077383041381836</v>
      </c>
      <c r="Z141" s="9">
        <v>21.146354675292969</v>
      </c>
      <c r="AA141" s="9">
        <v>20.961503982543945</v>
      </c>
      <c r="AB141" s="9">
        <v>19.759984970092773</v>
      </c>
      <c r="AC141" s="9">
        <v>19.873941421508789</v>
      </c>
      <c r="AD141" s="9">
        <v>19.821720123291016</v>
      </c>
      <c r="AE141" s="9">
        <v>19.742767333984375</v>
      </c>
      <c r="AG141" s="9">
        <f t="shared" si="2"/>
        <v>19.231375954367898</v>
      </c>
    </row>
    <row r="142" spans="1:33" x14ac:dyDescent="0.2">
      <c r="A142" s="7" t="s">
        <v>293</v>
      </c>
      <c r="B142" s="7" t="s">
        <v>294</v>
      </c>
      <c r="C142" s="8"/>
      <c r="D142" s="8"/>
      <c r="E142" s="8"/>
      <c r="F142" s="9">
        <v>43.826000213623047</v>
      </c>
      <c r="G142" s="9">
        <v>43.732959747314453</v>
      </c>
      <c r="H142" s="9">
        <v>44.157463073730469</v>
      </c>
      <c r="I142" s="9">
        <v>44.923576354980469</v>
      </c>
      <c r="J142" s="9">
        <v>44.926933288574219</v>
      </c>
      <c r="K142" s="9">
        <v>43.839790344238281</v>
      </c>
      <c r="L142" s="9">
        <v>43.818572998046875</v>
      </c>
      <c r="M142" s="9">
        <v>43.200000762939453</v>
      </c>
      <c r="N142" s="9">
        <v>43.14349365234375</v>
      </c>
      <c r="O142" s="9">
        <v>43.140987396240234</v>
      </c>
      <c r="P142" s="9">
        <v>42.496894836425781</v>
      </c>
      <c r="Q142" s="9">
        <v>42.580345153808594</v>
      </c>
      <c r="R142" s="9">
        <v>42.989471435546875</v>
      </c>
      <c r="S142" s="9">
        <v>42.035274505615234</v>
      </c>
      <c r="T142" s="9">
        <v>41.433555603027344</v>
      </c>
      <c r="U142" s="9">
        <v>40.9683837890625</v>
      </c>
      <c r="V142" s="9">
        <v>41.616661071777344</v>
      </c>
      <c r="W142" s="9">
        <v>41.001121520996094</v>
      </c>
      <c r="X142" s="9">
        <v>41.09625244140625</v>
      </c>
      <c r="Y142" s="9">
        <v>40.489788055419922</v>
      </c>
      <c r="Z142" s="9">
        <v>40.556064605712891</v>
      </c>
      <c r="AA142" s="9">
        <v>39.864971160888672</v>
      </c>
      <c r="AB142" s="9">
        <v>39.887172698974609</v>
      </c>
      <c r="AC142" s="9">
        <v>39.682575225830078</v>
      </c>
      <c r="AD142" s="9">
        <v>40.077610015869141</v>
      </c>
      <c r="AE142" s="9">
        <v>38.740318298339844</v>
      </c>
      <c r="AG142" s="9">
        <f t="shared" si="2"/>
        <v>41.085337898947976</v>
      </c>
    </row>
    <row r="143" spans="1:33" x14ac:dyDescent="0.2">
      <c r="A143" s="7" t="s">
        <v>295</v>
      </c>
      <c r="B143" s="7" t="s">
        <v>61</v>
      </c>
      <c r="C143" s="8"/>
      <c r="D143" s="8"/>
      <c r="E143" s="8"/>
      <c r="F143" s="9">
        <v>62.293701171875</v>
      </c>
      <c r="G143" s="9">
        <v>61.704395294189453</v>
      </c>
      <c r="H143" s="9">
        <v>60.263156890869141</v>
      </c>
      <c r="I143" s="9">
        <v>60.598899841308594</v>
      </c>
      <c r="J143" s="9">
        <v>58.990909576416016</v>
      </c>
      <c r="K143" s="9">
        <v>58.650794982910156</v>
      </c>
      <c r="L143" s="9">
        <v>58.241603851318359</v>
      </c>
      <c r="M143" s="9">
        <v>58.299999237060547</v>
      </c>
      <c r="N143" s="9">
        <v>58.116588592529297</v>
      </c>
      <c r="O143" s="9">
        <v>57.42138671875</v>
      </c>
      <c r="P143" s="9">
        <v>57.588634490966797</v>
      </c>
      <c r="Q143" s="9">
        <v>57.577163696289063</v>
      </c>
      <c r="R143" s="9">
        <v>57.022190093994141</v>
      </c>
      <c r="S143" s="9">
        <v>57.468734741210938</v>
      </c>
      <c r="T143" s="9">
        <v>56.557216644287109</v>
      </c>
      <c r="U143" s="9">
        <v>56.258708953857422</v>
      </c>
      <c r="V143" s="9">
        <v>56.685768127441406</v>
      </c>
      <c r="W143" s="9">
        <v>55.995574951171875</v>
      </c>
      <c r="X143" s="9">
        <v>55.753753662109375</v>
      </c>
      <c r="Y143" s="9">
        <v>55.827415466308594</v>
      </c>
      <c r="Z143" s="9">
        <v>55.278377532958984</v>
      </c>
      <c r="AA143" s="9">
        <v>54.805252075195313</v>
      </c>
      <c r="AB143" s="9">
        <v>54.356365203857422</v>
      </c>
      <c r="AC143" s="9">
        <v>53.523624420166016</v>
      </c>
      <c r="AD143" s="9">
        <v>53.175872802734375</v>
      </c>
      <c r="AE143" s="9">
        <v>54.10040283203125</v>
      </c>
      <c r="AG143" s="9">
        <f t="shared" si="2"/>
        <v>56.000850677490234</v>
      </c>
    </row>
    <row r="144" spans="1:33" x14ac:dyDescent="0.2">
      <c r="A144" s="7" t="s">
        <v>296</v>
      </c>
      <c r="B144" s="7" t="s">
        <v>297</v>
      </c>
      <c r="C144" s="8"/>
      <c r="D144" s="8"/>
      <c r="E144" s="8"/>
      <c r="F144" s="9">
        <v>51.533199310302734</v>
      </c>
      <c r="G144" s="9">
        <v>51.098670959472656</v>
      </c>
      <c r="H144" s="9">
        <v>50.744903564453125</v>
      </c>
      <c r="I144" s="9">
        <v>50.876331329345703</v>
      </c>
      <c r="J144" s="9">
        <v>51.347076416015625</v>
      </c>
      <c r="K144" s="9">
        <v>53.669437408447266</v>
      </c>
      <c r="L144" s="9">
        <v>53.285018920898438</v>
      </c>
      <c r="M144" s="9">
        <v>52.599998474121094</v>
      </c>
      <c r="N144" s="9">
        <v>52.362918853759766</v>
      </c>
      <c r="O144" s="9">
        <v>51.366203308105469</v>
      </c>
      <c r="P144" s="9">
        <v>50.538951873779297</v>
      </c>
      <c r="Q144" s="9">
        <v>50.407222747802734</v>
      </c>
      <c r="R144" s="9">
        <v>50.008247375488281</v>
      </c>
      <c r="S144" s="9">
        <v>49.408351898193359</v>
      </c>
      <c r="T144" s="9">
        <v>49.495391845703125</v>
      </c>
      <c r="U144" s="9">
        <v>50.01251220703125</v>
      </c>
      <c r="V144" s="9">
        <v>50.743434906005859</v>
      </c>
      <c r="W144" s="9">
        <v>50.119850158691406</v>
      </c>
      <c r="X144" s="9">
        <v>50.008769989013672</v>
      </c>
      <c r="Y144" s="9">
        <v>49.458747863769531</v>
      </c>
      <c r="Z144" s="9">
        <v>49.187191009521484</v>
      </c>
      <c r="AA144" s="9">
        <v>49.164573669433594</v>
      </c>
      <c r="AB144" s="9">
        <v>48.944370269775391</v>
      </c>
      <c r="AC144" s="9">
        <v>48.661876678466797</v>
      </c>
      <c r="AD144" s="9">
        <v>48.020420074462891</v>
      </c>
      <c r="AE144" s="9">
        <v>47.630985260009766</v>
      </c>
      <c r="AG144" s="9">
        <f t="shared" si="2"/>
        <v>49.686494653875179</v>
      </c>
    </row>
    <row r="145" spans="1:33" x14ac:dyDescent="0.2">
      <c r="A145" s="7" t="s">
        <v>298</v>
      </c>
      <c r="B145" s="7" t="s">
        <v>299</v>
      </c>
      <c r="C145" s="8"/>
      <c r="D145" s="8"/>
      <c r="E145" s="8"/>
      <c r="F145" s="9">
        <v>38.783355712890625</v>
      </c>
      <c r="G145" s="9">
        <v>36.469440460205078</v>
      </c>
      <c r="H145" s="9">
        <v>36.045669555664063</v>
      </c>
      <c r="I145" s="9">
        <v>34.982547760009766</v>
      </c>
      <c r="J145" s="9">
        <v>33.733692169189453</v>
      </c>
      <c r="K145" s="9">
        <v>34.688526153564453</v>
      </c>
      <c r="L145" s="9">
        <v>34.703086853027344</v>
      </c>
      <c r="M145" s="9">
        <v>35.099998474121094</v>
      </c>
      <c r="N145" s="9">
        <v>35.573677062988281</v>
      </c>
      <c r="O145" s="9">
        <v>35.705345153808594</v>
      </c>
      <c r="P145" s="9">
        <v>35.565147399902344</v>
      </c>
      <c r="Q145" s="9">
        <v>35.823741912841797</v>
      </c>
      <c r="R145" s="9">
        <v>36.127540588378906</v>
      </c>
      <c r="S145" s="9">
        <v>36.096893310546875</v>
      </c>
      <c r="T145" s="9">
        <v>35.890022277832031</v>
      </c>
      <c r="U145" s="9">
        <v>36.393516540527344</v>
      </c>
      <c r="V145" s="9">
        <v>35.395977020263672</v>
      </c>
      <c r="W145" s="9">
        <v>34.773761749267578</v>
      </c>
      <c r="X145" s="9">
        <v>34.534900665283203</v>
      </c>
      <c r="Y145" s="9">
        <v>34.643661499023438</v>
      </c>
      <c r="Z145" s="9">
        <v>34.341831207275391</v>
      </c>
      <c r="AA145" s="9">
        <v>34.234619140625</v>
      </c>
      <c r="AB145" s="9">
        <v>34.135215759277344</v>
      </c>
      <c r="AC145" s="9">
        <v>33.494281768798828</v>
      </c>
      <c r="AD145" s="9">
        <v>33.505565643310547</v>
      </c>
      <c r="AE145" s="9">
        <v>33.010009765625</v>
      </c>
      <c r="AG145" s="9">
        <f t="shared" si="2"/>
        <v>35.142539978027344</v>
      </c>
    </row>
    <row r="146" spans="1:33" x14ac:dyDescent="0.2">
      <c r="A146" s="7" t="s">
        <v>300</v>
      </c>
      <c r="B146" s="7" t="s">
        <v>301</v>
      </c>
      <c r="C146" s="8"/>
      <c r="D146" s="8"/>
      <c r="E146" s="8"/>
      <c r="F146" s="9">
        <v>37.526268005371094</v>
      </c>
      <c r="G146" s="9">
        <v>36.830032348632813</v>
      </c>
      <c r="H146" s="9">
        <v>36.921283721923828</v>
      </c>
      <c r="I146" s="9">
        <v>37.22509765625</v>
      </c>
      <c r="J146" s="9">
        <v>36.572734832763672</v>
      </c>
      <c r="K146" s="9">
        <v>35.762065887451172</v>
      </c>
      <c r="L146" s="9">
        <v>35.486431121826172</v>
      </c>
      <c r="M146" s="9">
        <v>34.400001525878906</v>
      </c>
      <c r="N146" s="9">
        <v>34.779914855957031</v>
      </c>
      <c r="O146" s="9">
        <v>34.573886871337891</v>
      </c>
      <c r="P146" s="9">
        <v>33.748550415039063</v>
      </c>
      <c r="Q146" s="9">
        <v>33.379364013671875</v>
      </c>
      <c r="R146" s="9">
        <v>33.297676086425781</v>
      </c>
      <c r="S146" s="9">
        <v>32.640304565429688</v>
      </c>
      <c r="T146" s="9">
        <v>32.110622406005859</v>
      </c>
      <c r="U146" s="9">
        <v>31.705085754394531</v>
      </c>
      <c r="V146" s="9">
        <v>33.142299652099609</v>
      </c>
      <c r="W146" s="9">
        <v>32.8367919921875</v>
      </c>
      <c r="X146" s="9">
        <v>32.341018676757813</v>
      </c>
      <c r="Y146" s="9">
        <v>32.391277313232422</v>
      </c>
      <c r="Z146" s="9">
        <v>32.315311431884766</v>
      </c>
      <c r="AA146" s="9">
        <v>32.607681274414063</v>
      </c>
      <c r="AB146" s="9">
        <v>32.705780029296875</v>
      </c>
      <c r="AC146" s="9">
        <v>33.109573364257813</v>
      </c>
      <c r="AD146" s="9">
        <v>33.135543823242188</v>
      </c>
      <c r="AE146" s="9">
        <v>33.27960205078125</v>
      </c>
      <c r="AG146" s="9">
        <f t="shared" si="2"/>
        <v>32.553986289284445</v>
      </c>
    </row>
    <row r="147" spans="1:33" x14ac:dyDescent="0.2">
      <c r="A147" s="7" t="s">
        <v>302</v>
      </c>
      <c r="B147" s="7" t="s">
        <v>303</v>
      </c>
      <c r="C147" s="8"/>
      <c r="D147" s="8"/>
      <c r="E147" s="8"/>
      <c r="F147" s="9">
        <v>39.398529052734375</v>
      </c>
      <c r="G147" s="9">
        <v>39.475131988525391</v>
      </c>
      <c r="H147" s="9">
        <v>39.258037567138672</v>
      </c>
      <c r="I147" s="9">
        <v>38.762256622314453</v>
      </c>
      <c r="J147" s="9">
        <v>38.944583892822266</v>
      </c>
      <c r="K147" s="9">
        <v>39.009128570556641</v>
      </c>
      <c r="L147" s="9">
        <v>38.481689453125</v>
      </c>
      <c r="M147" s="9">
        <v>38.400001525878906</v>
      </c>
      <c r="N147" s="9">
        <v>38.061203002929688</v>
      </c>
      <c r="O147" s="9">
        <v>38.282909393310547</v>
      </c>
      <c r="P147" s="9">
        <v>37.966163635253906</v>
      </c>
      <c r="Q147" s="9">
        <v>37.493942260742188</v>
      </c>
      <c r="R147" s="9">
        <v>37.432880401611328</v>
      </c>
      <c r="S147" s="9">
        <v>36.562202453613281</v>
      </c>
      <c r="T147" s="9">
        <v>36.240219116210938</v>
      </c>
      <c r="U147" s="9">
        <v>36.010498046875</v>
      </c>
      <c r="V147" s="9">
        <v>36.169803619384766</v>
      </c>
      <c r="W147" s="9">
        <v>36.062122344970703</v>
      </c>
      <c r="X147" s="9">
        <v>37.941379547119141</v>
      </c>
      <c r="Y147" s="9">
        <v>37.056110382080078</v>
      </c>
      <c r="Z147" s="9">
        <v>36.979183197021484</v>
      </c>
      <c r="AA147" s="9">
        <v>36.887912750244141</v>
      </c>
      <c r="AB147" s="9">
        <v>37.557682037353516</v>
      </c>
      <c r="AC147" s="9">
        <v>38.047348022460938</v>
      </c>
      <c r="AD147" s="9">
        <v>38.000415802001953</v>
      </c>
      <c r="AE147" s="9">
        <v>37.823772430419922</v>
      </c>
      <c r="AG147" s="9">
        <f t="shared" si="2"/>
        <v>36.809090354225852</v>
      </c>
    </row>
    <row r="148" spans="1:33" x14ac:dyDescent="0.2">
      <c r="A148" s="7" t="s">
        <v>304</v>
      </c>
      <c r="B148" s="7" t="s">
        <v>305</v>
      </c>
      <c r="C148" s="8"/>
      <c r="D148" s="8"/>
      <c r="E148" s="8"/>
      <c r="F148" s="9">
        <v>33.034774780273438</v>
      </c>
      <c r="G148" s="9">
        <v>32.714042663574219</v>
      </c>
      <c r="H148" s="9">
        <v>32.062431335449219</v>
      </c>
      <c r="I148" s="9">
        <v>32.259067535400391</v>
      </c>
      <c r="J148" s="9">
        <v>32.446632385253906</v>
      </c>
      <c r="K148" s="9">
        <v>31.923221588134766</v>
      </c>
      <c r="L148" s="9">
        <v>32.820659637451172</v>
      </c>
      <c r="M148" s="9">
        <v>32.099998474121094</v>
      </c>
      <c r="N148" s="9">
        <v>32.837196350097656</v>
      </c>
      <c r="O148" s="9">
        <v>32.970661163330078</v>
      </c>
      <c r="P148" s="9">
        <v>32.791927337646484</v>
      </c>
      <c r="Q148" s="9">
        <v>32.493961334228516</v>
      </c>
      <c r="R148" s="9">
        <v>31.984888076782227</v>
      </c>
      <c r="S148" s="9">
        <v>31.998569488525391</v>
      </c>
      <c r="T148" s="9">
        <v>31.838798522949219</v>
      </c>
      <c r="U148" s="9">
        <v>32.058261871337891</v>
      </c>
      <c r="V148" s="9">
        <v>33.457553863525391</v>
      </c>
      <c r="W148" s="9">
        <v>32.586990356445313</v>
      </c>
      <c r="X148" s="9">
        <v>31.374244689941406</v>
      </c>
      <c r="Y148" s="9">
        <v>31.282899856567383</v>
      </c>
      <c r="Z148" s="9">
        <v>30.872257232666016</v>
      </c>
      <c r="AA148" s="9">
        <v>30.757900238037109</v>
      </c>
      <c r="AB148" s="9">
        <v>30.710756301879883</v>
      </c>
      <c r="AC148" s="9">
        <v>31.233669281005859</v>
      </c>
      <c r="AD148" s="9">
        <v>30.733985900878906</v>
      </c>
      <c r="AE148" s="9">
        <v>30.861873626708984</v>
      </c>
      <c r="AG148" s="9">
        <f t="shared" si="2"/>
        <v>31.720283681696113</v>
      </c>
    </row>
    <row r="149" spans="1:33" x14ac:dyDescent="0.2">
      <c r="A149" s="7" t="s">
        <v>306</v>
      </c>
      <c r="B149" s="7" t="s">
        <v>307</v>
      </c>
      <c r="C149" s="8"/>
      <c r="D149" s="8"/>
      <c r="E149" s="8"/>
      <c r="F149" s="9">
        <v>43.620735168457031</v>
      </c>
      <c r="G149" s="9">
        <v>43.891674041748047</v>
      </c>
      <c r="H149" s="9">
        <v>43.203536987304688</v>
      </c>
      <c r="I149" s="9">
        <v>43.370555877685547</v>
      </c>
      <c r="J149" s="9">
        <v>43.509368896484375</v>
      </c>
      <c r="K149" s="9">
        <v>42.911678314208984</v>
      </c>
      <c r="L149" s="9">
        <v>42.701984405517578</v>
      </c>
      <c r="M149" s="9">
        <v>43.099998474121094</v>
      </c>
      <c r="N149" s="9">
        <v>43.148288726806641</v>
      </c>
      <c r="O149" s="9">
        <v>43.734519958496094</v>
      </c>
      <c r="P149" s="9">
        <v>43.028438568115234</v>
      </c>
      <c r="Q149" s="9">
        <v>42.126136779785156</v>
      </c>
      <c r="R149" s="9">
        <v>42.370815277099609</v>
      </c>
      <c r="S149" s="9">
        <v>42.546573638916016</v>
      </c>
      <c r="T149" s="9">
        <v>41.385204315185547</v>
      </c>
      <c r="U149" s="9">
        <v>41.353553771972656</v>
      </c>
      <c r="V149" s="9">
        <v>41.030300140380859</v>
      </c>
      <c r="W149" s="9">
        <v>40.684989929199219</v>
      </c>
      <c r="X149" s="9">
        <v>41.035114288330078</v>
      </c>
      <c r="Y149" s="9">
        <v>40.036411285400391</v>
      </c>
      <c r="Z149" s="9">
        <v>40.007392883300781</v>
      </c>
      <c r="AA149" s="9">
        <v>39.590354919433594</v>
      </c>
      <c r="AB149" s="9">
        <v>39.617637634277344</v>
      </c>
      <c r="AC149" s="9">
        <v>39.339935302734375</v>
      </c>
      <c r="AD149" s="9">
        <v>39.693302154541016</v>
      </c>
      <c r="AE149" s="9">
        <v>40.345607757568359</v>
      </c>
      <c r="AG149" s="9">
        <f t="shared" si="2"/>
        <v>40.878031643954188</v>
      </c>
    </row>
    <row r="150" spans="1:33" x14ac:dyDescent="0.2">
      <c r="A150" s="7" t="s">
        <v>308</v>
      </c>
      <c r="B150" s="7" t="s">
        <v>309</v>
      </c>
      <c r="C150" s="8"/>
      <c r="D150" s="8"/>
      <c r="E150" s="8"/>
      <c r="F150" s="9">
        <v>47.356559753417969</v>
      </c>
      <c r="G150" s="9">
        <v>50.042930603027344</v>
      </c>
      <c r="H150" s="9">
        <v>51.208358764648438</v>
      </c>
      <c r="I150" s="9">
        <v>52.127357482910156</v>
      </c>
      <c r="J150" s="9">
        <v>54.288742065429688</v>
      </c>
      <c r="K150" s="9">
        <v>54.029010772705078</v>
      </c>
      <c r="L150" s="9">
        <v>52.4146728515625</v>
      </c>
      <c r="M150" s="9">
        <v>52.200000762939453</v>
      </c>
      <c r="N150" s="9">
        <v>50.828758239746094</v>
      </c>
      <c r="O150" s="9">
        <v>49.877246856689453</v>
      </c>
      <c r="P150" s="9">
        <v>49.275642395019531</v>
      </c>
      <c r="Q150" s="9">
        <v>47.980060577392578</v>
      </c>
      <c r="R150" s="9">
        <v>47.799667358398438</v>
      </c>
      <c r="S150" s="9">
        <v>46.832115173339844</v>
      </c>
      <c r="T150" s="9">
        <v>46.317916870117188</v>
      </c>
      <c r="U150" s="9">
        <v>46.154262542724609</v>
      </c>
      <c r="V150" s="9">
        <v>48.717369079589844</v>
      </c>
      <c r="W150" s="9">
        <v>48.240211486816406</v>
      </c>
      <c r="X150" s="9">
        <v>47.208038330078125</v>
      </c>
      <c r="Y150" s="9">
        <v>46.960414886474609</v>
      </c>
      <c r="Z150" s="9">
        <v>47.025924682617188</v>
      </c>
      <c r="AA150" s="9">
        <v>46.696460723876953</v>
      </c>
      <c r="AB150" s="9">
        <v>47.144153594970703</v>
      </c>
      <c r="AC150" s="9">
        <v>46.951606750488281</v>
      </c>
      <c r="AD150" s="9">
        <v>47.083869934082031</v>
      </c>
      <c r="AE150" s="9">
        <v>46.602222442626953</v>
      </c>
      <c r="AG150" s="9">
        <f t="shared" si="2"/>
        <v>47.190594066273086</v>
      </c>
    </row>
    <row r="151" spans="1:33" x14ac:dyDescent="0.2">
      <c r="A151" s="7" t="s">
        <v>310</v>
      </c>
      <c r="B151" s="7" t="s">
        <v>311</v>
      </c>
      <c r="C151" s="8"/>
      <c r="D151" s="8"/>
      <c r="E151" s="8"/>
      <c r="F151" s="9">
        <v>26.992832183837891</v>
      </c>
      <c r="G151" s="9">
        <v>26.512683868408203</v>
      </c>
      <c r="H151" s="9">
        <v>26.277780532836914</v>
      </c>
      <c r="I151" s="9">
        <v>26.502462387084961</v>
      </c>
      <c r="J151" s="9">
        <v>26.421600341796875</v>
      </c>
      <c r="K151" s="9">
        <v>27.129093170166016</v>
      </c>
      <c r="L151" s="9">
        <v>27.148519515991211</v>
      </c>
      <c r="M151" s="9">
        <v>26.399999618530273</v>
      </c>
      <c r="N151" s="9">
        <v>26.230844497680664</v>
      </c>
      <c r="O151" s="9">
        <v>26.373083114624023</v>
      </c>
      <c r="P151" s="9">
        <v>26.243059158325195</v>
      </c>
      <c r="Q151" s="9">
        <v>26.183334350585938</v>
      </c>
      <c r="R151" s="9">
        <v>26.413795471191406</v>
      </c>
      <c r="S151" s="9">
        <v>26.448114395141602</v>
      </c>
      <c r="T151" s="9">
        <v>26.946992874145508</v>
      </c>
      <c r="U151" s="9">
        <v>27.597509384155273</v>
      </c>
      <c r="V151" s="9">
        <v>28.424911499023438</v>
      </c>
      <c r="W151" s="9">
        <v>28.625158309936523</v>
      </c>
      <c r="X151" s="9">
        <v>28.435853958129883</v>
      </c>
      <c r="Y151" s="9">
        <v>28.264137268066406</v>
      </c>
      <c r="Z151" s="9">
        <v>28.204988479614258</v>
      </c>
      <c r="AA151" s="9">
        <v>27.86775016784668</v>
      </c>
      <c r="AB151" s="9">
        <v>27.762371063232422</v>
      </c>
      <c r="AC151" s="9">
        <v>27.683551788330078</v>
      </c>
      <c r="AD151" s="9">
        <v>28.113393783569336</v>
      </c>
      <c r="AE151" s="9">
        <v>27.940013885498047</v>
      </c>
      <c r="AG151" s="9">
        <f t="shared" si="2"/>
        <v>27.726507533680309</v>
      </c>
    </row>
    <row r="152" spans="1:33" x14ac:dyDescent="0.2">
      <c r="A152" s="7" t="s">
        <v>312</v>
      </c>
      <c r="B152" s="7" t="s">
        <v>313</v>
      </c>
      <c r="C152" s="8"/>
      <c r="D152" s="8"/>
      <c r="E152" s="8"/>
      <c r="F152" s="9">
        <v>14.056303977966309</v>
      </c>
      <c r="G152" s="9">
        <v>13.869049072265625</v>
      </c>
      <c r="H152" s="9">
        <v>13.49135684967041</v>
      </c>
      <c r="I152" s="9">
        <v>13.243960380554199</v>
      </c>
      <c r="J152" s="9">
        <v>12.995709419250488</v>
      </c>
      <c r="K152" s="9">
        <v>12.825010299682617</v>
      </c>
      <c r="L152" s="9">
        <v>12.782944679260254</v>
      </c>
      <c r="M152" s="9">
        <v>12.699999809265137</v>
      </c>
      <c r="N152" s="9">
        <v>12.643010139465332</v>
      </c>
      <c r="O152" s="9">
        <v>12.688814163208008</v>
      </c>
      <c r="P152" s="9">
        <v>12.662185668945313</v>
      </c>
      <c r="Q152" s="9">
        <v>12.622561454772949</v>
      </c>
      <c r="R152" s="9">
        <v>12.612096786499023</v>
      </c>
      <c r="S152" s="9">
        <v>12.625350952148438</v>
      </c>
      <c r="T152" s="9">
        <v>12.544318199157715</v>
      </c>
      <c r="U152" s="9">
        <v>12.684004783630371</v>
      </c>
      <c r="V152" s="9">
        <v>13.256415367126465</v>
      </c>
      <c r="W152" s="9">
        <v>13.148591041564941</v>
      </c>
      <c r="X152" s="9">
        <v>13.037456512451172</v>
      </c>
      <c r="Y152" s="9">
        <v>13.000195503234863</v>
      </c>
      <c r="Z152" s="9">
        <v>12.86285400390625</v>
      </c>
      <c r="AA152" s="9">
        <v>12.632598876953125</v>
      </c>
      <c r="AB152" s="9">
        <v>12.429396629333496</v>
      </c>
      <c r="AC152" s="9">
        <v>12.373912811279297</v>
      </c>
      <c r="AD152" s="9">
        <v>12.329894065856934</v>
      </c>
      <c r="AE152" s="9">
        <v>12.294291496276855</v>
      </c>
      <c r="AG152" s="9">
        <f t="shared" si="2"/>
        <v>12.80302533236417</v>
      </c>
    </row>
    <row r="153" spans="1:33" x14ac:dyDescent="0.2">
      <c r="A153" s="7" t="s">
        <v>314</v>
      </c>
      <c r="B153" s="7" t="s">
        <v>315</v>
      </c>
      <c r="C153" s="8"/>
      <c r="D153" s="8"/>
      <c r="E153" s="8"/>
      <c r="F153" s="9">
        <v>9.6700210571289063</v>
      </c>
      <c r="G153" s="9">
        <v>9.4973506927490234</v>
      </c>
      <c r="H153" s="9">
        <v>9.3989334106445313</v>
      </c>
      <c r="I153" s="9">
        <v>9.2986431121826172</v>
      </c>
      <c r="J153" s="9">
        <v>9.0934762954711914</v>
      </c>
      <c r="K153" s="9">
        <v>8.8976144790649414</v>
      </c>
      <c r="L153" s="9">
        <v>8.7961025238037109</v>
      </c>
      <c r="M153" s="9">
        <v>8.6999998092651367</v>
      </c>
      <c r="N153" s="9">
        <v>8.8428926467895508</v>
      </c>
      <c r="O153" s="9">
        <v>8.9820089340209961</v>
      </c>
      <c r="P153" s="9">
        <v>9.0099620819091797</v>
      </c>
      <c r="Q153" s="9">
        <v>8.8199214935302734</v>
      </c>
      <c r="R153" s="9">
        <v>8.8259363174438477</v>
      </c>
      <c r="S153" s="9">
        <v>8.7193946838378906</v>
      </c>
      <c r="T153" s="9">
        <v>8.6955223083496094</v>
      </c>
      <c r="U153" s="9">
        <v>8.9231252670288086</v>
      </c>
      <c r="V153" s="9">
        <v>9.3541841506958008</v>
      </c>
      <c r="W153" s="9">
        <v>9.2785224914550781</v>
      </c>
      <c r="X153" s="9">
        <v>9.1482343673706055</v>
      </c>
      <c r="Y153" s="9">
        <v>8.96246337890625</v>
      </c>
      <c r="Z153" s="9">
        <v>8.8246078491210938</v>
      </c>
      <c r="AA153" s="9">
        <v>8.679931640625</v>
      </c>
      <c r="AB153" s="9">
        <v>8.5346126556396484</v>
      </c>
      <c r="AC153" s="9">
        <v>8.4725151062011719</v>
      </c>
      <c r="AD153" s="9">
        <v>8.3426246643066406</v>
      </c>
      <c r="AE153" s="9">
        <v>8.2382059097290039</v>
      </c>
      <c r="AG153" s="9">
        <f t="shared" si="2"/>
        <v>8.9042304645885118</v>
      </c>
    </row>
    <row r="154" spans="1:33" x14ac:dyDescent="0.2">
      <c r="A154" s="7" t="s">
        <v>316</v>
      </c>
      <c r="B154" s="7" t="s">
        <v>317</v>
      </c>
      <c r="C154" s="8"/>
      <c r="D154" s="8"/>
      <c r="E154" s="8"/>
      <c r="F154" s="9">
        <v>50.874942779541016</v>
      </c>
      <c r="G154" s="9">
        <v>50.307758331298828</v>
      </c>
      <c r="H154" s="9">
        <v>51.280204772949219</v>
      </c>
      <c r="I154" s="9">
        <v>51.289531707763672</v>
      </c>
      <c r="J154" s="9">
        <v>49.510746002197266</v>
      </c>
      <c r="K154" s="9">
        <v>49.254207611083984</v>
      </c>
      <c r="L154" s="9">
        <v>50.573383331298828</v>
      </c>
      <c r="M154" s="9">
        <v>51.099998474121094</v>
      </c>
      <c r="N154" s="9">
        <v>50.859210968017578</v>
      </c>
      <c r="O154" s="9">
        <v>50.616863250732422</v>
      </c>
      <c r="P154" s="9">
        <v>50.521881103515625</v>
      </c>
      <c r="Q154" s="9">
        <v>50.298568725585938</v>
      </c>
      <c r="R154" s="9">
        <v>49.345340728759766</v>
      </c>
      <c r="S154" s="9">
        <v>50.286087036132813</v>
      </c>
      <c r="T154" s="9">
        <v>49.088130950927734</v>
      </c>
      <c r="U154" s="9">
        <v>48.818923950195313</v>
      </c>
      <c r="V154" s="9">
        <v>48.561149597167969</v>
      </c>
      <c r="W154" s="9">
        <v>47.641674041748047</v>
      </c>
      <c r="X154" s="9">
        <v>47.384532928466797</v>
      </c>
      <c r="Y154" s="9">
        <v>47.94744873046875</v>
      </c>
      <c r="Z154" s="9">
        <v>47.732898712158203</v>
      </c>
      <c r="AA154" s="9">
        <v>47.541244506835938</v>
      </c>
      <c r="AB154" s="9">
        <v>47.548526763916016</v>
      </c>
      <c r="AC154" s="9">
        <v>47.785621643066406</v>
      </c>
      <c r="AD154" s="9">
        <v>48.165077209472656</v>
      </c>
      <c r="AE154" s="9">
        <v>47.719028472900391</v>
      </c>
      <c r="AG154" s="9">
        <f t="shared" si="2"/>
        <v>48.354177995161578</v>
      </c>
    </row>
    <row r="155" spans="1:33" x14ac:dyDescent="0.2">
      <c r="A155" s="7" t="s">
        <v>318</v>
      </c>
      <c r="B155" s="7" t="s">
        <v>319</v>
      </c>
      <c r="C155" s="8"/>
      <c r="D155" s="8"/>
      <c r="E155" s="8"/>
      <c r="F155" s="9">
        <v>31.812950134277344</v>
      </c>
      <c r="G155" s="9">
        <v>32.062572479248047</v>
      </c>
      <c r="H155" s="9">
        <v>32.019237518310547</v>
      </c>
      <c r="I155" s="9">
        <v>31.58680534362793</v>
      </c>
      <c r="J155" s="9">
        <v>32.942470550537109</v>
      </c>
      <c r="K155" s="9">
        <v>33.193000793457031</v>
      </c>
      <c r="L155" s="9">
        <v>33.818496704101563</v>
      </c>
      <c r="M155" s="9">
        <v>33.599998474121094</v>
      </c>
      <c r="N155" s="9">
        <v>33.924392700195313</v>
      </c>
      <c r="O155" s="9">
        <v>34.836021423339844</v>
      </c>
      <c r="P155" s="9">
        <v>35.448036193847656</v>
      </c>
      <c r="Q155" s="9">
        <v>34.230201721191406</v>
      </c>
      <c r="R155" s="9">
        <v>33.065036773681641</v>
      </c>
      <c r="S155" s="9">
        <v>32.514064788818359</v>
      </c>
      <c r="T155" s="9">
        <v>31.962106704711914</v>
      </c>
      <c r="U155" s="9">
        <v>31.493709564208984</v>
      </c>
      <c r="V155" s="9">
        <v>32.229717254638672</v>
      </c>
      <c r="W155" s="9">
        <v>32.15087890625</v>
      </c>
      <c r="X155" s="9">
        <v>32.034511566162109</v>
      </c>
      <c r="Y155" s="9">
        <v>31.77044677734375</v>
      </c>
      <c r="Z155" s="9">
        <v>31.790836334228516</v>
      </c>
      <c r="AA155" s="9">
        <v>32.792106628417969</v>
      </c>
      <c r="AB155" s="9">
        <v>32.829612731933594</v>
      </c>
      <c r="AC155" s="9">
        <v>34.12432861328125</v>
      </c>
      <c r="AD155" s="9">
        <v>35.120807647705078</v>
      </c>
      <c r="AE155" s="9">
        <v>36.051887512207031</v>
      </c>
      <c r="AG155" s="9">
        <f t="shared" si="2"/>
        <v>32.239366184581407</v>
      </c>
    </row>
    <row r="156" spans="1:33" x14ac:dyDescent="0.2">
      <c r="A156" s="7" t="s">
        <v>320</v>
      </c>
      <c r="B156" s="7" t="s">
        <v>321</v>
      </c>
      <c r="C156" s="8"/>
      <c r="D156" s="8"/>
      <c r="E156" s="8"/>
      <c r="F156" s="9">
        <v>16.367145538330078</v>
      </c>
      <c r="G156" s="9">
        <v>16.367038726806641</v>
      </c>
      <c r="H156" s="9">
        <v>16.145645141601563</v>
      </c>
      <c r="I156" s="9">
        <v>16.184534072875977</v>
      </c>
      <c r="J156" s="9">
        <v>16.403861999511719</v>
      </c>
      <c r="K156" s="9">
        <v>15.96208667755127</v>
      </c>
      <c r="L156" s="9">
        <v>15.728835105895996</v>
      </c>
      <c r="M156" s="9">
        <v>15.600000381469727</v>
      </c>
      <c r="N156" s="9">
        <v>15.718446731567383</v>
      </c>
      <c r="O156" s="9">
        <v>15.379960060119629</v>
      </c>
      <c r="P156" s="9">
        <v>15.423940658569336</v>
      </c>
      <c r="Q156" s="9">
        <v>15.315077781677246</v>
      </c>
      <c r="R156" s="9">
        <v>14.878508567810059</v>
      </c>
      <c r="S156" s="9">
        <v>14.906560897827148</v>
      </c>
      <c r="T156" s="9">
        <v>14.831469535827637</v>
      </c>
      <c r="U156" s="9">
        <v>14.811144828796387</v>
      </c>
      <c r="V156" s="9">
        <v>14.886651039123535</v>
      </c>
      <c r="W156" s="9">
        <v>14.866138458251953</v>
      </c>
      <c r="X156" s="9">
        <v>14.526834487915039</v>
      </c>
      <c r="Y156" s="9">
        <v>14.407346725463867</v>
      </c>
      <c r="Z156" s="9">
        <v>14.542328834533691</v>
      </c>
      <c r="AA156" s="9">
        <v>14.425045967102051</v>
      </c>
      <c r="AB156" s="9">
        <v>14.365779876708984</v>
      </c>
      <c r="AC156" s="9">
        <v>14.320169448852539</v>
      </c>
      <c r="AD156" s="9">
        <v>14.196490287780762</v>
      </c>
      <c r="AE156" s="9">
        <v>14.040266990661621</v>
      </c>
      <c r="AG156" s="9">
        <f t="shared" si="2"/>
        <v>14.677073565396396</v>
      </c>
    </row>
    <row r="157" spans="1:33" x14ac:dyDescent="0.2">
      <c r="A157" s="7" t="s">
        <v>322</v>
      </c>
      <c r="B157" s="7" t="s">
        <v>323</v>
      </c>
      <c r="C157" s="8"/>
      <c r="D157" s="8"/>
      <c r="E157" s="8"/>
      <c r="F157" s="9">
        <v>28.925380706787109</v>
      </c>
      <c r="G157" s="9">
        <v>29.031000137329102</v>
      </c>
      <c r="H157" s="9">
        <v>27.900279998779297</v>
      </c>
      <c r="I157" s="9">
        <v>27.561111450195313</v>
      </c>
      <c r="J157" s="9">
        <v>27.92051887512207</v>
      </c>
      <c r="K157" s="9">
        <v>28.054965972900391</v>
      </c>
      <c r="L157" s="9">
        <v>27.561796188354492</v>
      </c>
      <c r="M157" s="9">
        <v>27.399999618530273</v>
      </c>
      <c r="N157" s="9">
        <v>27.166465759277344</v>
      </c>
      <c r="O157" s="9">
        <v>27.160770416259766</v>
      </c>
      <c r="P157" s="9">
        <v>26.867099761962891</v>
      </c>
      <c r="Q157" s="9">
        <v>26.698095321655273</v>
      </c>
      <c r="R157" s="9">
        <v>26.68501091003418</v>
      </c>
      <c r="S157" s="9">
        <v>26.982442855834961</v>
      </c>
      <c r="T157" s="9">
        <v>27.311016082763672</v>
      </c>
      <c r="U157" s="9">
        <v>26.924079895019531</v>
      </c>
      <c r="V157" s="9">
        <v>27.070070266723633</v>
      </c>
      <c r="W157" s="9">
        <v>26.778032302856445</v>
      </c>
      <c r="X157" s="9">
        <v>28.268264770507813</v>
      </c>
      <c r="Y157" s="9">
        <v>28.774673461914063</v>
      </c>
      <c r="Z157" s="9">
        <v>28.829740524291992</v>
      </c>
      <c r="AA157" s="9">
        <v>28.778106689453125</v>
      </c>
      <c r="AB157" s="9">
        <v>29.644332885742188</v>
      </c>
      <c r="AC157" s="9">
        <v>30.454191207885742</v>
      </c>
      <c r="AD157" s="9">
        <v>30.776161193847656</v>
      </c>
      <c r="AE157" s="9">
        <v>31.083236694335938</v>
      </c>
      <c r="AG157" s="9">
        <f t="shared" si="2"/>
        <v>27.822342785921965</v>
      </c>
    </row>
    <row r="158" spans="1:33" x14ac:dyDescent="0.2">
      <c r="A158" s="7" t="s">
        <v>29</v>
      </c>
      <c r="B158" s="7" t="s">
        <v>62</v>
      </c>
      <c r="C158" s="8"/>
      <c r="D158" s="8"/>
      <c r="E158" s="8"/>
      <c r="F158" s="9">
        <v>51.287563323974609</v>
      </c>
      <c r="G158" s="9">
        <v>50.690879821777344</v>
      </c>
      <c r="H158" s="9">
        <v>50.892837524414063</v>
      </c>
      <c r="I158" s="9">
        <v>51.112251281738281</v>
      </c>
      <c r="J158" s="9">
        <v>50.574565887451172</v>
      </c>
      <c r="K158" s="9">
        <v>49.826972961425781</v>
      </c>
      <c r="L158" s="9">
        <v>49.361881256103516</v>
      </c>
      <c r="M158" s="9">
        <v>48.900001525878906</v>
      </c>
      <c r="N158" s="9">
        <v>49.045513153076172</v>
      </c>
      <c r="O158" s="9">
        <v>49.138393402099609</v>
      </c>
      <c r="P158" s="9">
        <v>49.40228271484375</v>
      </c>
      <c r="Q158" s="9">
        <v>49.668796539306641</v>
      </c>
      <c r="R158" s="9">
        <v>49.774940490722656</v>
      </c>
      <c r="S158" s="9">
        <v>49.221168518066406</v>
      </c>
      <c r="T158" s="9">
        <v>48.163219451904297</v>
      </c>
      <c r="U158" s="9">
        <v>48.5609130859375</v>
      </c>
      <c r="V158" s="9">
        <v>47.998710632324219</v>
      </c>
      <c r="W158" s="9">
        <v>47.081886291503906</v>
      </c>
      <c r="X158" s="9">
        <v>46.791046142578125</v>
      </c>
      <c r="Y158" s="9">
        <v>46.545078277587891</v>
      </c>
      <c r="Z158" s="9">
        <v>46.493022918701172</v>
      </c>
      <c r="AA158" s="9">
        <v>47.036979675292969</v>
      </c>
      <c r="AB158" s="9">
        <v>47.356960296630859</v>
      </c>
      <c r="AC158" s="9">
        <v>47.960037231445313</v>
      </c>
      <c r="AD158" s="9">
        <v>46.442955017089844</v>
      </c>
      <c r="AE158" s="9">
        <v>46.224048614501953</v>
      </c>
      <c r="AG158" s="9">
        <f t="shared" si="2"/>
        <v>47.729447798295453</v>
      </c>
    </row>
    <row r="159" spans="1:33" x14ac:dyDescent="0.2">
      <c r="A159" s="7" t="s">
        <v>30</v>
      </c>
      <c r="B159" s="7" t="s">
        <v>63</v>
      </c>
      <c r="C159" s="8"/>
      <c r="D159" s="8"/>
      <c r="E159" s="8"/>
      <c r="F159" s="9">
        <v>59.386306762695313</v>
      </c>
      <c r="G159" s="9">
        <v>58.190406799316406</v>
      </c>
      <c r="H159" s="9">
        <v>58.909702301025391</v>
      </c>
      <c r="I159" s="9">
        <v>57.311012268066406</v>
      </c>
      <c r="J159" s="9">
        <v>57.598072052001953</v>
      </c>
      <c r="K159" s="9">
        <v>56.97576904296875</v>
      </c>
      <c r="L159" s="9">
        <v>57.400249481201172</v>
      </c>
      <c r="M159" s="9">
        <v>59.400001525878906</v>
      </c>
      <c r="N159" s="9">
        <v>57.381801605224609</v>
      </c>
      <c r="O159" s="9">
        <v>58.442607879638672</v>
      </c>
      <c r="P159" s="9">
        <v>60.338001251220703</v>
      </c>
      <c r="Q159" s="9">
        <v>61.249111175537109</v>
      </c>
      <c r="R159" s="9">
        <v>61.399234771728516</v>
      </c>
      <c r="S159" s="9">
        <v>60.381172180175781</v>
      </c>
      <c r="T159" s="9">
        <v>60.317409515380859</v>
      </c>
      <c r="U159" s="9">
        <v>62.220550537109375</v>
      </c>
      <c r="V159" s="9">
        <v>63.29595947265625</v>
      </c>
      <c r="W159" s="9">
        <v>62.394996643066406</v>
      </c>
      <c r="X159" s="9">
        <v>61.752216339111328</v>
      </c>
      <c r="Y159" s="9">
        <v>60.489265441894531</v>
      </c>
      <c r="Z159" s="9">
        <v>60.143707275390625</v>
      </c>
      <c r="AA159" s="9">
        <v>60.275253295898438</v>
      </c>
      <c r="AB159" s="9">
        <v>60.070037841796875</v>
      </c>
      <c r="AC159" s="9">
        <v>59.994132995605469</v>
      </c>
      <c r="AD159" s="9">
        <v>60.103473663330078</v>
      </c>
      <c r="AE159" s="9">
        <v>58.677005767822266</v>
      </c>
      <c r="AG159" s="9">
        <f t="shared" si="2"/>
        <v>61.15816393765536</v>
      </c>
    </row>
  </sheetData>
  <pageMargins left="0.75" right="0.75" top="1" bottom="1" header="0.5" footer="0.5"/>
  <pageSetup orientation="portrait" horizontalDpi="90" verticalDpi="9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D85F-DAA3-4E7D-AE1F-573BB2A45926}">
  <dimension ref="A1:AJ320"/>
  <sheetViews>
    <sheetView topLeftCell="R1" workbookViewId="0">
      <selection activeCell="D2" sqref="D2:D320"/>
    </sheetView>
  </sheetViews>
  <sheetFormatPr defaultColWidth="11" defaultRowHeight="15.75" x14ac:dyDescent="0.25"/>
  <sheetData>
    <row r="1" spans="1:36" x14ac:dyDescent="0.25">
      <c r="A1" t="s">
        <v>0</v>
      </c>
      <c r="B1" t="s">
        <v>31</v>
      </c>
      <c r="C1" t="s">
        <v>32</v>
      </c>
      <c r="E1" t="s">
        <v>342</v>
      </c>
      <c r="F1" t="s">
        <v>343</v>
      </c>
      <c r="G1" t="s">
        <v>344</v>
      </c>
      <c r="H1" t="s">
        <v>345</v>
      </c>
      <c r="I1" t="s">
        <v>346</v>
      </c>
      <c r="J1" t="s">
        <v>347</v>
      </c>
      <c r="K1" t="s">
        <v>348</v>
      </c>
      <c r="L1" t="s">
        <v>349</v>
      </c>
      <c r="M1" t="s">
        <v>350</v>
      </c>
      <c r="N1" t="s">
        <v>351</v>
      </c>
      <c r="O1" t="s">
        <v>352</v>
      </c>
      <c r="P1" t="s">
        <v>353</v>
      </c>
      <c r="Q1" t="s">
        <v>354</v>
      </c>
      <c r="R1" t="s">
        <v>355</v>
      </c>
      <c r="S1" t="s">
        <v>356</v>
      </c>
      <c r="T1" t="s">
        <v>357</v>
      </c>
      <c r="U1" t="s">
        <v>358</v>
      </c>
      <c r="V1" t="s">
        <v>359</v>
      </c>
      <c r="W1" t="s">
        <v>360</v>
      </c>
      <c r="X1" t="s">
        <v>361</v>
      </c>
      <c r="Y1" t="s">
        <v>362</v>
      </c>
      <c r="Z1" t="s">
        <v>363</v>
      </c>
      <c r="AA1" t="s">
        <v>364</v>
      </c>
      <c r="AB1" t="s">
        <v>365</v>
      </c>
      <c r="AC1" t="s">
        <v>366</v>
      </c>
      <c r="AD1" t="s">
        <v>367</v>
      </c>
      <c r="AE1" t="s">
        <v>368</v>
      </c>
      <c r="AF1" t="s">
        <v>369</v>
      </c>
      <c r="AG1" t="s">
        <v>370</v>
      </c>
      <c r="AH1" t="s">
        <v>371</v>
      </c>
      <c r="AI1" t="s">
        <v>372</v>
      </c>
      <c r="AJ1" t="s">
        <v>373</v>
      </c>
    </row>
    <row r="2" spans="1:36" x14ac:dyDescent="0.25">
      <c r="A2" t="s">
        <v>1</v>
      </c>
      <c r="B2" t="s">
        <v>33</v>
      </c>
      <c r="C2">
        <v>2004</v>
      </c>
      <c r="D2" t="str">
        <f>B2&amp;C2</f>
        <v>AGO2004</v>
      </c>
      <c r="E2">
        <v>4471.4179999999997</v>
      </c>
      <c r="F2">
        <v>3366.5430000000001</v>
      </c>
      <c r="G2">
        <v>0.75290274620056152</v>
      </c>
      <c r="H2">
        <v>110195.65625</v>
      </c>
      <c r="I2">
        <v>75921.21875</v>
      </c>
      <c r="J2">
        <v>814614.3125</v>
      </c>
      <c r="K2">
        <v>4.0301673114299774E-2</v>
      </c>
      <c r="L2">
        <v>0.17217054963111877</v>
      </c>
      <c r="M2">
        <v>3.4067265689373016E-2</v>
      </c>
      <c r="N2">
        <v>0.10953093320131302</v>
      </c>
      <c r="O2">
        <v>0</v>
      </c>
      <c r="P2">
        <v>0</v>
      </c>
      <c r="Q2">
        <v>1.0236655473709106</v>
      </c>
      <c r="R2">
        <v>0.27816972136497498</v>
      </c>
      <c r="S2">
        <v>1.2545310258865356</v>
      </c>
      <c r="T2">
        <v>1.5098254680633545</v>
      </c>
      <c r="AE2">
        <v>1.9727046739385912E-2</v>
      </c>
      <c r="AF2">
        <v>2273.1512180406348</v>
      </c>
      <c r="AG2">
        <v>20.185158404445264</v>
      </c>
      <c r="AH2">
        <v>9.9021958008087607E-2</v>
      </c>
      <c r="AI2">
        <v>982.93806380036619</v>
      </c>
      <c r="AJ2">
        <v>47.668582433608726</v>
      </c>
    </row>
    <row r="3" spans="1:36" x14ac:dyDescent="0.25">
      <c r="A3" t="s">
        <v>1</v>
      </c>
      <c r="B3" t="s">
        <v>33</v>
      </c>
      <c r="C3">
        <v>2005</v>
      </c>
      <c r="D3" t="str">
        <f t="shared" ref="D3:D66" si="0">B3&amp;C3</f>
        <v>AGO2005</v>
      </c>
      <c r="E3">
        <v>4693.0469999999623</v>
      </c>
      <c r="F3">
        <v>3622.7895714285551</v>
      </c>
      <c r="G3">
        <v>0.77194827795028687</v>
      </c>
      <c r="H3">
        <v>126757.1796875</v>
      </c>
      <c r="I3">
        <v>80457.6640625</v>
      </c>
      <c r="J3">
        <v>835925.8125</v>
      </c>
      <c r="K3">
        <v>4.0991093963384628E-2</v>
      </c>
      <c r="L3">
        <v>0.14707781374454498</v>
      </c>
      <c r="M3">
        <v>5.9752009809017181E-2</v>
      </c>
      <c r="N3">
        <v>0.15029197931289673</v>
      </c>
      <c r="O3">
        <v>1</v>
      </c>
      <c r="P3">
        <v>1</v>
      </c>
      <c r="Q3">
        <v>1.0236655473709106</v>
      </c>
      <c r="R3">
        <v>0.27816972136497498</v>
      </c>
      <c r="S3">
        <v>1.2545310258865356</v>
      </c>
      <c r="T3">
        <v>1.5098254680633545</v>
      </c>
      <c r="AE3">
        <v>2.2539684499932489E-2</v>
      </c>
      <c r="AF3">
        <v>2579.5981562764209</v>
      </c>
      <c r="AG3">
        <v>22.906350000391267</v>
      </c>
      <c r="AH3">
        <v>0.11185029268952976</v>
      </c>
      <c r="AI3">
        <v>1102.731396426178</v>
      </c>
      <c r="AJ3">
        <v>53.478082097495985</v>
      </c>
    </row>
    <row r="4" spans="1:36" x14ac:dyDescent="0.25">
      <c r="A4" t="s">
        <v>1</v>
      </c>
      <c r="B4" t="s">
        <v>33</v>
      </c>
      <c r="C4">
        <v>2006</v>
      </c>
      <c r="D4" t="str">
        <f t="shared" si="0"/>
        <v>AGO2006</v>
      </c>
      <c r="E4">
        <v>4914.6759999999776</v>
      </c>
      <c r="F4">
        <v>3879.036142857105</v>
      </c>
      <c r="G4">
        <v>0.78927606344223022</v>
      </c>
      <c r="H4">
        <v>141521.796875</v>
      </c>
      <c r="I4">
        <v>86537.7734375</v>
      </c>
      <c r="J4">
        <v>858190.25</v>
      </c>
      <c r="K4">
        <v>4.1351668536663055E-2</v>
      </c>
      <c r="L4">
        <v>0.1323823481798172</v>
      </c>
      <c r="M4">
        <v>7.5569048523902893E-2</v>
      </c>
      <c r="N4">
        <v>0.1164795309305191</v>
      </c>
      <c r="O4">
        <v>1</v>
      </c>
      <c r="P4">
        <v>1</v>
      </c>
      <c r="Q4">
        <v>1.0236655473709106</v>
      </c>
      <c r="R4">
        <v>0.27816972136497498</v>
      </c>
      <c r="S4">
        <v>1.2545310258865356</v>
      </c>
      <c r="T4">
        <v>1.5098254680633545</v>
      </c>
      <c r="AE4">
        <v>2.5577069433400244E-2</v>
      </c>
      <c r="AF4">
        <v>3037.0391920533771</v>
      </c>
      <c r="AG4">
        <v>26.968340990946793</v>
      </c>
      <c r="AH4">
        <v>0.1253791604633647</v>
      </c>
      <c r="AI4">
        <v>1282.488150454798</v>
      </c>
      <c r="AJ4">
        <v>62.195568949395444</v>
      </c>
    </row>
    <row r="5" spans="1:36" x14ac:dyDescent="0.25">
      <c r="A5" t="s">
        <v>1</v>
      </c>
      <c r="B5" t="s">
        <v>33</v>
      </c>
      <c r="C5">
        <v>2007</v>
      </c>
      <c r="D5" t="str">
        <f t="shared" si="0"/>
        <v>AGO2007</v>
      </c>
      <c r="E5">
        <v>5136.304999999993</v>
      </c>
      <c r="F5">
        <v>4135.2827142857132</v>
      </c>
      <c r="G5">
        <v>0.80510848760604858</v>
      </c>
      <c r="H5">
        <v>161348.046875</v>
      </c>
      <c r="I5">
        <v>92448.09375</v>
      </c>
      <c r="J5">
        <v>886700.3125</v>
      </c>
      <c r="K5">
        <v>4.1421659290790558E-2</v>
      </c>
      <c r="L5">
        <v>0.13830474019050598</v>
      </c>
      <c r="M5">
        <v>6.8297579884529114E-2</v>
      </c>
      <c r="N5">
        <v>0.14009326696395874</v>
      </c>
      <c r="O5">
        <v>1</v>
      </c>
      <c r="P5">
        <v>1</v>
      </c>
      <c r="Q5">
        <v>1.0236655473709106</v>
      </c>
      <c r="R5">
        <v>0.27816972136497498</v>
      </c>
      <c r="S5">
        <v>1.2545310258865356</v>
      </c>
      <c r="T5">
        <v>1.5098254680633545</v>
      </c>
      <c r="AE5">
        <v>2.8808425159863777E-2</v>
      </c>
      <c r="AF5">
        <v>3467.5670074481841</v>
      </c>
      <c r="AG5">
        <v>30.791347609377841</v>
      </c>
      <c r="AH5">
        <v>0.13941531217377104</v>
      </c>
      <c r="AI5">
        <v>1445.5869187512849</v>
      </c>
      <c r="AJ5">
        <v>70.105209818629461</v>
      </c>
    </row>
    <row r="6" spans="1:36" x14ac:dyDescent="0.25">
      <c r="A6" t="s">
        <v>1</v>
      </c>
      <c r="B6" t="s">
        <v>33</v>
      </c>
      <c r="C6">
        <v>2008</v>
      </c>
      <c r="D6" t="str">
        <f t="shared" si="0"/>
        <v>AGO2008</v>
      </c>
      <c r="E6">
        <v>5357.9340000000084</v>
      </c>
      <c r="F6">
        <v>4391.5292857142631</v>
      </c>
      <c r="G6">
        <v>0.81963109970092773</v>
      </c>
      <c r="H6">
        <v>179361.671875</v>
      </c>
      <c r="I6">
        <v>101338.609375</v>
      </c>
      <c r="J6">
        <v>929716.875</v>
      </c>
      <c r="K6">
        <v>4.2222023010253906E-2</v>
      </c>
      <c r="L6">
        <v>0.13784731924533844</v>
      </c>
      <c r="M6">
        <v>9.616764634847641E-2</v>
      </c>
      <c r="N6">
        <v>0.11164452135562897</v>
      </c>
      <c r="O6">
        <v>1</v>
      </c>
      <c r="P6">
        <v>1</v>
      </c>
      <c r="Q6">
        <v>1.0236655473709106</v>
      </c>
      <c r="R6">
        <v>0.27816972136497498</v>
      </c>
      <c r="S6">
        <v>1.2545310258865356</v>
      </c>
      <c r="T6">
        <v>1.5098254680633545</v>
      </c>
      <c r="AE6">
        <v>3.2163437295196391E-2</v>
      </c>
      <c r="AF6">
        <v>4030.7491047187009</v>
      </c>
      <c r="AG6">
        <v>35.792299483469073</v>
      </c>
      <c r="AH6">
        <v>0.15361410574381945</v>
      </c>
      <c r="AI6">
        <v>1658.3752111149272</v>
      </c>
      <c r="AJ6">
        <v>80.424594761588807</v>
      </c>
    </row>
    <row r="7" spans="1:36" x14ac:dyDescent="0.25">
      <c r="A7" t="s">
        <v>1</v>
      </c>
      <c r="B7" t="s">
        <v>33</v>
      </c>
      <c r="C7">
        <v>2009</v>
      </c>
      <c r="D7" t="str">
        <f t="shared" si="0"/>
        <v>AGO2009</v>
      </c>
      <c r="E7">
        <v>5579.5630000000001</v>
      </c>
      <c r="F7">
        <v>4647.7758571428712</v>
      </c>
      <c r="G7">
        <v>0.83300000429153442</v>
      </c>
      <c r="H7">
        <v>180901.59375</v>
      </c>
      <c r="I7">
        <v>104533.234375</v>
      </c>
      <c r="J7">
        <v>977683.25</v>
      </c>
      <c r="K7">
        <v>4.361296072602272E-2</v>
      </c>
      <c r="L7">
        <v>0.16987623274326324</v>
      </c>
      <c r="M7">
        <v>3.1524263322353363E-2</v>
      </c>
      <c r="N7">
        <v>8.5855685174465179E-3</v>
      </c>
      <c r="O7">
        <v>0</v>
      </c>
      <c r="P7">
        <v>1</v>
      </c>
      <c r="Q7">
        <v>1.0236655473709106</v>
      </c>
      <c r="R7">
        <v>0.27816972136497498</v>
      </c>
      <c r="S7">
        <v>1.2545310258865356</v>
      </c>
      <c r="T7">
        <v>1.5098254680633545</v>
      </c>
      <c r="AE7">
        <v>3.5734133037278341E-2</v>
      </c>
      <c r="AF7">
        <v>4569.6865218081375</v>
      </c>
      <c r="AG7">
        <v>40.577963124187931</v>
      </c>
      <c r="AH7">
        <v>0.16832297865950305</v>
      </c>
      <c r="AI7">
        <v>1854.2784725013089</v>
      </c>
      <c r="AJ7">
        <v>89.925122931496134</v>
      </c>
    </row>
    <row r="8" spans="1:36" x14ac:dyDescent="0.25">
      <c r="A8" t="s">
        <v>1</v>
      </c>
      <c r="B8" t="s">
        <v>33</v>
      </c>
      <c r="C8">
        <v>2010</v>
      </c>
      <c r="D8" t="str">
        <f t="shared" si="0"/>
        <v>AGO2010</v>
      </c>
      <c r="E8">
        <v>6341.8789999999999</v>
      </c>
      <c r="F8">
        <v>4904.0224285714212</v>
      </c>
      <c r="G8">
        <v>0.77327591180801392</v>
      </c>
      <c r="H8">
        <v>189691.96875</v>
      </c>
      <c r="I8">
        <v>109008.6875</v>
      </c>
      <c r="J8">
        <v>1013858.0625</v>
      </c>
      <c r="K8">
        <v>4.4675111770629883E-2</v>
      </c>
      <c r="L8">
        <v>0.14646269381046295</v>
      </c>
      <c r="M8">
        <v>4.2813684791326523E-2</v>
      </c>
      <c r="N8">
        <v>4.8592027276754379E-2</v>
      </c>
      <c r="O8">
        <v>0</v>
      </c>
      <c r="P8">
        <v>1</v>
      </c>
      <c r="Q8">
        <v>1.0236655473709106</v>
      </c>
      <c r="R8">
        <v>0.27816972136497498</v>
      </c>
      <c r="S8">
        <v>1.2545310258865356</v>
      </c>
      <c r="T8">
        <v>1.5098254680633545</v>
      </c>
      <c r="U8">
        <v>9049777</v>
      </c>
      <c r="V8">
        <v>67706.5546875</v>
      </c>
      <c r="W8">
        <v>3832226.5</v>
      </c>
      <c r="X8">
        <v>156583.59375</v>
      </c>
      <c r="Y8">
        <v>323</v>
      </c>
      <c r="Z8">
        <v>78</v>
      </c>
      <c r="AA8">
        <v>129</v>
      </c>
      <c r="AB8">
        <v>51</v>
      </c>
      <c r="AD8">
        <v>2010</v>
      </c>
      <c r="AE8">
        <v>2.4882089716718438E-2</v>
      </c>
      <c r="AF8">
        <v>2959.4625399176484</v>
      </c>
      <c r="AG8">
        <v>26.279474804034692</v>
      </c>
      <c r="AH8">
        <v>0.12231275657027579</v>
      </c>
      <c r="AI8">
        <v>1253.2166009427326</v>
      </c>
      <c r="AJ8">
        <v>60.776015345498436</v>
      </c>
    </row>
    <row r="9" spans="1:36" x14ac:dyDescent="0.25">
      <c r="A9" t="s">
        <v>1</v>
      </c>
      <c r="B9" t="s">
        <v>33</v>
      </c>
      <c r="C9">
        <v>2011</v>
      </c>
      <c r="D9" t="str">
        <f t="shared" si="0"/>
        <v>AGO2011</v>
      </c>
      <c r="E9">
        <v>6768.7539999999999</v>
      </c>
      <c r="F9">
        <v>5160.2690000000002</v>
      </c>
      <c r="G9">
        <v>0.76236617565155029</v>
      </c>
      <c r="H9">
        <v>196278.03125</v>
      </c>
      <c r="I9">
        <v>126104.9375</v>
      </c>
      <c r="J9">
        <v>1055288.875</v>
      </c>
      <c r="K9">
        <v>4.5748472213745117E-2</v>
      </c>
      <c r="L9">
        <v>0.15946745872497559</v>
      </c>
      <c r="M9">
        <v>0.15683382749557495</v>
      </c>
      <c r="N9">
        <v>3.471977636218071E-2</v>
      </c>
      <c r="O9">
        <v>0</v>
      </c>
      <c r="P9">
        <v>0</v>
      </c>
      <c r="Q9">
        <v>1.0236655473709106</v>
      </c>
      <c r="R9">
        <v>0.27816972136497498</v>
      </c>
      <c r="S9">
        <v>1.2545310258865356</v>
      </c>
      <c r="T9">
        <v>1.5098254680633545</v>
      </c>
      <c r="AE9">
        <v>2.3719683813581301E-2</v>
      </c>
      <c r="AF9">
        <v>2703.0897251327942</v>
      </c>
      <c r="AG9">
        <v>24.002932075176396</v>
      </c>
      <c r="AH9">
        <v>0.11714553249496505</v>
      </c>
      <c r="AI9">
        <v>1150.0207771800558</v>
      </c>
      <c r="AJ9">
        <v>55.771428776924566</v>
      </c>
    </row>
    <row r="10" spans="1:36" x14ac:dyDescent="0.25">
      <c r="A10" t="s">
        <v>1</v>
      </c>
      <c r="B10" t="s">
        <v>33</v>
      </c>
      <c r="C10">
        <v>2012</v>
      </c>
      <c r="D10" t="str">
        <f t="shared" si="0"/>
        <v>AGO2012</v>
      </c>
      <c r="E10">
        <v>7199.3297500000335</v>
      </c>
      <c r="F10">
        <v>5538.7284999999683</v>
      </c>
      <c r="G10">
        <v>0.76933944225311279</v>
      </c>
      <c r="H10">
        <v>213044.40625</v>
      </c>
      <c r="I10">
        <v>134424.484375</v>
      </c>
      <c r="J10">
        <v>1100664.125</v>
      </c>
      <c r="K10">
        <v>4.6596426516771317E-2</v>
      </c>
      <c r="L10">
        <v>0.15958088636398315</v>
      </c>
      <c r="M10">
        <v>6.5973207354545593E-2</v>
      </c>
      <c r="N10">
        <v>8.5421554744243622E-2</v>
      </c>
      <c r="O10">
        <v>1</v>
      </c>
      <c r="P10">
        <v>1</v>
      </c>
      <c r="Q10">
        <v>1.0236655473709106</v>
      </c>
      <c r="R10">
        <v>0.27816972136497498</v>
      </c>
      <c r="S10">
        <v>1.2545310258865356</v>
      </c>
      <c r="T10">
        <v>1.5098254680633545</v>
      </c>
      <c r="AE10">
        <v>2.5211087668021777E-2</v>
      </c>
      <c r="AF10">
        <v>2802.4183911781147</v>
      </c>
      <c r="AG10">
        <v>24.884952084366649</v>
      </c>
      <c r="AH10">
        <v>0.12376649867435609</v>
      </c>
      <c r="AI10">
        <v>1185.1488148430117</v>
      </c>
      <c r="AJ10">
        <v>57.474998737979213</v>
      </c>
    </row>
    <row r="11" spans="1:36" x14ac:dyDescent="0.25">
      <c r="A11" t="s">
        <v>1</v>
      </c>
      <c r="B11" t="s">
        <v>33</v>
      </c>
      <c r="C11">
        <v>2013</v>
      </c>
      <c r="D11" t="str">
        <f t="shared" si="0"/>
        <v>AGO2013</v>
      </c>
      <c r="E11">
        <v>7629.9054999999935</v>
      </c>
      <c r="F11">
        <v>5917.1879999999655</v>
      </c>
      <c r="G11">
        <v>0.77552574872970581</v>
      </c>
      <c r="H11">
        <v>223599.890625</v>
      </c>
      <c r="I11">
        <v>151481.734375</v>
      </c>
      <c r="J11">
        <v>1145196.125</v>
      </c>
      <c r="K11">
        <v>4.6937491744756699E-2</v>
      </c>
      <c r="L11">
        <v>0.21843759715557098</v>
      </c>
      <c r="M11">
        <v>0.12689094245433807</v>
      </c>
      <c r="N11">
        <v>4.9545936286449432E-2</v>
      </c>
      <c r="O11">
        <v>1</v>
      </c>
      <c r="P11">
        <v>1</v>
      </c>
      <c r="Q11">
        <v>1.0236655473709106</v>
      </c>
      <c r="R11">
        <v>0.27816972136497498</v>
      </c>
      <c r="S11">
        <v>1.2545310258865356</v>
      </c>
      <c r="T11">
        <v>1.5098254680633545</v>
      </c>
      <c r="AE11">
        <v>2.665378320692274E-2</v>
      </c>
      <c r="AF11">
        <v>2814.2438481031541</v>
      </c>
      <c r="AG11">
        <v>24.989959933973157</v>
      </c>
      <c r="AH11">
        <v>0.13009629949603163</v>
      </c>
      <c r="AI11">
        <v>1183.3036322981486</v>
      </c>
      <c r="AJ11">
        <v>57.385514731321877</v>
      </c>
    </row>
    <row r="12" spans="1:36" x14ac:dyDescent="0.25">
      <c r="A12" t="s">
        <v>1</v>
      </c>
      <c r="B12" t="s">
        <v>33</v>
      </c>
      <c r="C12">
        <v>2014</v>
      </c>
      <c r="D12" t="str">
        <f t="shared" si="0"/>
        <v>AGO2014</v>
      </c>
      <c r="E12">
        <v>8060.4812499999534</v>
      </c>
      <c r="F12">
        <v>6295.6474999999627</v>
      </c>
      <c r="G12">
        <v>0.78105103969573975</v>
      </c>
      <c r="H12">
        <v>234383.265625</v>
      </c>
      <c r="I12">
        <v>156220.28125</v>
      </c>
      <c r="J12">
        <v>1191334.875</v>
      </c>
      <c r="K12">
        <v>4.6876199543476105E-2</v>
      </c>
      <c r="L12">
        <v>0.20522922277450562</v>
      </c>
      <c r="M12">
        <v>3.1281307339668274E-2</v>
      </c>
      <c r="N12">
        <v>4.8226207494735718E-2</v>
      </c>
      <c r="O12">
        <v>1</v>
      </c>
      <c r="P12">
        <v>1</v>
      </c>
      <c r="Q12">
        <v>1.0236655473709106</v>
      </c>
      <c r="R12">
        <v>0.27816972136497498</v>
      </c>
      <c r="S12">
        <v>1.2545310258865356</v>
      </c>
      <c r="T12">
        <v>1.5098254680633545</v>
      </c>
      <c r="AE12">
        <v>2.8034737861053243E-2</v>
      </c>
      <c r="AF12">
        <v>2825.5452917309112</v>
      </c>
      <c r="AG12">
        <v>25.090314643336406</v>
      </c>
      <c r="AH12">
        <v>0.13608737205144494</v>
      </c>
      <c r="AI12">
        <v>1181.5496908680805</v>
      </c>
      <c r="AJ12">
        <v>57.300455555446973</v>
      </c>
    </row>
    <row r="13" spans="1:36" x14ac:dyDescent="0.25">
      <c r="A13" t="s">
        <v>1</v>
      </c>
      <c r="B13" t="s">
        <v>33</v>
      </c>
      <c r="C13">
        <v>2015</v>
      </c>
      <c r="D13" t="str">
        <f t="shared" si="0"/>
        <v>AGO2015</v>
      </c>
      <c r="E13">
        <v>8491.0570000000298</v>
      </c>
      <c r="F13">
        <v>6674.10699999996</v>
      </c>
      <c r="G13">
        <v>0.78601604700088501</v>
      </c>
      <c r="H13">
        <v>236594.859375</v>
      </c>
      <c r="I13">
        <v>155816.671875</v>
      </c>
      <c r="J13">
        <v>1233630</v>
      </c>
      <c r="K13">
        <v>4.6629298478364944E-2</v>
      </c>
      <c r="L13">
        <v>0.20888020098209381</v>
      </c>
      <c r="M13">
        <v>-2.5835915002971888E-3</v>
      </c>
      <c r="N13">
        <v>9.4358008354902267E-3</v>
      </c>
      <c r="O13">
        <v>1</v>
      </c>
      <c r="P13">
        <v>1</v>
      </c>
      <c r="Q13">
        <v>1.0236655473709106</v>
      </c>
      <c r="R13">
        <v>0.27816972136497498</v>
      </c>
      <c r="S13">
        <v>1.2545310258865356</v>
      </c>
      <c r="T13">
        <v>1.5098254680633545</v>
      </c>
      <c r="AE13">
        <v>2.939107196122245E-2</v>
      </c>
      <c r="AF13">
        <v>2737.9256974100899</v>
      </c>
      <c r="AG13">
        <v>24.312269004901719</v>
      </c>
      <c r="AH13">
        <v>0.14190810303262075</v>
      </c>
      <c r="AI13">
        <v>1138.7852049963806</v>
      </c>
      <c r="AJ13">
        <v>55.226548261507801</v>
      </c>
    </row>
    <row r="14" spans="1:36" x14ac:dyDescent="0.25">
      <c r="A14" t="s">
        <v>1</v>
      </c>
      <c r="B14" t="s">
        <v>33</v>
      </c>
      <c r="C14">
        <v>2016</v>
      </c>
      <c r="D14" t="str">
        <f t="shared" si="0"/>
        <v>AGO2016</v>
      </c>
      <c r="E14">
        <v>8921.6327499999898</v>
      </c>
      <c r="F14">
        <v>7052.5664999999572</v>
      </c>
      <c r="G14">
        <v>0.79050177335739136</v>
      </c>
      <c r="H14">
        <v>230491.171875</v>
      </c>
      <c r="I14">
        <v>159059.9375</v>
      </c>
      <c r="J14">
        <v>1267231.125</v>
      </c>
      <c r="K14">
        <v>4.6023968607187271E-2</v>
      </c>
      <c r="L14">
        <v>0.19202436506748199</v>
      </c>
      <c r="M14">
        <v>2.0814625546336174E-2</v>
      </c>
      <c r="N14">
        <v>-2.5798056274652481E-2</v>
      </c>
      <c r="O14">
        <v>1</v>
      </c>
      <c r="P14">
        <v>1</v>
      </c>
      <c r="Q14">
        <v>1.0236655473709106</v>
      </c>
      <c r="R14">
        <v>0.27816972136497498</v>
      </c>
      <c r="S14">
        <v>1.2545310258865356</v>
      </c>
      <c r="T14">
        <v>1.5098254680633545</v>
      </c>
      <c r="AE14">
        <v>3.0757506263310735E-2</v>
      </c>
      <c r="AF14">
        <v>2568.2656777844945</v>
      </c>
      <c r="AG14">
        <v>22.80571970722859</v>
      </c>
      <c r="AH14">
        <v>0.14770954168769296</v>
      </c>
      <c r="AI14">
        <v>1062.4922407262641</v>
      </c>
      <c r="AJ14">
        <v>51.526643262047905</v>
      </c>
    </row>
    <row r="15" spans="1:36" x14ac:dyDescent="0.25">
      <c r="A15" t="s">
        <v>1</v>
      </c>
      <c r="B15" t="s">
        <v>33</v>
      </c>
      <c r="C15">
        <v>2017</v>
      </c>
      <c r="D15" t="str">
        <f t="shared" si="0"/>
        <v>AGO2017</v>
      </c>
      <c r="E15">
        <v>9352.2084999999497</v>
      </c>
      <c r="F15">
        <v>7431.0259999999544</v>
      </c>
      <c r="G15">
        <v>0.79457443952560425</v>
      </c>
      <c r="H15">
        <v>230151.34375</v>
      </c>
      <c r="I15">
        <v>162864.453125</v>
      </c>
      <c r="J15">
        <v>1281953.25</v>
      </c>
      <c r="K15">
        <v>4.5117199420928955E-2</v>
      </c>
      <c r="L15">
        <v>0.19840905070304871</v>
      </c>
      <c r="M15">
        <v>2.3918755352497101E-2</v>
      </c>
      <c r="N15">
        <v>-1.4743650099262595E-3</v>
      </c>
      <c r="O15">
        <v>1</v>
      </c>
      <c r="P15">
        <v>1</v>
      </c>
      <c r="Q15">
        <v>1.0236655473709106</v>
      </c>
      <c r="R15">
        <v>0.27816972136497498</v>
      </c>
      <c r="S15">
        <v>1.2545310258865356</v>
      </c>
      <c r="T15">
        <v>1.5098254680633545</v>
      </c>
      <c r="AE15">
        <v>3.2207311031176973E-2</v>
      </c>
      <c r="AF15">
        <v>2481.5731006242545</v>
      </c>
      <c r="AG15">
        <v>22.03590580809988</v>
      </c>
      <c r="AH15">
        <v>0.15379732255373668</v>
      </c>
      <c r="AI15">
        <v>1020.8214102950039</v>
      </c>
      <c r="AJ15">
        <v>49.505773902477671</v>
      </c>
    </row>
    <row r="16" spans="1:36" x14ac:dyDescent="0.25">
      <c r="A16" t="s">
        <v>1</v>
      </c>
      <c r="B16" t="s">
        <v>33</v>
      </c>
      <c r="C16">
        <v>2018</v>
      </c>
      <c r="D16" t="str">
        <f t="shared" si="0"/>
        <v>AGO2018</v>
      </c>
      <c r="E16">
        <v>9782.7842500000261</v>
      </c>
      <c r="F16">
        <v>7809.4854999999516</v>
      </c>
      <c r="G16">
        <v>0.79828864336013794</v>
      </c>
      <c r="H16">
        <v>225540.046875</v>
      </c>
      <c r="I16">
        <v>157776.3125</v>
      </c>
      <c r="J16">
        <v>1292107.75</v>
      </c>
      <c r="K16">
        <v>4.4371817260980606E-2</v>
      </c>
      <c r="L16">
        <v>0.19373828172683716</v>
      </c>
      <c r="M16">
        <v>-3.1241565942764282E-2</v>
      </c>
      <c r="N16">
        <v>-2.0035933703184128E-2</v>
      </c>
      <c r="O16">
        <v>1</v>
      </c>
      <c r="P16">
        <v>1</v>
      </c>
      <c r="Q16">
        <v>1.0236655473709106</v>
      </c>
      <c r="R16">
        <v>0.27816972136497498</v>
      </c>
      <c r="S16">
        <v>1.2545310258865356</v>
      </c>
      <c r="T16">
        <v>1.5098254680633545</v>
      </c>
      <c r="AE16">
        <v>3.3653105495139481E-2</v>
      </c>
      <c r="AF16">
        <v>2357.4118886150095</v>
      </c>
      <c r="AG16">
        <v>20.933377427143871</v>
      </c>
      <c r="AH16">
        <v>0.15980007520255982</v>
      </c>
      <c r="AI16">
        <v>964.30782635370099</v>
      </c>
      <c r="AJ16">
        <v>46.765090095494898</v>
      </c>
    </row>
    <row r="17" spans="1:36" x14ac:dyDescent="0.25">
      <c r="A17" t="s">
        <v>1</v>
      </c>
      <c r="B17" t="s">
        <v>33</v>
      </c>
      <c r="C17">
        <v>2019</v>
      </c>
      <c r="D17" t="str">
        <f t="shared" si="0"/>
        <v>AGO2019</v>
      </c>
      <c r="E17">
        <v>10213.36</v>
      </c>
      <c r="F17">
        <v>8187.9449999999997</v>
      </c>
      <c r="G17">
        <v>0.80168962478637695</v>
      </c>
      <c r="H17">
        <v>222151.0625</v>
      </c>
      <c r="I17">
        <v>155270.703125</v>
      </c>
      <c r="J17">
        <v>1300951</v>
      </c>
      <c r="K17">
        <v>4.360642284154892E-2</v>
      </c>
      <c r="L17">
        <v>0.19972339272499084</v>
      </c>
      <c r="M17">
        <v>-1.5880770981311798E-2</v>
      </c>
      <c r="N17">
        <v>-1.5026086941361427E-2</v>
      </c>
      <c r="O17">
        <v>0</v>
      </c>
      <c r="P17">
        <v>0</v>
      </c>
      <c r="Q17">
        <v>1.0236655473709106</v>
      </c>
      <c r="R17">
        <v>0.27816972136497498</v>
      </c>
      <c r="S17">
        <v>1.2545310258865356</v>
      </c>
      <c r="T17">
        <v>1.5098254680633545</v>
      </c>
      <c r="AE17">
        <v>3.5075432474199565E-2</v>
      </c>
      <c r="AF17">
        <v>2253.2397631772283</v>
      </c>
      <c r="AG17">
        <v>20.008348402853166</v>
      </c>
      <c r="AH17">
        <v>0.1656400552469785</v>
      </c>
      <c r="AI17">
        <v>916.63857247799797</v>
      </c>
      <c r="AJ17">
        <v>44.453321082158489</v>
      </c>
    </row>
    <row r="18" spans="1:36" x14ac:dyDescent="0.25">
      <c r="A18" t="s">
        <v>1</v>
      </c>
      <c r="B18" t="s">
        <v>33</v>
      </c>
      <c r="C18">
        <v>2020</v>
      </c>
      <c r="D18" t="str">
        <f t="shared" si="0"/>
        <v>AGO2020</v>
      </c>
      <c r="E18">
        <v>10660.944999999949</v>
      </c>
      <c r="F18">
        <v>8705.8754999999655</v>
      </c>
      <c r="G18">
        <v>0.81661385297775269</v>
      </c>
      <c r="H18">
        <v>235424.81896793493</v>
      </c>
      <c r="I18">
        <v>176308.79578637541</v>
      </c>
      <c r="J18">
        <v>1285859.6433148757</v>
      </c>
      <c r="K18">
        <v>4.3652988970279694E-2</v>
      </c>
      <c r="L18">
        <v>0.21883045960803069</v>
      </c>
      <c r="M18">
        <v>0.13549299538135529</v>
      </c>
      <c r="N18">
        <v>5.9751037508249283E-2</v>
      </c>
      <c r="O18">
        <v>1</v>
      </c>
      <c r="P18">
        <v>1</v>
      </c>
      <c r="Q18">
        <v>1.0236655473709106</v>
      </c>
      <c r="R18">
        <v>0.27816972136497498</v>
      </c>
      <c r="S18">
        <v>1.2545310258865356</v>
      </c>
      <c r="T18">
        <v>1.5098254680633545</v>
      </c>
      <c r="AE18">
        <v>3.9829141124713148E-2</v>
      </c>
      <c r="AF18">
        <v>2471.6736895263157</v>
      </c>
      <c r="AG18">
        <v>21.948000885833043</v>
      </c>
      <c r="AH18">
        <v>0.18470180881863768</v>
      </c>
      <c r="AI18">
        <v>987.39228955567489</v>
      </c>
      <c r="AJ18">
        <v>47.884594647820776</v>
      </c>
    </row>
    <row r="19" spans="1:36" x14ac:dyDescent="0.25">
      <c r="A19" t="s">
        <v>1</v>
      </c>
      <c r="B19" t="s">
        <v>33</v>
      </c>
      <c r="C19">
        <v>2021</v>
      </c>
      <c r="D19" t="str">
        <f t="shared" si="0"/>
        <v>AGO2021</v>
      </c>
      <c r="E19">
        <v>11108.53</v>
      </c>
      <c r="F19">
        <v>9223.8060000000005</v>
      </c>
      <c r="G19">
        <v>0.83033543825149536</v>
      </c>
      <c r="H19">
        <v>233979.7149539995</v>
      </c>
      <c r="I19">
        <v>157140.06790220831</v>
      </c>
      <c r="J19">
        <v>1285399.4053941737</v>
      </c>
      <c r="K19">
        <v>4.3652988970279694E-2</v>
      </c>
      <c r="L19">
        <v>0.12784527885324515</v>
      </c>
      <c r="M19">
        <v>-0.10872247070074081</v>
      </c>
      <c r="N19">
        <v>-6.1382823623716831E-3</v>
      </c>
      <c r="O19">
        <v>0</v>
      </c>
      <c r="P19">
        <v>0</v>
      </c>
      <c r="Q19">
        <v>1.0236655473709106</v>
      </c>
      <c r="R19">
        <v>0.27816972136497498</v>
      </c>
      <c r="S19">
        <v>1.2545310258865356</v>
      </c>
      <c r="T19">
        <v>1.5098254680633545</v>
      </c>
      <c r="AE19">
        <v>4.4888388551208136E-2</v>
      </c>
      <c r="AF19">
        <v>2537.2134910807317</v>
      </c>
      <c r="AG19">
        <v>22.529982086939459</v>
      </c>
      <c r="AH19">
        <v>0.20424877306848552</v>
      </c>
      <c r="AI19">
        <v>994.51386716593436</v>
      </c>
      <c r="AJ19">
        <v>48.229962806684696</v>
      </c>
    </row>
    <row r="20" spans="1:36" x14ac:dyDescent="0.25">
      <c r="A20" t="s">
        <v>1</v>
      </c>
      <c r="B20" t="s">
        <v>33</v>
      </c>
      <c r="C20">
        <v>2022</v>
      </c>
      <c r="D20" t="str">
        <f t="shared" si="0"/>
        <v>AGO2022</v>
      </c>
      <c r="E20">
        <v>11779.614</v>
      </c>
      <c r="F20">
        <v>9566.81</v>
      </c>
      <c r="G20">
        <v>0.81214970350265503</v>
      </c>
      <c r="H20">
        <v>231660.12666701403</v>
      </c>
      <c r="I20">
        <v>167049.2913991742</v>
      </c>
      <c r="J20">
        <v>1290112.6058905977</v>
      </c>
      <c r="K20">
        <v>4.3652988970279694E-2</v>
      </c>
      <c r="L20">
        <v>0.20408331372688332</v>
      </c>
      <c r="M20">
        <v>6.3059814274311066E-2</v>
      </c>
      <c r="N20">
        <v>-9.9136298522353172E-3</v>
      </c>
      <c r="O20">
        <v>0</v>
      </c>
      <c r="P20">
        <v>0</v>
      </c>
      <c r="Q20">
        <v>1.0236655473709106</v>
      </c>
      <c r="R20">
        <v>0.27816972136497498</v>
      </c>
      <c r="S20">
        <v>1.2545310258865356</v>
      </c>
      <c r="T20">
        <v>1.5098254680633545</v>
      </c>
      <c r="AE20">
        <v>4.0394941631053081E-2</v>
      </c>
      <c r="AF20">
        <v>2139.3496897092009</v>
      </c>
      <c r="AG20">
        <v>18.997025814456432</v>
      </c>
      <c r="AH20">
        <v>0.18692497348980014</v>
      </c>
      <c r="AI20">
        <v>852.80651789597573</v>
      </c>
      <c r="AJ20">
        <v>41.357720588282689</v>
      </c>
    </row>
    <row r="21" spans="1:36" x14ac:dyDescent="0.25">
      <c r="A21" t="s">
        <v>2</v>
      </c>
      <c r="B21" t="s">
        <v>34</v>
      </c>
      <c r="C21">
        <v>2004</v>
      </c>
      <c r="D21" t="str">
        <f t="shared" si="0"/>
        <v>ARG2004</v>
      </c>
      <c r="E21">
        <v>9254.7240000000002</v>
      </c>
      <c r="F21">
        <v>5084.9949999999999</v>
      </c>
      <c r="G21">
        <v>0.54944860935211182</v>
      </c>
      <c r="H21">
        <v>683876.5</v>
      </c>
      <c r="I21">
        <v>510572.40625</v>
      </c>
      <c r="J21">
        <v>2123082.75</v>
      </c>
      <c r="K21">
        <v>2.9611015692353249E-2</v>
      </c>
      <c r="L21">
        <v>0.10926710069179535</v>
      </c>
      <c r="M21">
        <v>8.4636159241199493E-2</v>
      </c>
      <c r="N21">
        <v>9.0295650064945221E-2</v>
      </c>
      <c r="O21">
        <v>0</v>
      </c>
      <c r="P21">
        <v>0</v>
      </c>
      <c r="Q21">
        <v>1.0437674522399902</v>
      </c>
      <c r="R21">
        <v>0.24311546981334686</v>
      </c>
      <c r="S21">
        <v>1.3021923303604126</v>
      </c>
      <c r="T21">
        <v>0.94363558292388916</v>
      </c>
      <c r="AE21">
        <v>3.1360869461483622E-2</v>
      </c>
      <c r="AF21">
        <v>72.484419032633994</v>
      </c>
      <c r="AG21">
        <v>8890.0829217528917</v>
      </c>
      <c r="AH21">
        <v>4.7615680782275537E-2</v>
      </c>
      <c r="AI21">
        <v>46.967968700350468</v>
      </c>
      <c r="AJ21">
        <v>8895.5868450628932</v>
      </c>
    </row>
    <row r="22" spans="1:36" x14ac:dyDescent="0.25">
      <c r="A22" t="s">
        <v>2</v>
      </c>
      <c r="B22" t="s">
        <v>34</v>
      </c>
      <c r="C22">
        <v>2005</v>
      </c>
      <c r="D22" t="str">
        <f t="shared" si="0"/>
        <v>ARG2005</v>
      </c>
      <c r="E22">
        <v>9525.5540000000001</v>
      </c>
      <c r="F22">
        <v>5199.1940000000004</v>
      </c>
      <c r="G22">
        <v>0.54581540822982788</v>
      </c>
      <c r="H22">
        <v>744411</v>
      </c>
      <c r="I22">
        <v>550239.25</v>
      </c>
      <c r="J22">
        <v>2178518</v>
      </c>
      <c r="K22">
        <v>2.9900798574090004E-2</v>
      </c>
      <c r="L22">
        <v>0.10612010955810547</v>
      </c>
      <c r="M22">
        <v>7.7690929174423218E-2</v>
      </c>
      <c r="N22">
        <v>8.8516712188720703E-2</v>
      </c>
      <c r="O22">
        <v>0</v>
      </c>
      <c r="P22">
        <v>0</v>
      </c>
      <c r="Q22">
        <v>1.0437674522399902</v>
      </c>
      <c r="R22">
        <v>0.24311546981334686</v>
      </c>
      <c r="S22">
        <v>1.3021923303604126</v>
      </c>
      <c r="T22">
        <v>0.94363558292388916</v>
      </c>
      <c r="AE22">
        <v>3.0645950852828247E-2</v>
      </c>
      <c r="AF22">
        <v>75.626171947668126</v>
      </c>
      <c r="AG22">
        <v>9275.413235592303</v>
      </c>
      <c r="AH22">
        <v>4.6548016036030031E-2</v>
      </c>
      <c r="AI22">
        <v>49.022494291066344</v>
      </c>
      <c r="AJ22">
        <v>9284.7075867798067</v>
      </c>
    </row>
    <row r="23" spans="1:36" x14ac:dyDescent="0.25">
      <c r="A23" t="s">
        <v>2</v>
      </c>
      <c r="B23" t="s">
        <v>34</v>
      </c>
      <c r="C23">
        <v>2006</v>
      </c>
      <c r="D23" t="str">
        <f t="shared" si="0"/>
        <v>ARG2006</v>
      </c>
      <c r="E23">
        <v>9926.0450000000001</v>
      </c>
      <c r="F23">
        <v>5276.0119999999997</v>
      </c>
      <c r="G23">
        <v>0.5315321683883667</v>
      </c>
      <c r="H23">
        <v>804314.8125</v>
      </c>
      <c r="I23">
        <v>603854.8125</v>
      </c>
      <c r="J23">
        <v>2248314.25</v>
      </c>
      <c r="K23">
        <v>3.045247495174408E-2</v>
      </c>
      <c r="L23">
        <v>0.11258554458618164</v>
      </c>
      <c r="M23">
        <v>9.7440451383590698E-2</v>
      </c>
      <c r="N23">
        <v>8.0471426248550415E-2</v>
      </c>
      <c r="O23">
        <v>0</v>
      </c>
      <c r="P23">
        <v>0</v>
      </c>
      <c r="Q23">
        <v>1.0437674522399902</v>
      </c>
      <c r="R23">
        <v>0.24311546981334686</v>
      </c>
      <c r="S23">
        <v>1.3021923303604126</v>
      </c>
      <c r="T23">
        <v>0.94363558292388916</v>
      </c>
      <c r="AE23">
        <v>2.8657567206643472E-2</v>
      </c>
      <c r="AF23">
        <v>75.921138714886609</v>
      </c>
      <c r="AG23">
        <v>9311.5903762072139</v>
      </c>
      <c r="AH23">
        <v>4.3574247533626154E-2</v>
      </c>
      <c r="AI23">
        <v>49.266136095940738</v>
      </c>
      <c r="AJ23">
        <v>9330.8525850482092</v>
      </c>
    </row>
    <row r="24" spans="1:36" x14ac:dyDescent="0.25">
      <c r="A24" t="s">
        <v>2</v>
      </c>
      <c r="B24" t="s">
        <v>34</v>
      </c>
      <c r="C24">
        <v>2007</v>
      </c>
      <c r="D24" t="str">
        <f t="shared" si="0"/>
        <v>ARG2007</v>
      </c>
      <c r="E24">
        <v>10116</v>
      </c>
      <c r="F24">
        <v>5231.2899999999936</v>
      </c>
      <c r="G24">
        <v>0.51713031530380249</v>
      </c>
      <c r="H24">
        <v>876764.6875</v>
      </c>
      <c r="I24">
        <v>658707.0625</v>
      </c>
      <c r="J24">
        <v>2341533.5</v>
      </c>
      <c r="K24">
        <v>3.1255185604095459E-2</v>
      </c>
      <c r="L24">
        <v>0.1245415061712265</v>
      </c>
      <c r="M24">
        <v>9.0836815536022186E-2</v>
      </c>
      <c r="N24">
        <v>9.0076513588428497E-2</v>
      </c>
      <c r="O24">
        <v>0</v>
      </c>
      <c r="P24">
        <v>1</v>
      </c>
      <c r="Q24">
        <v>1.0437674522399902</v>
      </c>
      <c r="R24">
        <v>0.24311546981334686</v>
      </c>
      <c r="S24">
        <v>1.3021923303604126</v>
      </c>
      <c r="T24">
        <v>0.94363558292388916</v>
      </c>
      <c r="AE24">
        <v>2.6790252979629375E-2</v>
      </c>
      <c r="AF24">
        <v>77.304022882164134</v>
      </c>
      <c r="AG24">
        <v>9481.1986186729682</v>
      </c>
      <c r="AH24">
        <v>4.0775770978270384E-2</v>
      </c>
      <c r="AI24">
        <v>50.213752087131908</v>
      </c>
      <c r="AJ24">
        <v>9510.3280995034147</v>
      </c>
    </row>
    <row r="25" spans="1:36" x14ac:dyDescent="0.25">
      <c r="A25" t="s">
        <v>2</v>
      </c>
      <c r="B25" t="s">
        <v>34</v>
      </c>
      <c r="C25">
        <v>2008</v>
      </c>
      <c r="D25" t="str">
        <f t="shared" si="0"/>
        <v>ARG2008</v>
      </c>
      <c r="E25">
        <v>10279.805</v>
      </c>
      <c r="F25">
        <v>5186.5680000000002</v>
      </c>
      <c r="G25">
        <v>0.50453954935073853</v>
      </c>
      <c r="H25">
        <v>912337.0625</v>
      </c>
      <c r="I25">
        <v>703837.3125</v>
      </c>
      <c r="J25">
        <v>2440415</v>
      </c>
      <c r="K25">
        <v>3.2233431935310364E-2</v>
      </c>
      <c r="L25">
        <v>0.13885340094566345</v>
      </c>
      <c r="M25">
        <v>6.8513385951519012E-2</v>
      </c>
      <c r="N25">
        <v>4.0572315454483032E-2</v>
      </c>
      <c r="O25">
        <v>0</v>
      </c>
      <c r="P25">
        <v>0</v>
      </c>
      <c r="Q25">
        <v>1.0437674522399902</v>
      </c>
      <c r="R25">
        <v>0.24311546981334686</v>
      </c>
      <c r="S25">
        <v>1.3021923303604126</v>
      </c>
      <c r="T25">
        <v>0.94363558292388916</v>
      </c>
      <c r="AE25">
        <v>2.522546190291362E-2</v>
      </c>
      <c r="AF25">
        <v>79.990782107285455</v>
      </c>
      <c r="AG25">
        <v>9810.7247792035414</v>
      </c>
      <c r="AH25">
        <v>3.8426353999203973E-2</v>
      </c>
      <c r="AI25">
        <v>52.002617914431958</v>
      </c>
      <c r="AJ25">
        <v>9849.133710247108</v>
      </c>
    </row>
    <row r="26" spans="1:36" x14ac:dyDescent="0.25">
      <c r="A26" t="s">
        <v>2</v>
      </c>
      <c r="B26" t="s">
        <v>34</v>
      </c>
      <c r="C26">
        <v>2009</v>
      </c>
      <c r="D26" t="str">
        <f t="shared" si="0"/>
        <v>ARG2009</v>
      </c>
      <c r="E26">
        <v>10401.878000000001</v>
      </c>
      <c r="F26">
        <v>5206.2259999999997</v>
      </c>
      <c r="G26">
        <v>0.50050824880599976</v>
      </c>
      <c r="H26">
        <v>858340.1875</v>
      </c>
      <c r="I26">
        <v>679907.375</v>
      </c>
      <c r="J26">
        <v>2491847.75</v>
      </c>
      <c r="K26">
        <v>3.277076780796051E-2</v>
      </c>
      <c r="L26">
        <v>0.1791757345199585</v>
      </c>
      <c r="M26">
        <v>-3.39992456138134E-2</v>
      </c>
      <c r="N26">
        <v>-5.9185225516557693E-2</v>
      </c>
      <c r="O26">
        <v>0</v>
      </c>
      <c r="P26">
        <v>0</v>
      </c>
      <c r="Q26">
        <v>1.0437674522399902</v>
      </c>
      <c r="R26">
        <v>0.24311546981334686</v>
      </c>
      <c r="S26">
        <v>1.3021923303604126</v>
      </c>
      <c r="T26">
        <v>0.94363558292388916</v>
      </c>
      <c r="AE26">
        <v>2.4683357703696455E-2</v>
      </c>
      <c r="AF26">
        <v>81.157186504979521</v>
      </c>
      <c r="AG26">
        <v>9953.7821693873411</v>
      </c>
      <c r="AH26">
        <v>3.7611504108790959E-2</v>
      </c>
      <c r="AI26">
        <v>52.776265968176162</v>
      </c>
      <c r="AJ26">
        <v>9995.6602397102415</v>
      </c>
    </row>
    <row r="27" spans="1:36" x14ac:dyDescent="0.25">
      <c r="A27" t="s">
        <v>2</v>
      </c>
      <c r="B27" t="s">
        <v>34</v>
      </c>
      <c r="C27">
        <v>2010</v>
      </c>
      <c r="D27" t="str">
        <f t="shared" si="0"/>
        <v>ARG2010</v>
      </c>
      <c r="E27">
        <v>10531.925999999999</v>
      </c>
      <c r="F27">
        <v>5143.1580000000004</v>
      </c>
      <c r="G27">
        <v>0.48833975195884705</v>
      </c>
      <c r="H27">
        <v>945250.5625</v>
      </c>
      <c r="I27">
        <v>748158.9375</v>
      </c>
      <c r="J27">
        <v>2575677</v>
      </c>
      <c r="K27">
        <v>3.3220283687114716E-2</v>
      </c>
      <c r="L27">
        <v>0.19804839789867401</v>
      </c>
      <c r="M27">
        <v>0.10038361698389053</v>
      </c>
      <c r="N27">
        <v>0.10125399380922318</v>
      </c>
      <c r="O27">
        <v>0</v>
      </c>
      <c r="P27">
        <v>0</v>
      </c>
      <c r="Q27">
        <v>1.0437674522399902</v>
      </c>
      <c r="R27">
        <v>0.24311546981334686</v>
      </c>
      <c r="S27">
        <v>1.3021923303604126</v>
      </c>
      <c r="T27">
        <v>0.94363558292388916</v>
      </c>
      <c r="U27">
        <v>149725.265625</v>
      </c>
      <c r="V27">
        <v>3747.846923828125</v>
      </c>
      <c r="W27">
        <v>97436.5234375</v>
      </c>
      <c r="X27">
        <v>3766.345947265625</v>
      </c>
      <c r="Y27">
        <v>971</v>
      </c>
      <c r="Z27">
        <v>308</v>
      </c>
      <c r="AA27">
        <v>658</v>
      </c>
      <c r="AB27">
        <v>246</v>
      </c>
      <c r="AD27">
        <v>2010</v>
      </c>
      <c r="AE27">
        <v>2.3333160810626447E-2</v>
      </c>
      <c r="AF27">
        <v>73.012169632357057</v>
      </c>
      <c r="AG27">
        <v>8954.8105784846157</v>
      </c>
      <c r="AH27">
        <v>3.5579926733537465E-2</v>
      </c>
      <c r="AI27">
        <v>47.514038114473266</v>
      </c>
      <c r="AJ27">
        <v>8999.0106896782054</v>
      </c>
    </row>
    <row r="28" spans="1:36" x14ac:dyDescent="0.25">
      <c r="A28" t="s">
        <v>2</v>
      </c>
      <c r="B28" t="s">
        <v>34</v>
      </c>
      <c r="C28">
        <v>2011</v>
      </c>
      <c r="D28" t="str">
        <f t="shared" si="0"/>
        <v>ARG2011</v>
      </c>
      <c r="E28">
        <v>10765.734</v>
      </c>
      <c r="F28">
        <v>5179.1019999999999</v>
      </c>
      <c r="G28">
        <v>0.4810728132724762</v>
      </c>
      <c r="H28">
        <v>1002002.9375</v>
      </c>
      <c r="I28">
        <v>811162.5625</v>
      </c>
      <c r="J28">
        <v>2680221.75</v>
      </c>
      <c r="K28">
        <v>3.4203846007585526E-2</v>
      </c>
      <c r="L28">
        <v>0.23071858286857605</v>
      </c>
      <c r="M28">
        <v>8.4211550652980804E-2</v>
      </c>
      <c r="N28">
        <v>6.0039505362510681E-2</v>
      </c>
      <c r="O28">
        <v>0</v>
      </c>
      <c r="P28">
        <v>0</v>
      </c>
      <c r="Q28">
        <v>1.0437674522399902</v>
      </c>
      <c r="R28">
        <v>0.24311546981334686</v>
      </c>
      <c r="S28">
        <v>1.3021923303604126</v>
      </c>
      <c r="T28">
        <v>0.94363558292388916</v>
      </c>
      <c r="AE28">
        <v>2.2422577791588086E-2</v>
      </c>
      <c r="AF28">
        <v>73.888211054260381</v>
      </c>
      <c r="AG28">
        <v>9062.2554747471422</v>
      </c>
      <c r="AH28">
        <v>3.4208150116048816E-2</v>
      </c>
      <c r="AI28">
        <v>48.107680059218424</v>
      </c>
      <c r="AJ28">
        <v>9111.4446232818354</v>
      </c>
    </row>
    <row r="29" spans="1:36" x14ac:dyDescent="0.25">
      <c r="A29" t="s">
        <v>2</v>
      </c>
      <c r="B29" t="s">
        <v>34</v>
      </c>
      <c r="C29">
        <v>2012</v>
      </c>
      <c r="D29" t="str">
        <f t="shared" si="0"/>
        <v>ARG2012</v>
      </c>
      <c r="E29">
        <v>10843.566000000001</v>
      </c>
      <c r="F29">
        <v>5223.4679999999998</v>
      </c>
      <c r="G29">
        <v>0.48171126842498779</v>
      </c>
      <c r="H29">
        <v>991718.125</v>
      </c>
      <c r="I29">
        <v>823229.9375</v>
      </c>
      <c r="J29">
        <v>2762770.5</v>
      </c>
      <c r="K29">
        <v>3.5068809986114502E-2</v>
      </c>
      <c r="L29">
        <v>0.24096070230007172</v>
      </c>
      <c r="M29">
        <v>1.4876642264425755E-2</v>
      </c>
      <c r="N29">
        <v>-1.0264254175126553E-2</v>
      </c>
      <c r="O29">
        <v>0</v>
      </c>
      <c r="P29">
        <v>0</v>
      </c>
      <c r="Q29">
        <v>1.0437674522399902</v>
      </c>
      <c r="R29">
        <v>0.24311546981334686</v>
      </c>
      <c r="S29">
        <v>1.3021923303604126</v>
      </c>
      <c r="T29">
        <v>0.94363558292388916</v>
      </c>
      <c r="AE29">
        <v>2.2301035707468653E-2</v>
      </c>
      <c r="AF29">
        <v>72.150314344189198</v>
      </c>
      <c r="AG29">
        <v>8849.1055858721502</v>
      </c>
      <c r="AH29">
        <v>3.4024947578752358E-2</v>
      </c>
      <c r="AI29">
        <v>46.979227540888793</v>
      </c>
      <c r="AJ29">
        <v>8897.719234360422</v>
      </c>
    </row>
    <row r="30" spans="1:36" x14ac:dyDescent="0.25">
      <c r="A30" t="s">
        <v>2</v>
      </c>
      <c r="B30" t="s">
        <v>34</v>
      </c>
      <c r="C30">
        <v>2013</v>
      </c>
      <c r="D30" t="str">
        <f t="shared" si="0"/>
        <v>ARG2013</v>
      </c>
      <c r="E30">
        <v>10942.848</v>
      </c>
      <c r="F30">
        <v>5276.2039999999997</v>
      </c>
      <c r="G30">
        <v>0.48216003179550171</v>
      </c>
      <c r="H30">
        <v>1015572.1875</v>
      </c>
      <c r="I30">
        <v>855990.5625</v>
      </c>
      <c r="J30">
        <v>2845065.75</v>
      </c>
      <c r="K30">
        <v>3.5643395036458969E-2</v>
      </c>
      <c r="L30">
        <v>0.257658451795578</v>
      </c>
      <c r="M30">
        <v>3.9795231074094772E-2</v>
      </c>
      <c r="N30">
        <v>2.4053268134593964E-2</v>
      </c>
      <c r="O30">
        <v>0</v>
      </c>
      <c r="P30">
        <v>0</v>
      </c>
      <c r="Q30">
        <v>1.0437674522399902</v>
      </c>
      <c r="R30">
        <v>0.24311546981334686</v>
      </c>
      <c r="S30">
        <v>1.3021923303604126</v>
      </c>
      <c r="T30">
        <v>0.94363558292388916</v>
      </c>
      <c r="AE30">
        <v>2.2164826906783175E-2</v>
      </c>
      <c r="AF30">
        <v>72.741682806538478</v>
      </c>
      <c r="AG30">
        <v>8921.6358584156551</v>
      </c>
      <c r="AH30">
        <v>3.3819609182975378E-2</v>
      </c>
      <c r="AI30">
        <v>47.367754441238333</v>
      </c>
      <c r="AJ30">
        <v>8971.305018019757</v>
      </c>
    </row>
    <row r="31" spans="1:36" x14ac:dyDescent="0.25">
      <c r="A31" t="s">
        <v>2</v>
      </c>
      <c r="B31" t="s">
        <v>34</v>
      </c>
      <c r="C31">
        <v>2014</v>
      </c>
      <c r="D31" t="str">
        <f t="shared" si="0"/>
        <v>ARG2014</v>
      </c>
      <c r="E31">
        <v>11047.223</v>
      </c>
      <c r="F31">
        <v>5284.5060000000003</v>
      </c>
      <c r="G31">
        <v>0.47835606336593628</v>
      </c>
      <c r="H31">
        <v>990054.75</v>
      </c>
      <c r="I31">
        <v>831096.4375</v>
      </c>
      <c r="J31">
        <v>2911932.75</v>
      </c>
      <c r="K31">
        <v>3.5970751196146011E-2</v>
      </c>
      <c r="L31">
        <v>0.26967298984527588</v>
      </c>
      <c r="M31">
        <v>-2.9082242399454117E-2</v>
      </c>
      <c r="N31">
        <v>-2.5126168504357338E-2</v>
      </c>
      <c r="O31">
        <v>0</v>
      </c>
      <c r="P31">
        <v>0</v>
      </c>
      <c r="Q31">
        <v>1.0437674522399902</v>
      </c>
      <c r="R31">
        <v>0.24311546981334686</v>
      </c>
      <c r="S31">
        <v>1.3021923303604126</v>
      </c>
      <c r="T31">
        <v>0.94363558292388916</v>
      </c>
      <c r="AE31">
        <v>2.1699101260162518E-2</v>
      </c>
      <c r="AF31">
        <v>69.321001594131076</v>
      </c>
      <c r="AG31">
        <v>8502.0954932856985</v>
      </c>
      <c r="AH31">
        <v>3.3117288048700927E-2</v>
      </c>
      <c r="AI31">
        <v>45.151591239230498</v>
      </c>
      <c r="AJ31">
        <v>8551.5706166436503</v>
      </c>
    </row>
    <row r="32" spans="1:36" x14ac:dyDescent="0.25">
      <c r="A32" t="s">
        <v>2</v>
      </c>
      <c r="B32" t="s">
        <v>34</v>
      </c>
      <c r="C32">
        <v>2015</v>
      </c>
      <c r="D32" t="str">
        <f t="shared" si="0"/>
        <v>ARG2015</v>
      </c>
      <c r="E32">
        <v>11220.887666666647</v>
      </c>
      <c r="F32">
        <v>5422.7053333333461</v>
      </c>
      <c r="G32">
        <v>0.48326882719993591</v>
      </c>
      <c r="H32">
        <v>1017094.75</v>
      </c>
      <c r="I32">
        <v>867171.1875</v>
      </c>
      <c r="J32">
        <v>2981900.25</v>
      </c>
      <c r="K32">
        <v>3.6058284342288971E-2</v>
      </c>
      <c r="L32">
        <v>0.28926387429237366</v>
      </c>
      <c r="M32">
        <v>4.3406214565038681E-2</v>
      </c>
      <c r="N32">
        <v>2.7311621233820915E-2</v>
      </c>
      <c r="O32">
        <v>1</v>
      </c>
      <c r="P32">
        <v>1</v>
      </c>
      <c r="Q32">
        <v>1.0437674522399902</v>
      </c>
      <c r="R32">
        <v>0.24311546981334686</v>
      </c>
      <c r="S32">
        <v>1.3021923303604126</v>
      </c>
      <c r="T32">
        <v>0.94363558292388916</v>
      </c>
      <c r="AE32">
        <v>2.1959263201039778E-2</v>
      </c>
      <c r="AF32">
        <v>70.333685181721208</v>
      </c>
      <c r="AG32">
        <v>8626.2993040815218</v>
      </c>
      <c r="AH32">
        <v>3.3509659460038373E-2</v>
      </c>
      <c r="AI32">
        <v>45.804783600843685</v>
      </c>
      <c r="AJ32">
        <v>8675.2832135484095</v>
      </c>
    </row>
    <row r="33" spans="1:36" x14ac:dyDescent="0.25">
      <c r="A33" t="s">
        <v>2</v>
      </c>
      <c r="B33" t="s">
        <v>34</v>
      </c>
      <c r="C33">
        <v>2016</v>
      </c>
      <c r="D33" t="str">
        <f t="shared" si="0"/>
        <v>ARG2016</v>
      </c>
      <c r="E33">
        <v>11394.552333333297</v>
      </c>
      <c r="F33">
        <v>5560.90466666664</v>
      </c>
      <c r="G33">
        <v>0.48803186416625977</v>
      </c>
      <c r="H33">
        <v>995935.8125</v>
      </c>
      <c r="I33">
        <v>860878.3125</v>
      </c>
      <c r="J33">
        <v>3038861.25</v>
      </c>
      <c r="K33">
        <v>3.6223489791154861E-2</v>
      </c>
      <c r="L33">
        <v>0.28847378492355347</v>
      </c>
      <c r="M33">
        <v>-7.2567849420011044E-3</v>
      </c>
      <c r="N33">
        <v>-2.0803309977054596E-2</v>
      </c>
      <c r="O33">
        <v>1</v>
      </c>
      <c r="P33">
        <v>1</v>
      </c>
      <c r="Q33">
        <v>1.0437674522399902</v>
      </c>
      <c r="R33">
        <v>0.24311546981334686</v>
      </c>
      <c r="S33">
        <v>1.3021923303604126</v>
      </c>
      <c r="T33">
        <v>0.94363558292388916</v>
      </c>
      <c r="AE33">
        <v>2.2235474739700022E-2</v>
      </c>
      <c r="AF33">
        <v>68.100223899659582</v>
      </c>
      <c r="AG33">
        <v>8352.3693165746481</v>
      </c>
      <c r="AH33">
        <v>3.3926116427856576E-2</v>
      </c>
      <c r="AI33">
        <v>44.343655739136913</v>
      </c>
      <c r="AJ33">
        <v>8398.5501517360808</v>
      </c>
    </row>
    <row r="34" spans="1:36" x14ac:dyDescent="0.25">
      <c r="A34" t="s">
        <v>2</v>
      </c>
      <c r="B34" t="s">
        <v>34</v>
      </c>
      <c r="C34">
        <v>2017</v>
      </c>
      <c r="D34" t="str">
        <f t="shared" si="0"/>
        <v>ARG2017</v>
      </c>
      <c r="E34">
        <v>11568.217000000001</v>
      </c>
      <c r="F34">
        <v>5699.1040000000003</v>
      </c>
      <c r="G34">
        <v>0.49265187978744507</v>
      </c>
      <c r="H34">
        <v>1022513.25</v>
      </c>
      <c r="I34">
        <v>892869.75</v>
      </c>
      <c r="J34">
        <v>3112554.75</v>
      </c>
      <c r="K34">
        <v>3.6519255489110947E-2</v>
      </c>
      <c r="L34">
        <v>0.2227872759103775</v>
      </c>
      <c r="M34">
        <v>3.7161394953727722E-2</v>
      </c>
      <c r="N34">
        <v>2.6685893535614014E-2</v>
      </c>
      <c r="O34">
        <v>0</v>
      </c>
      <c r="P34">
        <v>0</v>
      </c>
      <c r="Q34">
        <v>1.0437674522399902</v>
      </c>
      <c r="R34">
        <v>0.24311546981334686</v>
      </c>
      <c r="S34">
        <v>1.3021923303604126</v>
      </c>
      <c r="T34">
        <v>0.94363558292388916</v>
      </c>
      <c r="AE34">
        <v>2.2476171248381832E-2</v>
      </c>
      <c r="AF34">
        <v>69.056066495663899</v>
      </c>
      <c r="AG34">
        <v>8469.6016825372717</v>
      </c>
      <c r="AH34">
        <v>3.4288924876597793E-2</v>
      </c>
      <c r="AI34">
        <v>44.960236278784897</v>
      </c>
      <c r="AJ34">
        <v>8515.3285837012136</v>
      </c>
    </row>
    <row r="35" spans="1:36" x14ac:dyDescent="0.25">
      <c r="A35" t="s">
        <v>2</v>
      </c>
      <c r="B35" t="s">
        <v>34</v>
      </c>
      <c r="C35">
        <v>2018</v>
      </c>
      <c r="D35" t="str">
        <f t="shared" si="0"/>
        <v>ARG2018</v>
      </c>
      <c r="E35">
        <v>11744.699000000001</v>
      </c>
      <c r="F35">
        <v>5787.7619999999997</v>
      </c>
      <c r="G35">
        <v>0.49279782176017761</v>
      </c>
      <c r="H35">
        <v>997136.625</v>
      </c>
      <c r="I35">
        <v>869969.1875</v>
      </c>
      <c r="J35">
        <v>3173218.5</v>
      </c>
      <c r="K35">
        <v>3.6666091531515121E-2</v>
      </c>
      <c r="L35">
        <v>0.21699847280979156</v>
      </c>
      <c r="M35">
        <v>-2.5648267939686775E-2</v>
      </c>
      <c r="N35">
        <v>-2.4817893281579018E-2</v>
      </c>
      <c r="O35">
        <v>0</v>
      </c>
      <c r="P35">
        <v>0</v>
      </c>
      <c r="Q35">
        <v>1.0437674522399902</v>
      </c>
      <c r="R35">
        <v>0.24311546981334686</v>
      </c>
      <c r="S35">
        <v>1.3021923303604126</v>
      </c>
      <c r="T35">
        <v>0.94363558292388916</v>
      </c>
      <c r="AE35">
        <v>2.2352826523642962E-2</v>
      </c>
      <c r="AF35">
        <v>66.004183944141687</v>
      </c>
      <c r="AG35">
        <v>8095.2938062712274</v>
      </c>
      <c r="AH35">
        <v>3.4103015721570838E-2</v>
      </c>
      <c r="AI35">
        <v>42.97610141745939</v>
      </c>
      <c r="AJ35">
        <v>8139.5396266815287</v>
      </c>
    </row>
    <row r="36" spans="1:36" x14ac:dyDescent="0.25">
      <c r="A36" t="s">
        <v>2</v>
      </c>
      <c r="B36" t="s">
        <v>34</v>
      </c>
      <c r="C36">
        <v>2019</v>
      </c>
      <c r="D36" t="str">
        <f t="shared" si="0"/>
        <v>ARG2019</v>
      </c>
      <c r="E36">
        <v>12041.135</v>
      </c>
      <c r="F36">
        <v>6085.5630000000001</v>
      </c>
      <c r="G36">
        <v>0.50539779663085938</v>
      </c>
      <c r="H36">
        <v>975569</v>
      </c>
      <c r="I36">
        <v>822399.5625</v>
      </c>
      <c r="J36">
        <v>3205166</v>
      </c>
      <c r="K36">
        <v>3.6324489861726761E-2</v>
      </c>
      <c r="L36">
        <v>0.22442324459552765</v>
      </c>
      <c r="M36">
        <v>-5.4679665714502335E-2</v>
      </c>
      <c r="N36">
        <v>-2.1629558876156807E-2</v>
      </c>
      <c r="O36">
        <v>0</v>
      </c>
      <c r="P36">
        <v>0</v>
      </c>
      <c r="Q36">
        <v>1.0437674522399902</v>
      </c>
      <c r="R36">
        <v>0.24311546981334686</v>
      </c>
      <c r="S36">
        <v>1.3021923303604126</v>
      </c>
      <c r="T36">
        <v>0.94363558292388916</v>
      </c>
      <c r="AE36">
        <v>2.3361054763077111E-2</v>
      </c>
      <c r="AF36">
        <v>64.368424076224429</v>
      </c>
      <c r="AG36">
        <v>7894.6708163937355</v>
      </c>
      <c r="AH36">
        <v>3.5621927268312037E-2</v>
      </c>
      <c r="AI36">
        <v>41.88833073313878</v>
      </c>
      <c r="AJ36">
        <v>7933.5192502922209</v>
      </c>
    </row>
    <row r="37" spans="1:36" x14ac:dyDescent="0.25">
      <c r="A37" t="s">
        <v>2</v>
      </c>
      <c r="B37" t="s">
        <v>34</v>
      </c>
      <c r="C37">
        <v>2020</v>
      </c>
      <c r="D37" t="str">
        <f t="shared" si="0"/>
        <v>ARG2020</v>
      </c>
      <c r="E37">
        <v>10936.539000000001</v>
      </c>
      <c r="F37">
        <v>5229.1450000000004</v>
      </c>
      <c r="G37">
        <v>0.47813525795936584</v>
      </c>
      <c r="H37">
        <v>883333.02276684344</v>
      </c>
      <c r="I37">
        <v>754023.9694255474</v>
      </c>
      <c r="J37">
        <v>3225267.3361166045</v>
      </c>
      <c r="K37">
        <v>3.3456142991781235E-2</v>
      </c>
      <c r="L37">
        <v>0.23137274588868714</v>
      </c>
      <c r="M37">
        <v>-8.3141572773456573E-2</v>
      </c>
      <c r="N37">
        <v>-9.4545826315879822E-2</v>
      </c>
      <c r="O37">
        <v>0</v>
      </c>
      <c r="P37">
        <v>0</v>
      </c>
      <c r="Q37">
        <v>1.0437674522399902</v>
      </c>
      <c r="R37">
        <v>0.24311546981334686</v>
      </c>
      <c r="S37">
        <v>1.3021923303604126</v>
      </c>
      <c r="T37">
        <v>0.94363558292388916</v>
      </c>
      <c r="AE37">
        <v>2.1180597995560713E-2</v>
      </c>
      <c r="AF37">
        <v>60.973688955118163</v>
      </c>
      <c r="AG37">
        <v>7478.3126924438966</v>
      </c>
      <c r="AH37">
        <v>3.2334963434926305E-2</v>
      </c>
      <c r="AI37">
        <v>39.725725742679629</v>
      </c>
      <c r="AJ37">
        <v>7523.928607210988</v>
      </c>
    </row>
    <row r="38" spans="1:36" x14ac:dyDescent="0.25">
      <c r="A38" t="s">
        <v>2</v>
      </c>
      <c r="B38" t="s">
        <v>34</v>
      </c>
      <c r="C38">
        <v>2021</v>
      </c>
      <c r="D38" t="str">
        <f t="shared" si="0"/>
        <v>ARG2021</v>
      </c>
      <c r="E38">
        <v>12241.620999999999</v>
      </c>
      <c r="F38">
        <v>6017.7359999999999</v>
      </c>
      <c r="G38">
        <v>0.49158000946044922</v>
      </c>
      <c r="H38">
        <v>980397.08450031816</v>
      </c>
      <c r="I38">
        <v>843397.11424465419</v>
      </c>
      <c r="J38">
        <v>3256677.0496827662</v>
      </c>
      <c r="K38">
        <v>3.3456142991781235E-2</v>
      </c>
      <c r="L38">
        <v>0.21276697112005213</v>
      </c>
      <c r="M38">
        <v>0.11852825433015823</v>
      </c>
      <c r="N38">
        <v>0.10988388210535049</v>
      </c>
      <c r="O38">
        <v>0</v>
      </c>
      <c r="P38">
        <v>0</v>
      </c>
      <c r="Q38">
        <v>1.0437674522399902</v>
      </c>
      <c r="R38">
        <v>0.24311546981334686</v>
      </c>
      <c r="S38">
        <v>1.3021923303604126</v>
      </c>
      <c r="T38">
        <v>0.94363558292388916</v>
      </c>
      <c r="AE38">
        <v>2.2020928290801402E-2</v>
      </c>
      <c r="AF38">
        <v>61.624490485529101</v>
      </c>
      <c r="AG38">
        <v>7558.1323233131479</v>
      </c>
      <c r="AH38">
        <v>3.3602645507885553E-2</v>
      </c>
      <c r="AI38">
        <v>40.131593222570089</v>
      </c>
      <c r="AJ38">
        <v>7600.7986425745885</v>
      </c>
    </row>
    <row r="39" spans="1:36" x14ac:dyDescent="0.25">
      <c r="A39" t="s">
        <v>2</v>
      </c>
      <c r="B39" t="s">
        <v>34</v>
      </c>
      <c r="C39">
        <v>2022</v>
      </c>
      <c r="D39" t="str">
        <f t="shared" si="0"/>
        <v>ARG2022</v>
      </c>
      <c r="E39">
        <v>12881.227999999999</v>
      </c>
      <c r="F39">
        <v>6594.2430000000004</v>
      </c>
      <c r="G39">
        <v>0.51192659139633179</v>
      </c>
      <c r="H39">
        <v>1010435.6353565345</v>
      </c>
      <c r="I39">
        <v>900531.91448625107</v>
      </c>
      <c r="J39">
        <v>3343458.1341305273</v>
      </c>
      <c r="K39">
        <v>3.3456142991781235E-2</v>
      </c>
      <c r="L39">
        <v>0.22653885282532724</v>
      </c>
      <c r="M39">
        <v>6.7743651568889618E-2</v>
      </c>
      <c r="N39">
        <v>3.0639167875051498E-2</v>
      </c>
      <c r="O39">
        <v>0</v>
      </c>
      <c r="P39">
        <v>0</v>
      </c>
      <c r="Q39">
        <v>1.0437674522399902</v>
      </c>
      <c r="R39">
        <v>0.24311546981334686</v>
      </c>
      <c r="S39">
        <v>1.3021923303604126</v>
      </c>
      <c r="T39">
        <v>0.94363558292388916</v>
      </c>
      <c r="AE39">
        <v>2.3566326561861747E-2</v>
      </c>
      <c r="AF39">
        <v>62.348196902652845</v>
      </c>
      <c r="AG39">
        <v>7646.893606704798</v>
      </c>
      <c r="AH39">
        <v>3.5930970784430132E-2</v>
      </c>
      <c r="AI39">
        <v>40.569174453760127</v>
      </c>
      <c r="AJ39">
        <v>7683.6751635639121</v>
      </c>
    </row>
    <row r="40" spans="1:36" x14ac:dyDescent="0.25">
      <c r="A40" t="s">
        <v>2</v>
      </c>
      <c r="B40" t="s">
        <v>34</v>
      </c>
      <c r="C40">
        <v>2023</v>
      </c>
      <c r="D40" t="str">
        <f t="shared" si="0"/>
        <v>ARG2023</v>
      </c>
      <c r="E40">
        <v>13293.498</v>
      </c>
      <c r="F40">
        <v>6699.6040000000003</v>
      </c>
      <c r="G40">
        <v>0.50397598743438721</v>
      </c>
      <c r="H40">
        <v>1026980.304595637</v>
      </c>
      <c r="I40">
        <v>890560.76425057452</v>
      </c>
      <c r="J40">
        <v>3409059.0457080221</v>
      </c>
      <c r="K40">
        <v>3.3456142991781235E-2</v>
      </c>
      <c r="L40">
        <v>0.21951958002253566</v>
      </c>
      <c r="M40">
        <v>-1.1072511784732342E-2</v>
      </c>
      <c r="N40">
        <v>1.6373798251152039E-2</v>
      </c>
      <c r="O40">
        <v>0</v>
      </c>
      <c r="P40">
        <v>0</v>
      </c>
      <c r="Q40">
        <v>1.0437674522399902</v>
      </c>
      <c r="R40">
        <v>0.24311546981334686</v>
      </c>
      <c r="S40">
        <v>1.3021923303604126</v>
      </c>
      <c r="T40">
        <v>0.94363558292388916</v>
      </c>
      <c r="AE40">
        <v>2.2673977088203214E-2</v>
      </c>
      <c r="AF40">
        <v>60.064381279307753</v>
      </c>
      <c r="AG40">
        <v>7366.7877502945857</v>
      </c>
      <c r="AH40">
        <v>3.4587012757048251E-2</v>
      </c>
      <c r="AI40">
        <v>39.101873892930385</v>
      </c>
      <c r="AJ40">
        <v>7405.7730117816263</v>
      </c>
    </row>
    <row r="41" spans="1:36" x14ac:dyDescent="0.25">
      <c r="A41" t="s">
        <v>3</v>
      </c>
      <c r="B41" t="s">
        <v>35</v>
      </c>
      <c r="C41">
        <v>2010</v>
      </c>
      <c r="D41" t="str">
        <f t="shared" si="0"/>
        <v>BGD2010</v>
      </c>
      <c r="E41">
        <v>54083.527000000002</v>
      </c>
      <c r="F41">
        <v>44371.661999999997</v>
      </c>
      <c r="G41">
        <v>0.82042843103408813</v>
      </c>
      <c r="H41">
        <v>420619.6875</v>
      </c>
      <c r="I41">
        <v>362085.15625</v>
      </c>
      <c r="J41">
        <v>1242955.125</v>
      </c>
      <c r="K41">
        <v>4.3283235281705856E-2</v>
      </c>
      <c r="L41">
        <v>5.6331619620323181E-2</v>
      </c>
      <c r="M41">
        <v>4.7448735684156418E-2</v>
      </c>
      <c r="N41">
        <v>5.5717986077070236E-2</v>
      </c>
      <c r="O41">
        <v>0</v>
      </c>
      <c r="P41">
        <v>0</v>
      </c>
      <c r="Q41">
        <v>0.70935481786727905</v>
      </c>
      <c r="R41">
        <v>0.20508645474910736</v>
      </c>
      <c r="S41">
        <v>0.94188380241394043</v>
      </c>
      <c r="T41">
        <v>0.72969233989715576</v>
      </c>
      <c r="AE41">
        <v>0.41446702780305611</v>
      </c>
      <c r="AF41">
        <v>4999.413947707606</v>
      </c>
      <c r="AG41">
        <v>254512.46613775284</v>
      </c>
      <c r="AH41">
        <v>0.67929752453151571</v>
      </c>
      <c r="AI41">
        <v>1262.6792696711159</v>
      </c>
      <c r="AJ41">
        <v>192354.38932104202</v>
      </c>
    </row>
    <row r="42" spans="1:36" x14ac:dyDescent="0.25">
      <c r="A42" t="s">
        <v>3</v>
      </c>
      <c r="B42" t="s">
        <v>35</v>
      </c>
      <c r="C42">
        <v>2011</v>
      </c>
      <c r="D42" t="str">
        <f t="shared" si="0"/>
        <v>BGD2011</v>
      </c>
      <c r="E42">
        <v>55413.330000000075</v>
      </c>
      <c r="F42">
        <v>44331.674999999988</v>
      </c>
      <c r="G42">
        <v>0.80001825094223022</v>
      </c>
      <c r="H42">
        <v>447810.1875</v>
      </c>
      <c r="I42">
        <v>385647.28125</v>
      </c>
      <c r="J42">
        <v>1355768.125</v>
      </c>
      <c r="K42">
        <v>4.3207708746194839E-2</v>
      </c>
      <c r="L42">
        <v>5.3807239979505539E-2</v>
      </c>
      <c r="M42">
        <v>6.5073437988758087E-2</v>
      </c>
      <c r="N42">
        <v>6.4643904566764832E-2</v>
      </c>
      <c r="O42">
        <v>1</v>
      </c>
      <c r="P42">
        <v>1</v>
      </c>
      <c r="Q42">
        <v>0.70935481786727905</v>
      </c>
      <c r="R42">
        <v>0.20508645474910736</v>
      </c>
      <c r="S42">
        <v>0.94188380241394043</v>
      </c>
      <c r="T42">
        <v>0.72969233989715576</v>
      </c>
      <c r="AE42">
        <v>0.38755572017850459</v>
      </c>
      <c r="AF42">
        <v>4938.5209180869515</v>
      </c>
      <c r="AG42">
        <v>251412.49576093332</v>
      </c>
      <c r="AH42">
        <v>0.65440890513916927</v>
      </c>
      <c r="AI42">
        <v>1285.0376571754937</v>
      </c>
      <c r="AJ42">
        <v>195760.42763806295</v>
      </c>
    </row>
    <row r="43" spans="1:36" x14ac:dyDescent="0.25">
      <c r="A43" t="s">
        <v>3</v>
      </c>
      <c r="B43" t="s">
        <v>35</v>
      </c>
      <c r="C43">
        <v>2012</v>
      </c>
      <c r="D43" t="str">
        <f t="shared" si="0"/>
        <v>BGD2012</v>
      </c>
      <c r="E43">
        <v>56743.13300000038</v>
      </c>
      <c r="F43">
        <v>44291.687999999995</v>
      </c>
      <c r="G43">
        <v>0.78056472539901733</v>
      </c>
      <c r="H43">
        <v>477013.875</v>
      </c>
      <c r="I43">
        <v>401257.5</v>
      </c>
      <c r="J43">
        <v>1482445.875</v>
      </c>
      <c r="K43">
        <v>4.2857334017753601E-2</v>
      </c>
      <c r="L43">
        <v>6.0188736766576767E-2</v>
      </c>
      <c r="M43">
        <v>4.0477968752384186E-2</v>
      </c>
      <c r="N43">
        <v>6.5214432775974274E-2</v>
      </c>
      <c r="O43">
        <v>1</v>
      </c>
      <c r="P43">
        <v>1</v>
      </c>
      <c r="Q43">
        <v>0.70935481786727905</v>
      </c>
      <c r="R43">
        <v>0.20508645474910736</v>
      </c>
      <c r="S43">
        <v>0.94188380241394043</v>
      </c>
      <c r="T43">
        <v>0.72969233989715576</v>
      </c>
      <c r="AE43">
        <v>0.36372138209287574</v>
      </c>
      <c r="AF43">
        <v>4937.6684365463134</v>
      </c>
      <c r="AG43">
        <v>251369.09723832365</v>
      </c>
      <c r="AH43">
        <v>0.63107376832515683</v>
      </c>
      <c r="AI43">
        <v>1320.1920924259589</v>
      </c>
      <c r="AJ43">
        <v>201115.79387155679</v>
      </c>
    </row>
    <row r="44" spans="1:36" x14ac:dyDescent="0.25">
      <c r="A44" t="s">
        <v>3</v>
      </c>
      <c r="B44" t="s">
        <v>35</v>
      </c>
      <c r="C44">
        <v>2013</v>
      </c>
      <c r="D44" t="str">
        <f t="shared" si="0"/>
        <v>BGD2013</v>
      </c>
      <c r="E44">
        <v>58072.936000000002</v>
      </c>
      <c r="F44">
        <v>44251.701000000001</v>
      </c>
      <c r="G44">
        <v>0.76200211048126221</v>
      </c>
      <c r="H44">
        <v>505699.65625</v>
      </c>
      <c r="I44">
        <v>422003.6875</v>
      </c>
      <c r="J44">
        <v>1614730.25</v>
      </c>
      <c r="K44">
        <v>4.2444042861461639E-2</v>
      </c>
      <c r="L44">
        <v>5.9508968144655228E-2</v>
      </c>
      <c r="M44">
        <v>5.1702927798032761E-2</v>
      </c>
      <c r="N44">
        <v>6.0136158019304276E-2</v>
      </c>
      <c r="O44">
        <v>0</v>
      </c>
      <c r="P44">
        <v>0</v>
      </c>
      <c r="Q44">
        <v>0.70935481786727905</v>
      </c>
      <c r="R44">
        <v>0.20508645474910736</v>
      </c>
      <c r="S44">
        <v>0.94188380241394043</v>
      </c>
      <c r="T44">
        <v>0.72969233989715576</v>
      </c>
      <c r="AE44">
        <v>0.34265786630104716</v>
      </c>
      <c r="AF44">
        <v>4958.3487565697787</v>
      </c>
      <c r="AG44">
        <v>252421.90048781323</v>
      </c>
      <c r="AH44">
        <v>0.60935511832736156</v>
      </c>
      <c r="AI44">
        <v>1358.7849732529969</v>
      </c>
      <c r="AJ44">
        <v>206994.96699329358</v>
      </c>
    </row>
    <row r="45" spans="1:36" x14ac:dyDescent="0.25">
      <c r="A45" t="s">
        <v>3</v>
      </c>
      <c r="B45" t="s">
        <v>35</v>
      </c>
      <c r="C45">
        <v>2014</v>
      </c>
      <c r="D45" t="str">
        <f t="shared" si="0"/>
        <v>BGD2014</v>
      </c>
      <c r="E45">
        <v>58558.563666666741</v>
      </c>
      <c r="F45">
        <v>45631.28274999978</v>
      </c>
      <c r="G45">
        <v>0.77924185991287231</v>
      </c>
      <c r="H45">
        <v>536350.5</v>
      </c>
      <c r="I45">
        <v>439986.59375</v>
      </c>
      <c r="J45">
        <v>1761698.25</v>
      </c>
      <c r="K45">
        <v>4.1984215378761292E-2</v>
      </c>
      <c r="L45">
        <v>5.9028636664152145E-2</v>
      </c>
      <c r="M45">
        <v>4.261314868927002E-2</v>
      </c>
      <c r="N45">
        <v>6.061076745390892E-2</v>
      </c>
      <c r="O45">
        <v>1</v>
      </c>
      <c r="P45">
        <v>1</v>
      </c>
      <c r="Q45">
        <v>0.70935481786727905</v>
      </c>
      <c r="R45">
        <v>0.20508645474910736</v>
      </c>
      <c r="S45">
        <v>0.94188380241394043</v>
      </c>
      <c r="T45">
        <v>0.72969233989715576</v>
      </c>
      <c r="AE45">
        <v>0.3544571682364358</v>
      </c>
      <c r="AF45">
        <v>5317.0776175447609</v>
      </c>
      <c r="AG45">
        <v>270684.23444065469</v>
      </c>
      <c r="AH45">
        <v>0.62165302724253102</v>
      </c>
      <c r="AI45">
        <v>1437.0146545398961</v>
      </c>
      <c r="AJ45">
        <v>218912.34215907156</v>
      </c>
    </row>
    <row r="46" spans="1:36" x14ac:dyDescent="0.25">
      <c r="A46" t="s">
        <v>3</v>
      </c>
      <c r="B46" t="s">
        <v>35</v>
      </c>
      <c r="C46">
        <v>2015</v>
      </c>
      <c r="D46" t="str">
        <f t="shared" si="0"/>
        <v>BGD2015</v>
      </c>
      <c r="E46">
        <v>59044.19133333338</v>
      </c>
      <c r="F46">
        <v>47010.864500000142</v>
      </c>
      <c r="G46">
        <v>0.79619795083999634</v>
      </c>
      <c r="H46">
        <v>571495.5625</v>
      </c>
      <c r="I46">
        <v>466460.3125</v>
      </c>
      <c r="J46">
        <v>1919883.25</v>
      </c>
      <c r="K46">
        <v>4.1415102779865265E-2</v>
      </c>
      <c r="L46">
        <v>5.7533800601959229E-2</v>
      </c>
      <c r="M46">
        <v>6.016937643289566E-2</v>
      </c>
      <c r="N46">
        <v>6.5526299178600311E-2</v>
      </c>
      <c r="O46">
        <v>1</v>
      </c>
      <c r="P46">
        <v>1</v>
      </c>
      <c r="Q46">
        <v>0.70935481786727905</v>
      </c>
      <c r="R46">
        <v>0.20508645474910736</v>
      </c>
      <c r="S46">
        <v>0.94188380241394043</v>
      </c>
      <c r="T46">
        <v>0.72969233989715576</v>
      </c>
      <c r="AE46">
        <v>0.3671245846556157</v>
      </c>
      <c r="AF46">
        <v>5715.3095490791202</v>
      </c>
      <c r="AG46">
        <v>290957.60889009095</v>
      </c>
      <c r="AH46">
        <v>0.63448402628299505</v>
      </c>
      <c r="AI46">
        <v>1522.1269998349867</v>
      </c>
      <c r="AJ46">
        <v>231878.21052814924</v>
      </c>
    </row>
    <row r="47" spans="1:36" x14ac:dyDescent="0.25">
      <c r="A47" t="s">
        <v>3</v>
      </c>
      <c r="B47" t="s">
        <v>35</v>
      </c>
      <c r="C47">
        <v>2016</v>
      </c>
      <c r="D47" t="str">
        <f t="shared" si="0"/>
        <v>BGD2016</v>
      </c>
      <c r="E47">
        <v>59529.819000000003</v>
      </c>
      <c r="F47">
        <v>48390.446250000037</v>
      </c>
      <c r="G47">
        <v>0.81287741661071777</v>
      </c>
      <c r="H47">
        <v>612148.875</v>
      </c>
      <c r="I47">
        <v>482271.53125</v>
      </c>
      <c r="J47">
        <v>2093581</v>
      </c>
      <c r="K47">
        <v>4.1102834045886993E-2</v>
      </c>
      <c r="L47">
        <v>6.0047484934329987E-2</v>
      </c>
      <c r="M47">
        <v>3.3896170556545258E-2</v>
      </c>
      <c r="N47">
        <v>7.1134954690933228E-2</v>
      </c>
      <c r="O47">
        <v>0</v>
      </c>
      <c r="P47">
        <v>1</v>
      </c>
      <c r="Q47">
        <v>0.70935481786727905</v>
      </c>
      <c r="R47">
        <v>0.20508645474910736</v>
      </c>
      <c r="S47">
        <v>0.94188380241394043</v>
      </c>
      <c r="T47">
        <v>0.72969233989715576</v>
      </c>
      <c r="AE47">
        <v>0.38072507154611313</v>
      </c>
      <c r="AF47">
        <v>6183.5231326900393</v>
      </c>
      <c r="AG47">
        <v>314793.64149120246</v>
      </c>
      <c r="AH47">
        <v>0.6478501563473229</v>
      </c>
      <c r="AI47">
        <v>1621.4478621900562</v>
      </c>
      <c r="AJ47">
        <v>247008.57996085941</v>
      </c>
    </row>
    <row r="48" spans="1:36" x14ac:dyDescent="0.25">
      <c r="A48" t="s">
        <v>3</v>
      </c>
      <c r="B48" t="s">
        <v>35</v>
      </c>
      <c r="C48">
        <v>2017</v>
      </c>
      <c r="D48" t="str">
        <f t="shared" si="0"/>
        <v>BGD2017</v>
      </c>
      <c r="E48">
        <v>60827.610999999997</v>
      </c>
      <c r="F48">
        <v>49770.027999999998</v>
      </c>
      <c r="G48">
        <v>0.81821441650390625</v>
      </c>
      <c r="H48">
        <v>656738.9375</v>
      </c>
      <c r="I48">
        <v>518211.46875</v>
      </c>
      <c r="J48">
        <v>2286234.75</v>
      </c>
      <c r="K48">
        <v>4.1076570749282837E-2</v>
      </c>
      <c r="L48">
        <v>5.908680334687233E-2</v>
      </c>
      <c r="M48">
        <v>7.4522204697132111E-2</v>
      </c>
      <c r="N48">
        <v>7.2841860353946686E-2</v>
      </c>
      <c r="O48">
        <v>0</v>
      </c>
      <c r="P48">
        <v>0</v>
      </c>
      <c r="Q48">
        <v>0.70935481786727905</v>
      </c>
      <c r="R48">
        <v>0.20508645474910736</v>
      </c>
      <c r="S48">
        <v>0.94188380241394043</v>
      </c>
      <c r="T48">
        <v>0.72969233989715576</v>
      </c>
      <c r="AE48">
        <v>0.3825388392713775</v>
      </c>
      <c r="AF48">
        <v>6519.8254420663561</v>
      </c>
      <c r="AG48">
        <v>331914.27423385327</v>
      </c>
      <c r="AH48">
        <v>0.64960160425456359</v>
      </c>
      <c r="AI48">
        <v>1706.1272873431328</v>
      </c>
      <c r="AJ48">
        <v>259908.4980197181</v>
      </c>
    </row>
    <row r="49" spans="1:36" x14ac:dyDescent="0.25">
      <c r="A49" t="s">
        <v>3</v>
      </c>
      <c r="B49" t="s">
        <v>35</v>
      </c>
      <c r="C49">
        <v>2018</v>
      </c>
      <c r="D49" t="str">
        <f t="shared" si="0"/>
        <v>BGD2018</v>
      </c>
      <c r="E49">
        <v>62754.293399999849</v>
      </c>
      <c r="F49">
        <v>49677.718599999964</v>
      </c>
      <c r="G49">
        <v>0.79162263870239258</v>
      </c>
      <c r="H49">
        <v>708383</v>
      </c>
      <c r="I49">
        <v>577150.6875</v>
      </c>
      <c r="J49">
        <v>2500788</v>
      </c>
      <c r="K49">
        <v>4.1036590933799744E-2</v>
      </c>
      <c r="L49">
        <v>6.3278123736381531E-2</v>
      </c>
      <c r="M49">
        <v>0.11373584717512131</v>
      </c>
      <c r="N49">
        <v>7.8637123107910156E-2</v>
      </c>
      <c r="O49">
        <v>1</v>
      </c>
      <c r="P49">
        <v>1</v>
      </c>
      <c r="Q49">
        <v>0.70935481786727905</v>
      </c>
      <c r="R49">
        <v>0.20508645474910736</v>
      </c>
      <c r="S49">
        <v>0.94188380241394043</v>
      </c>
      <c r="T49">
        <v>0.72969233989715576</v>
      </c>
      <c r="AE49">
        <v>0.35035028347436986</v>
      </c>
      <c r="AF49">
        <v>6414.8561941927637</v>
      </c>
      <c r="AG49">
        <v>326570.45145294844</v>
      </c>
      <c r="AH49">
        <v>0.61741123132751263</v>
      </c>
      <c r="AI49">
        <v>1742.0591014505587</v>
      </c>
      <c r="AJ49">
        <v>265382.28881192091</v>
      </c>
    </row>
    <row r="50" spans="1:36" x14ac:dyDescent="0.25">
      <c r="A50" t="s">
        <v>3</v>
      </c>
      <c r="B50" t="s">
        <v>35</v>
      </c>
      <c r="C50">
        <v>2019</v>
      </c>
      <c r="D50" t="str">
        <f t="shared" si="0"/>
        <v>BGD2019</v>
      </c>
      <c r="E50">
        <v>64680.975799999665</v>
      </c>
      <c r="F50">
        <v>49585.409199999965</v>
      </c>
      <c r="G50">
        <v>0.76661503314971924</v>
      </c>
      <c r="H50">
        <v>766135.3125</v>
      </c>
      <c r="I50">
        <v>602186.6875</v>
      </c>
      <c r="J50">
        <v>2733569</v>
      </c>
      <c r="K50">
        <v>4.0950827300548553E-2</v>
      </c>
      <c r="L50">
        <v>6.5259493887424469E-2</v>
      </c>
      <c r="M50">
        <v>4.3378617614507675E-2</v>
      </c>
      <c r="N50">
        <v>8.1526957452297211E-2</v>
      </c>
      <c r="O50">
        <v>1</v>
      </c>
      <c r="P50">
        <v>1</v>
      </c>
      <c r="Q50">
        <v>0.70935481786727905</v>
      </c>
      <c r="R50">
        <v>0.20508645474910736</v>
      </c>
      <c r="S50">
        <v>0.94188380241394043</v>
      </c>
      <c r="T50">
        <v>0.72969233989715576</v>
      </c>
      <c r="AE50">
        <v>0.32323196372955859</v>
      </c>
      <c r="AF50">
        <v>6392.3937530657677</v>
      </c>
      <c r="AG50">
        <v>325426.92316213198</v>
      </c>
      <c r="AH50">
        <v>0.58834214387375727</v>
      </c>
      <c r="AI50">
        <v>1793.011537358683</v>
      </c>
      <c r="AJ50">
        <v>273144.29530790116</v>
      </c>
    </row>
    <row r="51" spans="1:36" x14ac:dyDescent="0.25">
      <c r="A51" t="s">
        <v>3</v>
      </c>
      <c r="B51" t="s">
        <v>35</v>
      </c>
      <c r="C51">
        <v>2020</v>
      </c>
      <c r="D51" t="str">
        <f t="shared" si="0"/>
        <v>BGD2020</v>
      </c>
      <c r="E51">
        <v>66607.658199999947</v>
      </c>
      <c r="F51">
        <v>49493.099799999967</v>
      </c>
      <c r="G51">
        <v>0.74305421113967896</v>
      </c>
      <c r="H51">
        <v>715346.90796319395</v>
      </c>
      <c r="I51">
        <v>560829.18579341937</v>
      </c>
      <c r="J51">
        <v>2836564.6125282459</v>
      </c>
      <c r="K51">
        <v>4.3494779616594315E-2</v>
      </c>
      <c r="L51">
        <v>6.5786716308978629E-2</v>
      </c>
      <c r="M51">
        <v>-6.8678870797157288E-2</v>
      </c>
      <c r="N51">
        <v>-6.6291689872741699E-2</v>
      </c>
      <c r="O51">
        <v>1</v>
      </c>
      <c r="P51">
        <v>1</v>
      </c>
      <c r="Q51">
        <v>0.70935481786727905</v>
      </c>
      <c r="R51">
        <v>0.20508645474910736</v>
      </c>
      <c r="S51">
        <v>0.94188380241394043</v>
      </c>
      <c r="T51">
        <v>0.72969233989715576</v>
      </c>
      <c r="AE51">
        <v>0.30217807790403556</v>
      </c>
      <c r="AF51">
        <v>6472.0225540217452</v>
      </c>
      <c r="AG51">
        <v>329480.70280888258</v>
      </c>
      <c r="AH51">
        <v>0.56442168169686924</v>
      </c>
      <c r="AI51">
        <v>1862.879071744524</v>
      </c>
      <c r="AJ51">
        <v>283787.79538979911</v>
      </c>
    </row>
    <row r="52" spans="1:36" x14ac:dyDescent="0.25">
      <c r="A52" t="s">
        <v>3</v>
      </c>
      <c r="B52" t="s">
        <v>35</v>
      </c>
      <c r="C52">
        <v>2021</v>
      </c>
      <c r="D52" t="str">
        <f t="shared" si="0"/>
        <v>BGD2021</v>
      </c>
      <c r="E52">
        <v>68534.340599999763</v>
      </c>
      <c r="F52">
        <v>49400.790399999969</v>
      </c>
      <c r="G52">
        <v>0.72081804275512695</v>
      </c>
      <c r="H52">
        <v>668931.87050764461</v>
      </c>
      <c r="I52">
        <v>519669.35545663832</v>
      </c>
      <c r="J52">
        <v>2922617.6567130997</v>
      </c>
      <c r="K52">
        <v>4.3494779616594315E-2</v>
      </c>
      <c r="L52">
        <v>6.5824543501493138E-2</v>
      </c>
      <c r="M52">
        <v>-7.3391027748584747E-2</v>
      </c>
      <c r="N52">
        <v>-6.4884655177593231E-2</v>
      </c>
      <c r="O52">
        <v>1</v>
      </c>
      <c r="P52">
        <v>1</v>
      </c>
      <c r="Q52">
        <v>0.70935481786727905</v>
      </c>
      <c r="R52">
        <v>0.20508645474910736</v>
      </c>
      <c r="S52">
        <v>0.94188380241394043</v>
      </c>
      <c r="T52">
        <v>0.72969233989715576</v>
      </c>
      <c r="AE52">
        <v>0.2842367828884001</v>
      </c>
      <c r="AF52">
        <v>5691.9381746499594</v>
      </c>
      <c r="AG52">
        <v>289767.80820440815</v>
      </c>
      <c r="AH52">
        <v>0.54302649058922314</v>
      </c>
      <c r="AI52">
        <v>1675.7329884244882</v>
      </c>
      <c r="AJ52">
        <v>255278.28277205679</v>
      </c>
    </row>
    <row r="53" spans="1:36" x14ac:dyDescent="0.25">
      <c r="A53" t="s">
        <v>3</v>
      </c>
      <c r="B53" t="s">
        <v>35</v>
      </c>
      <c r="C53">
        <v>2022</v>
      </c>
      <c r="D53" t="str">
        <f t="shared" si="0"/>
        <v>BGD2022</v>
      </c>
      <c r="E53">
        <v>70461.023000000001</v>
      </c>
      <c r="F53">
        <v>49308.481</v>
      </c>
      <c r="G53">
        <v>0.69979798793792725</v>
      </c>
      <c r="H53">
        <v>646635.75512138999</v>
      </c>
      <c r="I53">
        <v>504981.20828503196</v>
      </c>
      <c r="J53">
        <v>3003804.561455796</v>
      </c>
      <c r="K53">
        <v>4.3494779616594315E-2</v>
      </c>
      <c r="L53">
        <v>6.6790799156394492E-2</v>
      </c>
      <c r="M53">
        <v>-2.8264408931136131E-2</v>
      </c>
      <c r="N53">
        <v>-3.3330921083688736E-2</v>
      </c>
      <c r="O53">
        <v>0</v>
      </c>
      <c r="P53">
        <v>0</v>
      </c>
      <c r="Q53">
        <v>0.70935481786727905</v>
      </c>
      <c r="R53">
        <v>0.20508645474910736</v>
      </c>
      <c r="S53">
        <v>0.94188380241394043</v>
      </c>
      <c r="T53">
        <v>0.72969233989715576</v>
      </c>
      <c r="U53">
        <v>13554.3955078125</v>
      </c>
      <c r="V53">
        <v>2135.474365234375</v>
      </c>
      <c r="W53">
        <v>4071.406982421875</v>
      </c>
      <c r="X53">
        <v>1919.4544677734375</v>
      </c>
      <c r="Y53">
        <v>966</v>
      </c>
      <c r="Z53">
        <v>2851</v>
      </c>
      <c r="AA53">
        <v>506</v>
      </c>
      <c r="AB53">
        <v>1941</v>
      </c>
      <c r="AD53">
        <v>2022</v>
      </c>
      <c r="AE53">
        <v>0.26861004865698634</v>
      </c>
      <c r="AF53">
        <v>5036.8619078291922</v>
      </c>
      <c r="AG53">
        <v>256418.88412635398</v>
      </c>
      <c r="AH53">
        <v>0.52357959286524447</v>
      </c>
      <c r="AI53">
        <v>1512.949414026662</v>
      </c>
      <c r="AJ53">
        <v>230480.11288292412</v>
      </c>
    </row>
    <row r="54" spans="1:36" x14ac:dyDescent="0.25">
      <c r="A54" t="s">
        <v>3</v>
      </c>
      <c r="B54" t="s">
        <v>35</v>
      </c>
      <c r="C54">
        <v>2023</v>
      </c>
      <c r="D54" t="str">
        <f t="shared" si="0"/>
        <v>BGD2023</v>
      </c>
      <c r="E54">
        <v>70981.962</v>
      </c>
      <c r="F54">
        <v>49803.451000000001</v>
      </c>
      <c r="G54">
        <v>0.70163530111312866</v>
      </c>
      <c r="H54">
        <v>810380.47880443092</v>
      </c>
      <c r="I54">
        <v>617368.7140464636</v>
      </c>
      <c r="J54">
        <v>3123977.2284189556</v>
      </c>
      <c r="K54">
        <v>4.3494779616594315E-2</v>
      </c>
      <c r="L54">
        <v>6.6962534308936852E-2</v>
      </c>
      <c r="M54">
        <v>0.22255779802799225</v>
      </c>
      <c r="N54">
        <v>0.25322559475898743</v>
      </c>
      <c r="O54">
        <v>0</v>
      </c>
      <c r="P54">
        <v>0</v>
      </c>
      <c r="Q54">
        <v>0.70935481786727905</v>
      </c>
      <c r="R54">
        <v>0.20508645474910736</v>
      </c>
      <c r="S54">
        <v>0.94188380241394043</v>
      </c>
      <c r="T54">
        <v>0.72969233989715576</v>
      </c>
      <c r="AE54">
        <v>0.26829052642789053</v>
      </c>
      <c r="AF54">
        <v>6259.0311535151359</v>
      </c>
      <c r="AG54">
        <v>318637.63856653724</v>
      </c>
      <c r="AH54">
        <v>0.52317372652796978</v>
      </c>
      <c r="AI54">
        <v>1880.8389463335166</v>
      </c>
      <c r="AJ54">
        <v>286523.77181059512</v>
      </c>
    </row>
    <row r="55" spans="1:36" x14ac:dyDescent="0.25">
      <c r="A55" t="s">
        <v>4</v>
      </c>
      <c r="B55" t="s">
        <v>36</v>
      </c>
      <c r="C55">
        <v>2006</v>
      </c>
      <c r="D55" t="str">
        <f t="shared" si="0"/>
        <v>BWA2006</v>
      </c>
      <c r="E55">
        <v>527.07000000000005</v>
      </c>
      <c r="F55">
        <v>229.797</v>
      </c>
      <c r="G55">
        <v>0.43598952889442444</v>
      </c>
      <c r="H55">
        <v>22863.94921875</v>
      </c>
      <c r="I55">
        <v>12933.8740234375</v>
      </c>
      <c r="J55">
        <v>67694.7890625</v>
      </c>
      <c r="K55">
        <v>4.8986032605171204E-2</v>
      </c>
      <c r="L55">
        <v>0.19004683196544647</v>
      </c>
      <c r="M55">
        <v>9.9601529538631439E-2</v>
      </c>
      <c r="N55">
        <v>8.3639509975910187E-2</v>
      </c>
      <c r="O55">
        <v>0</v>
      </c>
      <c r="P55">
        <v>0</v>
      </c>
      <c r="Q55">
        <v>1.2202639579772949</v>
      </c>
      <c r="R55">
        <v>0.27970683574676514</v>
      </c>
      <c r="S55">
        <v>1.4571945667266846</v>
      </c>
      <c r="T55">
        <v>1.0684869289398193</v>
      </c>
      <c r="AE55">
        <v>2.8086094608355348E-2</v>
      </c>
      <c r="AF55">
        <v>7.5008114055732191</v>
      </c>
      <c r="AG55">
        <v>2067.8552131709403</v>
      </c>
      <c r="AH55">
        <v>0.11861957200864955</v>
      </c>
      <c r="AI55">
        <v>1.631614085398555</v>
      </c>
      <c r="AJ55">
        <v>2094.8779165246774</v>
      </c>
    </row>
    <row r="56" spans="1:36" x14ac:dyDescent="0.25">
      <c r="A56" t="s">
        <v>4</v>
      </c>
      <c r="B56" t="s">
        <v>36</v>
      </c>
      <c r="C56">
        <v>2007</v>
      </c>
      <c r="D56" t="str">
        <f t="shared" si="0"/>
        <v>BWA2007</v>
      </c>
      <c r="E56">
        <v>558.71266666666634</v>
      </c>
      <c r="F56">
        <v>239.63992307692024</v>
      </c>
      <c r="G56">
        <v>0.42891442775726318</v>
      </c>
      <c r="H56">
        <v>24756.3671875</v>
      </c>
      <c r="I56">
        <v>14401.453125</v>
      </c>
      <c r="J56">
        <v>73280.3046875</v>
      </c>
      <c r="K56">
        <v>4.7361947596073151E-2</v>
      </c>
      <c r="L56">
        <v>0.19446079432964325</v>
      </c>
      <c r="M56">
        <v>0.11346786469221115</v>
      </c>
      <c r="N56">
        <v>8.2768641412258148E-2</v>
      </c>
      <c r="O56">
        <v>1</v>
      </c>
      <c r="P56">
        <v>1</v>
      </c>
      <c r="Q56">
        <v>1.2202639579772949</v>
      </c>
      <c r="R56">
        <v>0.27970683574676514</v>
      </c>
      <c r="S56">
        <v>1.4571945667266846</v>
      </c>
      <c r="T56">
        <v>1.0684869289398193</v>
      </c>
      <c r="AE56">
        <v>2.6398090287050997E-2</v>
      </c>
      <c r="AF56">
        <v>7.3048607076510921</v>
      </c>
      <c r="AG56">
        <v>2013.8347012138354</v>
      </c>
      <c r="AH56">
        <v>0.11211809033441189</v>
      </c>
      <c r="AI56">
        <v>1.5979357847499471</v>
      </c>
      <c r="AJ56">
        <v>2051.6373433240519</v>
      </c>
    </row>
    <row r="57" spans="1:36" x14ac:dyDescent="0.25">
      <c r="A57" t="s">
        <v>4</v>
      </c>
      <c r="B57" t="s">
        <v>36</v>
      </c>
      <c r="C57">
        <v>2008</v>
      </c>
      <c r="D57" t="str">
        <f t="shared" si="0"/>
        <v>BWA2008</v>
      </c>
      <c r="E57">
        <v>590.35533333333296</v>
      </c>
      <c r="F57">
        <v>249.48284615384546</v>
      </c>
      <c r="G57">
        <v>0.42259776592254639</v>
      </c>
      <c r="H57">
        <v>26302.501953125</v>
      </c>
      <c r="I57">
        <v>16314.5849609375</v>
      </c>
      <c r="J57">
        <v>79028.6015625</v>
      </c>
      <c r="K57">
        <v>4.6932198107242584E-2</v>
      </c>
      <c r="L57">
        <v>0.2071513831615448</v>
      </c>
      <c r="M57">
        <v>0.13284297287464142</v>
      </c>
      <c r="N57">
        <v>6.2454026192426682E-2</v>
      </c>
      <c r="O57">
        <v>1</v>
      </c>
      <c r="P57">
        <v>1</v>
      </c>
      <c r="Q57">
        <v>1.2202639579772949</v>
      </c>
      <c r="R57">
        <v>0.27970683574676514</v>
      </c>
      <c r="S57">
        <v>1.4571945667266846</v>
      </c>
      <c r="T57">
        <v>1.0684869289398193</v>
      </c>
      <c r="AE57">
        <v>2.4929189360074541E-2</v>
      </c>
      <c r="AF57">
        <v>7.1549150395663004</v>
      </c>
      <c r="AG57">
        <v>1972.4970492351238</v>
      </c>
      <c r="AH57">
        <v>0.10640064027090235</v>
      </c>
      <c r="AI57">
        <v>1.5728408041653126</v>
      </c>
      <c r="AJ57">
        <v>2019.417150379637</v>
      </c>
    </row>
    <row r="58" spans="1:36" x14ac:dyDescent="0.25">
      <c r="A58" t="s">
        <v>4</v>
      </c>
      <c r="B58" t="s">
        <v>36</v>
      </c>
      <c r="C58">
        <v>2009</v>
      </c>
      <c r="D58" t="str">
        <f t="shared" si="0"/>
        <v>BWA2009</v>
      </c>
      <c r="E58">
        <v>621.99800000000005</v>
      </c>
      <c r="F58">
        <v>259.32576923076704</v>
      </c>
      <c r="G58">
        <v>0.41692379117012024</v>
      </c>
      <c r="H58">
        <v>24289.7421875</v>
      </c>
      <c r="I58">
        <v>17088.32421875</v>
      </c>
      <c r="J58">
        <v>85351.109375</v>
      </c>
      <c r="K58">
        <v>4.6920031309127808E-2</v>
      </c>
      <c r="L58">
        <v>0.23179025948047638</v>
      </c>
      <c r="M58">
        <v>4.7426231205463409E-2</v>
      </c>
      <c r="N58">
        <v>-7.6523512601852417E-2</v>
      </c>
      <c r="O58">
        <v>0</v>
      </c>
      <c r="P58">
        <v>1</v>
      </c>
      <c r="Q58">
        <v>1.2202639579772949</v>
      </c>
      <c r="R58">
        <v>0.27970683574676514</v>
      </c>
      <c r="S58">
        <v>1.4571945667266846</v>
      </c>
      <c r="T58">
        <v>1.0684869289398193</v>
      </c>
      <c r="AE58">
        <v>2.3607542451236616E-2</v>
      </c>
      <c r="AF58">
        <v>6.9071890673688285</v>
      </c>
      <c r="AG58">
        <v>1904.2029120614091</v>
      </c>
      <c r="AH58">
        <v>0.10120802315538904</v>
      </c>
      <c r="AI58">
        <v>1.5251399883953329</v>
      </c>
      <c r="AJ58">
        <v>1958.172652399998</v>
      </c>
    </row>
    <row r="59" spans="1:36" x14ac:dyDescent="0.25">
      <c r="A59" t="s">
        <v>4</v>
      </c>
      <c r="B59" t="s">
        <v>36</v>
      </c>
      <c r="C59">
        <v>2010</v>
      </c>
      <c r="D59" t="str">
        <f t="shared" si="0"/>
        <v>BWA2010</v>
      </c>
      <c r="E59">
        <v>579.42899999999997</v>
      </c>
      <c r="F59">
        <v>269.16869230768862</v>
      </c>
      <c r="G59">
        <v>0.46454128623008728</v>
      </c>
      <c r="H59">
        <v>26369.80859375</v>
      </c>
      <c r="I59">
        <v>18314.876953125</v>
      </c>
      <c r="J59">
        <v>92342.2109375</v>
      </c>
      <c r="K59">
        <v>4.6866826713085175E-2</v>
      </c>
      <c r="L59">
        <v>0.22328706085681915</v>
      </c>
      <c r="M59">
        <v>7.1777239441871643E-2</v>
      </c>
      <c r="N59">
        <v>8.5635587573051453E-2</v>
      </c>
      <c r="O59">
        <v>0</v>
      </c>
      <c r="P59">
        <v>1</v>
      </c>
      <c r="Q59">
        <v>1.2202639579772949</v>
      </c>
      <c r="R59">
        <v>0.27970683574676514</v>
      </c>
      <c r="S59">
        <v>1.4571945667266846</v>
      </c>
      <c r="T59">
        <v>1.0684869289398193</v>
      </c>
      <c r="U59">
        <v>141985.03125</v>
      </c>
      <c r="V59">
        <v>4873.1904296875</v>
      </c>
      <c r="W59">
        <v>30800.599609375</v>
      </c>
      <c r="X59">
        <v>4923.3349609375</v>
      </c>
      <c r="Y59">
        <v>232</v>
      </c>
      <c r="Z59">
        <v>95</v>
      </c>
      <c r="AA59">
        <v>71</v>
      </c>
      <c r="AB59">
        <v>85</v>
      </c>
      <c r="AD59">
        <v>2010</v>
      </c>
      <c r="AE59">
        <v>2.8915206645565406E-2</v>
      </c>
      <c r="AF59">
        <v>7.5078536169026249</v>
      </c>
      <c r="AG59">
        <v>2069.7966395876797</v>
      </c>
      <c r="AH59">
        <v>0.12178637637638345</v>
      </c>
      <c r="AI59">
        <v>1.6286674105304018</v>
      </c>
      <c r="AJ59">
        <v>2091.0945929043955</v>
      </c>
    </row>
    <row r="60" spans="1:36" x14ac:dyDescent="0.25">
      <c r="A60" t="s">
        <v>4</v>
      </c>
      <c r="B60" t="s">
        <v>36</v>
      </c>
      <c r="C60">
        <v>2011</v>
      </c>
      <c r="D60" t="str">
        <f t="shared" si="0"/>
        <v>BWA2011</v>
      </c>
      <c r="E60">
        <v>626.384666666665</v>
      </c>
      <c r="F60">
        <v>279.01161538461383</v>
      </c>
      <c r="G60">
        <v>0.44543173909187317</v>
      </c>
      <c r="H60">
        <v>27964.759765625</v>
      </c>
      <c r="I60">
        <v>19604.724609375</v>
      </c>
      <c r="J60">
        <v>100292.890625</v>
      </c>
      <c r="K60">
        <v>4.6989653259515762E-2</v>
      </c>
      <c r="L60">
        <v>0.22113239765167236</v>
      </c>
      <c r="M60">
        <v>7.0426225662231445E-2</v>
      </c>
      <c r="N60">
        <v>6.0483988374471664E-2</v>
      </c>
      <c r="O60">
        <v>1</v>
      </c>
      <c r="P60">
        <v>1</v>
      </c>
      <c r="Q60">
        <v>1.2202639579772949</v>
      </c>
      <c r="R60">
        <v>0.27970683574676514</v>
      </c>
      <c r="S60">
        <v>1.4571945667266846</v>
      </c>
      <c r="T60">
        <v>1.0684869289398193</v>
      </c>
      <c r="AE60">
        <v>2.5664474622243739E-2</v>
      </c>
      <c r="AF60">
        <v>6.8008001050711266</v>
      </c>
      <c r="AG60">
        <v>1874.8731557969484</v>
      </c>
      <c r="AH60">
        <v>0.10926963444470124</v>
      </c>
      <c r="AI60">
        <v>1.4913216521415593</v>
      </c>
      <c r="AJ60">
        <v>1914.7522833153987</v>
      </c>
    </row>
    <row r="61" spans="1:36" x14ac:dyDescent="0.25">
      <c r="A61" t="s">
        <v>4</v>
      </c>
      <c r="B61" t="s">
        <v>36</v>
      </c>
      <c r="C61">
        <v>2012</v>
      </c>
      <c r="D61" t="str">
        <f t="shared" si="0"/>
        <v>BWA2012</v>
      </c>
      <c r="E61">
        <v>673.34033333334082</v>
      </c>
      <c r="F61">
        <v>288.85453846153541</v>
      </c>
      <c r="G61">
        <v>0.42898744344711304</v>
      </c>
      <c r="H61">
        <v>29210.916015625</v>
      </c>
      <c r="I61">
        <v>20194.75390625</v>
      </c>
      <c r="J61">
        <v>109588.40625</v>
      </c>
      <c r="K61">
        <v>4.7453071922063828E-2</v>
      </c>
      <c r="L61">
        <v>0.21276332437992096</v>
      </c>
      <c r="M61">
        <v>3.0096281319856644E-2</v>
      </c>
      <c r="N61">
        <v>4.4561665505170822E-2</v>
      </c>
      <c r="O61">
        <v>1</v>
      </c>
      <c r="P61">
        <v>1</v>
      </c>
      <c r="Q61">
        <v>1.2202639579772949</v>
      </c>
      <c r="R61">
        <v>0.27970683574676514</v>
      </c>
      <c r="S61">
        <v>1.4571945667266846</v>
      </c>
      <c r="T61">
        <v>1.0684869289398193</v>
      </c>
      <c r="AE61">
        <v>2.301641741497774E-2</v>
      </c>
      <c r="AF61">
        <v>6.1391935653396246</v>
      </c>
      <c r="AG61">
        <v>1692.47868428214</v>
      </c>
      <c r="AH61">
        <v>9.887056725771845E-2</v>
      </c>
      <c r="AI61">
        <v>1.3582659978838569</v>
      </c>
      <c r="AJ61">
        <v>1743.9181661870728</v>
      </c>
    </row>
    <row r="62" spans="1:36" x14ac:dyDescent="0.25">
      <c r="A62" t="s">
        <v>4</v>
      </c>
      <c r="B62" t="s">
        <v>36</v>
      </c>
      <c r="C62">
        <v>2013</v>
      </c>
      <c r="D62" t="str">
        <f t="shared" si="0"/>
        <v>BWA2013</v>
      </c>
      <c r="E62">
        <v>720.29600000000005</v>
      </c>
      <c r="F62">
        <v>298.69746153846063</v>
      </c>
      <c r="G62">
        <v>0.41468709707260132</v>
      </c>
      <c r="H62">
        <v>32524.404296875</v>
      </c>
      <c r="I62">
        <v>22461.763671875</v>
      </c>
      <c r="J62">
        <v>118753.4453125</v>
      </c>
      <c r="K62">
        <v>4.7628864645957947E-2</v>
      </c>
      <c r="L62">
        <v>0.21786205470561981</v>
      </c>
      <c r="M62">
        <v>0.11225736141204834</v>
      </c>
      <c r="N62">
        <v>0.11343321949243546</v>
      </c>
      <c r="O62">
        <v>0</v>
      </c>
      <c r="P62">
        <v>1</v>
      </c>
      <c r="Q62">
        <v>1.2202639579772949</v>
      </c>
      <c r="R62">
        <v>0.27970683574676514</v>
      </c>
      <c r="S62">
        <v>1.4571945667266846</v>
      </c>
      <c r="T62">
        <v>1.0684869289398193</v>
      </c>
      <c r="AE62">
        <v>2.0890111441982433E-2</v>
      </c>
      <c r="AF62">
        <v>5.9859013013799967</v>
      </c>
      <c r="AG62">
        <v>1650.2184286873696</v>
      </c>
      <c r="AH62">
        <v>9.0384992967998096E-2</v>
      </c>
      <c r="AI62">
        <v>1.3339185896274324</v>
      </c>
      <c r="AJ62">
        <v>1712.6578036188398</v>
      </c>
    </row>
    <row r="63" spans="1:36" x14ac:dyDescent="0.25">
      <c r="A63" t="s">
        <v>4</v>
      </c>
      <c r="B63" t="s">
        <v>36</v>
      </c>
      <c r="C63">
        <v>2014</v>
      </c>
      <c r="D63" t="str">
        <f t="shared" si="0"/>
        <v>BWA2014</v>
      </c>
      <c r="E63">
        <v>736.0058333333327</v>
      </c>
      <c r="F63">
        <v>308.54038461538221</v>
      </c>
      <c r="G63">
        <v>0.41920915246009827</v>
      </c>
      <c r="H63">
        <v>33873.95703125</v>
      </c>
      <c r="I63">
        <v>23257.10546875</v>
      </c>
      <c r="J63">
        <v>127747.7109375</v>
      </c>
      <c r="K63">
        <v>4.721209779381752E-2</v>
      </c>
      <c r="L63">
        <v>0.23899079859256744</v>
      </c>
      <c r="M63">
        <v>3.540869802236557E-2</v>
      </c>
      <c r="N63">
        <v>4.1493542492389679E-2</v>
      </c>
      <c r="O63">
        <v>1</v>
      </c>
      <c r="P63">
        <v>1</v>
      </c>
      <c r="Q63">
        <v>1.2202639579772949</v>
      </c>
      <c r="R63">
        <v>0.27970683574676514</v>
      </c>
      <c r="S63">
        <v>1.4571945667266846</v>
      </c>
      <c r="T63">
        <v>1.0684869289398193</v>
      </c>
      <c r="AE63">
        <v>2.0836124799604866E-2</v>
      </c>
      <c r="AF63">
        <v>6.0064451087577764</v>
      </c>
      <c r="AG63">
        <v>1655.8820318480832</v>
      </c>
      <c r="AH63">
        <v>9.0167948990740723E-2</v>
      </c>
      <c r="AI63">
        <v>1.3387422050308098</v>
      </c>
      <c r="AJ63">
        <v>1718.8509870908219</v>
      </c>
    </row>
    <row r="64" spans="1:36" x14ac:dyDescent="0.25">
      <c r="A64" t="s">
        <v>4</v>
      </c>
      <c r="B64" t="s">
        <v>36</v>
      </c>
      <c r="C64">
        <v>2015</v>
      </c>
      <c r="D64" t="str">
        <f t="shared" si="0"/>
        <v>BWA2015</v>
      </c>
      <c r="E64">
        <v>751.71566666666331</v>
      </c>
      <c r="F64">
        <v>318.38330769230379</v>
      </c>
      <c r="G64">
        <v>0.42354220151901245</v>
      </c>
      <c r="H64">
        <v>33298.7890625</v>
      </c>
      <c r="I64">
        <v>24086.8046875</v>
      </c>
      <c r="J64">
        <v>137786.640625</v>
      </c>
      <c r="K64">
        <v>4.6944104135036469E-2</v>
      </c>
      <c r="L64">
        <v>0.2496076226234436</v>
      </c>
      <c r="M64">
        <v>3.5675086081027985E-2</v>
      </c>
      <c r="N64">
        <v>-1.6979651525616646E-2</v>
      </c>
      <c r="O64">
        <v>1</v>
      </c>
      <c r="P64">
        <v>1</v>
      </c>
      <c r="Q64">
        <v>1.2202639579772949</v>
      </c>
      <c r="R64">
        <v>0.27970683574676514</v>
      </c>
      <c r="S64">
        <v>1.4571945667266846</v>
      </c>
      <c r="T64">
        <v>1.0684869289398193</v>
      </c>
      <c r="AE64">
        <v>2.0749803050038457E-2</v>
      </c>
      <c r="AF64">
        <v>5.6859721996407098</v>
      </c>
      <c r="AG64">
        <v>1567.5327133589669</v>
      </c>
      <c r="AH64">
        <v>8.9820741775299223E-2</v>
      </c>
      <c r="AI64">
        <v>1.2676857016399006</v>
      </c>
      <c r="AJ64">
        <v>1627.6194262020131</v>
      </c>
    </row>
    <row r="65" spans="1:36" x14ac:dyDescent="0.25">
      <c r="A65" t="s">
        <v>4</v>
      </c>
      <c r="B65" t="s">
        <v>36</v>
      </c>
      <c r="C65">
        <v>2016</v>
      </c>
      <c r="D65" t="str">
        <f t="shared" si="0"/>
        <v>BWA2016</v>
      </c>
      <c r="E65">
        <v>767.42549999999756</v>
      </c>
      <c r="F65">
        <v>328.22623076922901</v>
      </c>
      <c r="G65">
        <v>0.42769783735275269</v>
      </c>
      <c r="H65">
        <v>34731.89453125</v>
      </c>
      <c r="I65">
        <v>24630.3359375</v>
      </c>
      <c r="J65">
        <v>147805.25</v>
      </c>
      <c r="K65">
        <v>4.6797275543212891E-2</v>
      </c>
      <c r="L65">
        <v>0.23817282915115356</v>
      </c>
      <c r="M65">
        <v>2.2565519437193871E-2</v>
      </c>
      <c r="N65">
        <v>4.3037764728069305E-2</v>
      </c>
      <c r="O65">
        <v>1</v>
      </c>
      <c r="P65">
        <v>1</v>
      </c>
      <c r="Q65">
        <v>1.2202639579772949</v>
      </c>
      <c r="R65">
        <v>0.27970683574676514</v>
      </c>
      <c r="S65">
        <v>1.4571945667266846</v>
      </c>
      <c r="T65">
        <v>1.0684869289398193</v>
      </c>
      <c r="AE65">
        <v>2.0678593064525148E-2</v>
      </c>
      <c r="AF65">
        <v>5.7211479037369743</v>
      </c>
      <c r="AG65">
        <v>1577.2300993028896</v>
      </c>
      <c r="AH65">
        <v>8.9534164359606636E-2</v>
      </c>
      <c r="AI65">
        <v>1.2758369467906134</v>
      </c>
      <c r="AJ65">
        <v>1638.0850526091522</v>
      </c>
    </row>
    <row r="66" spans="1:36" x14ac:dyDescent="0.25">
      <c r="A66" t="s">
        <v>4</v>
      </c>
      <c r="B66" t="s">
        <v>36</v>
      </c>
      <c r="C66">
        <v>2017</v>
      </c>
      <c r="D66" t="str">
        <f t="shared" si="0"/>
        <v>BWA2017</v>
      </c>
      <c r="E66">
        <v>783.1353333333318</v>
      </c>
      <c r="F66">
        <v>338.06915384615058</v>
      </c>
      <c r="G66">
        <v>0.43168675899505615</v>
      </c>
      <c r="H66">
        <v>35740.50390625</v>
      </c>
      <c r="I66">
        <v>25898.41796875</v>
      </c>
      <c r="J66">
        <v>156230.75</v>
      </c>
      <c r="K66">
        <v>4.6082563698291779E-2</v>
      </c>
      <c r="L66">
        <v>0.23778408765792847</v>
      </c>
      <c r="M66">
        <v>5.1484562456607819E-2</v>
      </c>
      <c r="N66">
        <v>2.9039859771728516E-2</v>
      </c>
      <c r="O66">
        <v>1</v>
      </c>
      <c r="P66">
        <v>1</v>
      </c>
      <c r="Q66">
        <v>1.2202639579772949</v>
      </c>
      <c r="R66">
        <v>0.27970683574676514</v>
      </c>
      <c r="S66">
        <v>1.4571945667266846</v>
      </c>
      <c r="T66">
        <v>1.0684869289398193</v>
      </c>
      <c r="AE66">
        <v>2.0675997589927157E-2</v>
      </c>
      <c r="AF66">
        <v>5.7036091309137555</v>
      </c>
      <c r="AG66">
        <v>1572.3949366979259</v>
      </c>
      <c r="AH66">
        <v>8.9523716512239879E-2</v>
      </c>
      <c r="AI66">
        <v>1.2719369608953133</v>
      </c>
      <c r="AJ66">
        <v>1633.07774456987</v>
      </c>
    </row>
    <row r="67" spans="1:36" x14ac:dyDescent="0.25">
      <c r="A67" t="s">
        <v>4</v>
      </c>
      <c r="B67" t="s">
        <v>36</v>
      </c>
      <c r="C67">
        <v>2018</v>
      </c>
      <c r="D67" t="str">
        <f t="shared" ref="D67:D130" si="1">B67&amp;C67</f>
        <v>BWA2018</v>
      </c>
      <c r="E67">
        <v>798.84516666666605</v>
      </c>
      <c r="F67">
        <v>347.9120769230758</v>
      </c>
      <c r="G67">
        <v>0.4355187714099884</v>
      </c>
      <c r="H67">
        <v>37341.26171875</v>
      </c>
      <c r="I67">
        <v>26926.015625</v>
      </c>
      <c r="J67">
        <v>165646.015625</v>
      </c>
      <c r="K67">
        <v>4.5233990997076035E-2</v>
      </c>
      <c r="L67">
        <v>0.24355664849281311</v>
      </c>
      <c r="M67">
        <v>3.9678007364273071E-2</v>
      </c>
      <c r="N67">
        <v>4.4788338243961334E-2</v>
      </c>
      <c r="O67">
        <v>1</v>
      </c>
      <c r="P67">
        <v>1</v>
      </c>
      <c r="Q67">
        <v>1.2202639579772949</v>
      </c>
      <c r="R67">
        <v>0.27970683574676514</v>
      </c>
      <c r="S67">
        <v>1.4571945667266846</v>
      </c>
      <c r="T67">
        <v>1.0684869289398193</v>
      </c>
      <c r="AE67">
        <v>2.0641929401492322E-2</v>
      </c>
      <c r="AF67">
        <v>5.7695814863178043</v>
      </c>
      <c r="AG67">
        <v>1590.5824729084836</v>
      </c>
      <c r="AH67">
        <v>8.9386561014673668E-2</v>
      </c>
      <c r="AI67">
        <v>1.2867982260345052</v>
      </c>
      <c r="AJ67">
        <v>1652.1585654761852</v>
      </c>
    </row>
    <row r="68" spans="1:36" x14ac:dyDescent="0.25">
      <c r="A68" t="s">
        <v>4</v>
      </c>
      <c r="B68" t="s">
        <v>36</v>
      </c>
      <c r="C68">
        <v>2019</v>
      </c>
      <c r="D68" t="str">
        <f t="shared" si="1"/>
        <v>BWA2019</v>
      </c>
      <c r="E68">
        <v>814.55499999999995</v>
      </c>
      <c r="F68">
        <v>357.755</v>
      </c>
      <c r="G68">
        <v>0.43920299410820007</v>
      </c>
      <c r="H68">
        <v>38448.84765625</v>
      </c>
      <c r="I68">
        <v>27844.6171875</v>
      </c>
      <c r="J68">
        <v>175898.640625</v>
      </c>
      <c r="K68">
        <v>4.4859703630208969E-2</v>
      </c>
      <c r="L68">
        <v>0.24169071018695831</v>
      </c>
      <c r="M68">
        <v>3.4115761518478394E-2</v>
      </c>
      <c r="N68">
        <v>2.9661182314157486E-2</v>
      </c>
      <c r="O68">
        <v>0</v>
      </c>
      <c r="P68">
        <v>0</v>
      </c>
      <c r="Q68">
        <v>1.2202639579772949</v>
      </c>
      <c r="R68">
        <v>0.27970683574676514</v>
      </c>
      <c r="S68">
        <v>1.4571945667266846</v>
      </c>
      <c r="T68">
        <v>1.0684869289398193</v>
      </c>
      <c r="AE68">
        <v>2.0586158317303115E-2</v>
      </c>
      <c r="AF68">
        <v>5.7506596161534675</v>
      </c>
      <c r="AG68">
        <v>1585.3660122155516</v>
      </c>
      <c r="AH68">
        <v>8.9161962981381238E-2</v>
      </c>
      <c r="AI68">
        <v>1.2828213424424131</v>
      </c>
      <c r="AJ68">
        <v>1647.052526193846</v>
      </c>
    </row>
    <row r="69" spans="1:36" x14ac:dyDescent="0.25">
      <c r="A69" t="s">
        <v>4</v>
      </c>
      <c r="B69" t="s">
        <v>36</v>
      </c>
      <c r="C69">
        <v>2020</v>
      </c>
      <c r="D69" t="str">
        <f t="shared" si="1"/>
        <v>BWA2020</v>
      </c>
      <c r="E69">
        <v>853.23500000000001</v>
      </c>
      <c r="F69">
        <v>401.31099999999998</v>
      </c>
      <c r="G69">
        <v>0.47034052014350891</v>
      </c>
      <c r="H69">
        <v>37425.704409760729</v>
      </c>
      <c r="I69">
        <v>26531.103866464051</v>
      </c>
      <c r="J69">
        <v>177386.8763697652</v>
      </c>
      <c r="K69">
        <v>4.8540908843278885E-2</v>
      </c>
      <c r="L69">
        <v>0.23871627526479716</v>
      </c>
      <c r="M69">
        <v>-4.7172971069812775E-2</v>
      </c>
      <c r="N69">
        <v>-2.661050483584404E-2</v>
      </c>
      <c r="O69">
        <v>0</v>
      </c>
      <c r="P69">
        <v>0</v>
      </c>
      <c r="Q69">
        <v>1.2202639579772949</v>
      </c>
      <c r="R69">
        <v>0.27970683574676514</v>
      </c>
      <c r="S69">
        <v>1.4571945667266846</v>
      </c>
      <c r="T69">
        <v>1.0684869289398193</v>
      </c>
      <c r="AE69">
        <v>2.3457228325601407E-2</v>
      </c>
      <c r="AF69">
        <v>5.6414815595880539</v>
      </c>
      <c r="AG69">
        <v>1555.2673467211871</v>
      </c>
      <c r="AH69">
        <v>0.10061452611592432</v>
      </c>
      <c r="AI69">
        <v>1.2462964710504532</v>
      </c>
      <c r="AJ69">
        <v>1600.157156040045</v>
      </c>
    </row>
    <row r="70" spans="1:36" x14ac:dyDescent="0.25">
      <c r="A70" t="s">
        <v>4</v>
      </c>
      <c r="B70" t="s">
        <v>36</v>
      </c>
      <c r="C70">
        <v>2021</v>
      </c>
      <c r="D70" t="str">
        <f t="shared" si="1"/>
        <v>BWA2021</v>
      </c>
      <c r="E70">
        <v>808.27300000000002</v>
      </c>
      <c r="F70">
        <v>336.68599999999998</v>
      </c>
      <c r="G70">
        <v>0.41654986143112183</v>
      </c>
      <c r="H70">
        <v>35479.300050801729</v>
      </c>
      <c r="I70">
        <v>25797.714822475729</v>
      </c>
      <c r="J70">
        <v>178484.41769734395</v>
      </c>
      <c r="K70">
        <v>4.8540908843278885E-2</v>
      </c>
      <c r="L70">
        <v>0.24556189621278815</v>
      </c>
      <c r="M70">
        <v>-2.7642613276839256E-2</v>
      </c>
      <c r="N70">
        <v>-5.2007153630256653E-2</v>
      </c>
      <c r="O70">
        <v>0</v>
      </c>
      <c r="P70">
        <v>0</v>
      </c>
      <c r="Q70">
        <v>1.2202639579772949</v>
      </c>
      <c r="R70">
        <v>0.27970683574676514</v>
      </c>
      <c r="S70">
        <v>1.4571945667266846</v>
      </c>
      <c r="T70">
        <v>1.0684869289398193</v>
      </c>
      <c r="AE70">
        <v>1.8521153281952155E-2</v>
      </c>
      <c r="AF70">
        <v>5.0941075458385354</v>
      </c>
      <c r="AG70">
        <v>1404.3649780727458</v>
      </c>
      <c r="AH70">
        <v>8.0785486824354408E-2</v>
      </c>
      <c r="AI70">
        <v>1.1443994263174517</v>
      </c>
      <c r="AJ70">
        <v>1469.3285056376128</v>
      </c>
    </row>
    <row r="71" spans="1:36" x14ac:dyDescent="0.25">
      <c r="A71" t="s">
        <v>4</v>
      </c>
      <c r="B71" t="s">
        <v>36</v>
      </c>
      <c r="C71">
        <v>2022</v>
      </c>
      <c r="D71" t="str">
        <f t="shared" si="1"/>
        <v>BWA2022</v>
      </c>
      <c r="E71">
        <v>795.42499999999995</v>
      </c>
      <c r="F71">
        <v>358.99200000000002</v>
      </c>
      <c r="G71">
        <v>0.45132100582122803</v>
      </c>
      <c r="H71">
        <v>31700.409374002043</v>
      </c>
      <c r="I71">
        <v>25019.997763351988</v>
      </c>
      <c r="J71">
        <v>180195.27028545146</v>
      </c>
      <c r="K71">
        <v>4.8540908843278885E-2</v>
      </c>
      <c r="L71">
        <v>0.26432969168237896</v>
      </c>
      <c r="M71">
        <v>-3.014674223959446E-2</v>
      </c>
      <c r="N71">
        <v>-0.106509730219841</v>
      </c>
      <c r="O71">
        <v>0</v>
      </c>
      <c r="P71">
        <v>0</v>
      </c>
      <c r="Q71">
        <v>1.2202639579772949</v>
      </c>
      <c r="R71">
        <v>0.27970683574676514</v>
      </c>
      <c r="S71">
        <v>1.4571945667266846</v>
      </c>
      <c r="T71">
        <v>1.0684869289398193</v>
      </c>
      <c r="AE71">
        <v>2.167377328610174E-2</v>
      </c>
      <c r="AF71">
        <v>4.9734378855567822</v>
      </c>
      <c r="AG71">
        <v>1371.0982589682251</v>
      </c>
      <c r="AH71">
        <v>9.3526627260734366E-2</v>
      </c>
      <c r="AI71">
        <v>1.1053546607395492</v>
      </c>
      <c r="AJ71">
        <v>1419.1977682916852</v>
      </c>
    </row>
    <row r="72" spans="1:36" x14ac:dyDescent="0.25">
      <c r="A72" t="s">
        <v>4</v>
      </c>
      <c r="B72" t="s">
        <v>36</v>
      </c>
      <c r="C72">
        <v>2023</v>
      </c>
      <c r="D72" t="str">
        <f t="shared" si="1"/>
        <v>BWA2023</v>
      </c>
      <c r="E72">
        <v>869.774</v>
      </c>
      <c r="F72">
        <v>407.23500000000001</v>
      </c>
      <c r="G72">
        <v>0.46820783615112305</v>
      </c>
      <c r="H72">
        <v>34732.087373387047</v>
      </c>
      <c r="I72">
        <v>24286.327176541065</v>
      </c>
      <c r="J72">
        <v>182153.01012778535</v>
      </c>
      <c r="K72">
        <v>4.8540908843278885E-2</v>
      </c>
      <c r="L72">
        <v>0.23194977066367173</v>
      </c>
      <c r="M72">
        <v>-2.9323367401957512E-2</v>
      </c>
      <c r="N72">
        <v>9.5635294914245605E-2</v>
      </c>
      <c r="O72">
        <v>0</v>
      </c>
      <c r="P72">
        <v>0</v>
      </c>
      <c r="Q72">
        <v>1.2202639579772949</v>
      </c>
      <c r="R72">
        <v>0.27970683574676514</v>
      </c>
      <c r="S72">
        <v>1.4571945667266846</v>
      </c>
      <c r="T72">
        <v>1.0684869289398193</v>
      </c>
      <c r="AE72">
        <v>2.3001417227130519E-2</v>
      </c>
      <c r="AF72">
        <v>5.0539633660102314</v>
      </c>
      <c r="AG72">
        <v>1393.2978618571919</v>
      </c>
      <c r="AH72">
        <v>9.8811131489083728E-2</v>
      </c>
      <c r="AI72">
        <v>1.1182208037014683</v>
      </c>
      <c r="AJ72">
        <v>1435.7169924164202</v>
      </c>
    </row>
    <row r="73" spans="1:36" x14ac:dyDescent="0.25">
      <c r="A73" t="s">
        <v>5</v>
      </c>
      <c r="B73" t="s">
        <v>37</v>
      </c>
      <c r="C73">
        <v>2018</v>
      </c>
      <c r="D73" t="str">
        <f t="shared" si="1"/>
        <v>BFA2018</v>
      </c>
      <c r="E73">
        <v>7619.29720000003</v>
      </c>
      <c r="F73">
        <v>6816.5291722715883</v>
      </c>
      <c r="G73">
        <v>0.89464014768600464</v>
      </c>
      <c r="H73">
        <v>39322.71484375</v>
      </c>
      <c r="I73">
        <v>34418.75</v>
      </c>
      <c r="J73">
        <v>76721.140625</v>
      </c>
      <c r="K73">
        <v>5.6360036134719849E-2</v>
      </c>
      <c r="L73">
        <v>0.16299112141132355</v>
      </c>
      <c r="M73">
        <v>3.2186355441808701E-2</v>
      </c>
      <c r="N73">
        <v>6.7312382161617279E-2</v>
      </c>
      <c r="O73">
        <v>1</v>
      </c>
      <c r="P73">
        <v>0</v>
      </c>
      <c r="Q73">
        <v>0.64396476745605469</v>
      </c>
      <c r="R73">
        <v>0.61579543352127075</v>
      </c>
      <c r="S73">
        <v>0.92700648307800293</v>
      </c>
      <c r="T73">
        <v>1.2444218397140503</v>
      </c>
      <c r="U73">
        <v>78421.1640625</v>
      </c>
      <c r="V73">
        <v>5567.296875</v>
      </c>
      <c r="W73">
        <v>47231.83203125</v>
      </c>
      <c r="X73">
        <v>5461.2890625</v>
      </c>
      <c r="Y73">
        <v>372</v>
      </c>
      <c r="Z73">
        <v>102</v>
      </c>
      <c r="AA73">
        <v>52</v>
      </c>
      <c r="AB73">
        <v>97</v>
      </c>
      <c r="AD73">
        <v>2009</v>
      </c>
      <c r="AE73">
        <v>0.37609782726117313</v>
      </c>
      <c r="AF73">
        <v>1.9669548884392736</v>
      </c>
      <c r="AG73">
        <v>118.9521421868223</v>
      </c>
      <c r="AH73">
        <v>0.49541430190450081</v>
      </c>
      <c r="AI73">
        <v>1.1846659510150632</v>
      </c>
      <c r="AJ73">
        <v>116.68715494641867</v>
      </c>
    </row>
    <row r="74" spans="1:36" x14ac:dyDescent="0.25">
      <c r="A74" t="s">
        <v>5</v>
      </c>
      <c r="B74" t="s">
        <v>37</v>
      </c>
      <c r="C74">
        <v>2019</v>
      </c>
      <c r="D74" t="str">
        <f t="shared" si="1"/>
        <v>BFA2019</v>
      </c>
      <c r="E74">
        <v>8137.4480000000003</v>
      </c>
      <c r="F74">
        <v>6982.1493792036781</v>
      </c>
      <c r="G74">
        <v>0.85802692174911499</v>
      </c>
      <c r="H74">
        <v>41563.8828125</v>
      </c>
      <c r="I74">
        <v>37004.703125</v>
      </c>
      <c r="J74">
        <v>84470.2734375</v>
      </c>
      <c r="K74">
        <v>5.8399368077516556E-2</v>
      </c>
      <c r="L74">
        <v>0.17571268975734711</v>
      </c>
      <c r="M74">
        <v>7.5132101774215698E-2</v>
      </c>
      <c r="N74">
        <v>5.6994233280420303E-2</v>
      </c>
      <c r="O74">
        <v>0</v>
      </c>
      <c r="P74">
        <v>1</v>
      </c>
      <c r="Q74">
        <v>0.64396476745605469</v>
      </c>
      <c r="R74">
        <v>0.61579543352127075</v>
      </c>
      <c r="S74">
        <v>0.92700648307800293</v>
      </c>
      <c r="T74">
        <v>1.2444218397140503</v>
      </c>
      <c r="AE74">
        <v>0.31648822627822509</v>
      </c>
      <c r="AF74">
        <v>1.6980466230497642</v>
      </c>
      <c r="AG74">
        <v>102.68984028664721</v>
      </c>
      <c r="AH74">
        <v>0.42992507407065583</v>
      </c>
      <c r="AI74">
        <v>1.0546749187571782</v>
      </c>
      <c r="AJ74">
        <v>103.88330614015896</v>
      </c>
    </row>
    <row r="75" spans="1:36" x14ac:dyDescent="0.25">
      <c r="A75" t="s">
        <v>5</v>
      </c>
      <c r="B75" t="s">
        <v>37</v>
      </c>
      <c r="C75">
        <v>2020</v>
      </c>
      <c r="D75" t="str">
        <f t="shared" si="1"/>
        <v>BFA2020</v>
      </c>
      <c r="E75">
        <v>8106.9593333333323</v>
      </c>
      <c r="F75">
        <v>7147.7695861358079</v>
      </c>
      <c r="G75">
        <v>0.88168317079544067</v>
      </c>
      <c r="H75">
        <v>47384.479476487963</v>
      </c>
      <c r="I75">
        <v>43879.578168994049</v>
      </c>
      <c r="J75">
        <v>91110.034204114141</v>
      </c>
      <c r="K75">
        <v>4.7857407480478287E-2</v>
      </c>
      <c r="L75">
        <v>0.18788956990467326</v>
      </c>
      <c r="M75">
        <v>0.18578381836414337</v>
      </c>
      <c r="N75">
        <v>0.14003977179527283</v>
      </c>
      <c r="O75">
        <v>1</v>
      </c>
      <c r="P75">
        <v>1</v>
      </c>
      <c r="Q75">
        <v>0.64396476745605469</v>
      </c>
      <c r="R75">
        <v>0.61579543352127075</v>
      </c>
      <c r="S75">
        <v>0.92700648307800293</v>
      </c>
      <c r="T75">
        <v>1.2444218397140503</v>
      </c>
      <c r="AE75">
        <v>0.33903744122668428</v>
      </c>
      <c r="AF75">
        <v>2.0141404410844674</v>
      </c>
      <c r="AG75">
        <v>121.80570156452033</v>
      </c>
      <c r="AH75">
        <v>0.45517426116411364</v>
      </c>
      <c r="AI75">
        <v>1.236384566403379</v>
      </c>
      <c r="AJ75">
        <v>121.78133198616537</v>
      </c>
    </row>
    <row r="76" spans="1:36" x14ac:dyDescent="0.25">
      <c r="A76" t="s">
        <v>5</v>
      </c>
      <c r="B76" t="s">
        <v>37</v>
      </c>
      <c r="C76">
        <v>2021</v>
      </c>
      <c r="D76" t="str">
        <f t="shared" si="1"/>
        <v>BFA2021</v>
      </c>
      <c r="E76">
        <v>8076.470666666668</v>
      </c>
      <c r="F76">
        <v>7313.3897930678795</v>
      </c>
      <c r="G76">
        <v>0.9055180549621582</v>
      </c>
      <c r="H76">
        <v>46022.140627419074</v>
      </c>
      <c r="I76">
        <v>41259.058609754684</v>
      </c>
      <c r="J76">
        <v>94802.50393727253</v>
      </c>
      <c r="K76">
        <v>4.7857407480478287E-2</v>
      </c>
      <c r="L76">
        <v>0.1840400551102804</v>
      </c>
      <c r="M76">
        <v>-5.9720709919929504E-2</v>
      </c>
      <c r="N76">
        <v>-2.8750739991664886E-2</v>
      </c>
      <c r="O76">
        <v>1</v>
      </c>
      <c r="P76">
        <v>1</v>
      </c>
      <c r="Q76">
        <v>0.64396476745605469</v>
      </c>
      <c r="R76">
        <v>0.61579543352127075</v>
      </c>
      <c r="S76">
        <v>0.92700648307800293</v>
      </c>
      <c r="T76">
        <v>1.2444218397140503</v>
      </c>
      <c r="AE76">
        <v>0.37372841670228402</v>
      </c>
      <c r="AF76">
        <v>2.095796838965672</v>
      </c>
      <c r="AG76">
        <v>126.74389486438598</v>
      </c>
      <c r="AH76">
        <v>0.49288704124352256</v>
      </c>
      <c r="AI76">
        <v>1.2637880701346556</v>
      </c>
      <c r="AJ76">
        <v>124.48052063358652</v>
      </c>
    </row>
    <row r="77" spans="1:36" x14ac:dyDescent="0.25">
      <c r="A77" t="s">
        <v>5</v>
      </c>
      <c r="B77" t="s">
        <v>37</v>
      </c>
      <c r="C77">
        <v>2022</v>
      </c>
      <c r="D77" t="str">
        <f t="shared" si="1"/>
        <v>BFA2022</v>
      </c>
      <c r="E77">
        <v>8045.982</v>
      </c>
      <c r="F77">
        <v>7479.01</v>
      </c>
      <c r="G77">
        <v>0.92953354120254517</v>
      </c>
      <c r="H77">
        <v>45343.243584812168</v>
      </c>
      <c r="I77">
        <v>39289.796375526574</v>
      </c>
      <c r="J77">
        <v>97297.28752070808</v>
      </c>
      <c r="K77">
        <v>4.7857407480478287E-2</v>
      </c>
      <c r="L77">
        <v>0.17303331104599062</v>
      </c>
      <c r="M77">
        <v>-4.7729209065437317E-2</v>
      </c>
      <c r="N77">
        <v>-1.4751531183719635E-2</v>
      </c>
      <c r="O77">
        <v>0</v>
      </c>
      <c r="P77">
        <v>0</v>
      </c>
      <c r="Q77">
        <v>0.64396476745605469</v>
      </c>
      <c r="R77">
        <v>0.61579543352127075</v>
      </c>
      <c r="S77">
        <v>0.92700648307800293</v>
      </c>
      <c r="T77">
        <v>1.2444218397140503</v>
      </c>
      <c r="AE77">
        <v>0.42236048557880446</v>
      </c>
      <c r="AF77">
        <v>2.2694447704268681</v>
      </c>
      <c r="AG77">
        <v>137.24530166076127</v>
      </c>
      <c r="AH77">
        <v>0.54356678087697674</v>
      </c>
      <c r="AI77">
        <v>1.3354358684056151</v>
      </c>
      <c r="AJ77">
        <v>131.53768111941778</v>
      </c>
    </row>
    <row r="78" spans="1:36" x14ac:dyDescent="0.25">
      <c r="A78" t="s">
        <v>5</v>
      </c>
      <c r="B78" t="s">
        <v>37</v>
      </c>
      <c r="C78">
        <v>2023</v>
      </c>
      <c r="D78" t="str">
        <f t="shared" si="1"/>
        <v>BFA2023</v>
      </c>
      <c r="E78">
        <v>7961.7639999999665</v>
      </c>
      <c r="F78">
        <v>7194.6023678862748</v>
      </c>
      <c r="G78">
        <v>0.90364426374435425</v>
      </c>
      <c r="H78">
        <v>42399.638217633787</v>
      </c>
      <c r="I78">
        <v>36785.240809669289</v>
      </c>
      <c r="J78">
        <v>99917.312971803054</v>
      </c>
      <c r="K78">
        <v>4.7857407480478287E-2</v>
      </c>
      <c r="L78">
        <v>0.15666130872167366</v>
      </c>
      <c r="M78">
        <v>-6.3745699822902679E-2</v>
      </c>
      <c r="N78">
        <v>-6.4918279647827148E-2</v>
      </c>
      <c r="O78">
        <v>1</v>
      </c>
      <c r="P78">
        <v>0</v>
      </c>
      <c r="Q78">
        <v>0.64396476745605469</v>
      </c>
      <c r="R78">
        <v>0.61579543352127075</v>
      </c>
      <c r="S78">
        <v>0.92700648307800293</v>
      </c>
      <c r="T78">
        <v>1.2444218397140503</v>
      </c>
      <c r="AE78">
        <v>0.36067721813469722</v>
      </c>
      <c r="AF78">
        <v>1.9017671523800157</v>
      </c>
      <c r="AG78">
        <v>115.009895776326</v>
      </c>
      <c r="AH78">
        <v>0.47885635403543086</v>
      </c>
      <c r="AI78">
        <v>1.1544567742392193</v>
      </c>
      <c r="AJ78">
        <v>113.71161328572835</v>
      </c>
    </row>
    <row r="79" spans="1:36" x14ac:dyDescent="0.25">
      <c r="A79" t="s">
        <v>6</v>
      </c>
      <c r="B79" t="s">
        <v>38</v>
      </c>
      <c r="C79">
        <v>2012</v>
      </c>
      <c r="D79" t="str">
        <f t="shared" si="1"/>
        <v>KHM2012</v>
      </c>
      <c r="E79">
        <v>8236.9370000000054</v>
      </c>
      <c r="F79">
        <v>6688.6621884212536</v>
      </c>
      <c r="G79">
        <v>0.81203269958496094</v>
      </c>
      <c r="H79">
        <v>44919.41796875</v>
      </c>
      <c r="I79">
        <v>37501.625</v>
      </c>
      <c r="J79">
        <v>96912.765625</v>
      </c>
      <c r="K79">
        <v>3.9707709103822708E-2</v>
      </c>
      <c r="L79">
        <v>9.248640388250351E-2</v>
      </c>
      <c r="M79">
        <v>4.7131873667240143E-2</v>
      </c>
      <c r="N79">
        <v>7.3133572936058044E-2</v>
      </c>
      <c r="O79">
        <v>1</v>
      </c>
      <c r="P79">
        <v>0</v>
      </c>
      <c r="Q79">
        <v>0.85141128301620483</v>
      </c>
      <c r="R79">
        <v>0.148543581366539</v>
      </c>
      <c r="S79">
        <v>1.0486041307449341</v>
      </c>
      <c r="T79">
        <v>0.74972796440124512</v>
      </c>
      <c r="AE79">
        <v>0.48632800278695365</v>
      </c>
      <c r="AF79">
        <v>1428.3517935728519</v>
      </c>
      <c r="AG79">
        <v>82412.617084054975</v>
      </c>
      <c r="AH79">
        <v>0.552137322966469</v>
      </c>
      <c r="AI79">
        <v>839.52526697112899</v>
      </c>
      <c r="AJ79">
        <v>63074.11131327723</v>
      </c>
    </row>
    <row r="80" spans="1:36" x14ac:dyDescent="0.25">
      <c r="A80" t="s">
        <v>6</v>
      </c>
      <c r="B80" t="s">
        <v>38</v>
      </c>
      <c r="C80">
        <v>2013</v>
      </c>
      <c r="D80" t="str">
        <f t="shared" si="1"/>
        <v>KHM2013</v>
      </c>
      <c r="E80">
        <v>8273.6380000000008</v>
      </c>
      <c r="F80">
        <v>6719.8831615039308</v>
      </c>
      <c r="G80">
        <v>0.81220418214797974</v>
      </c>
      <c r="H80">
        <v>48255.96875</v>
      </c>
      <c r="I80">
        <v>39649.09375</v>
      </c>
      <c r="J80">
        <v>107442.1171875</v>
      </c>
      <c r="K80">
        <v>3.9881382137537003E-2</v>
      </c>
      <c r="L80">
        <v>8.1837400794029236E-2</v>
      </c>
      <c r="M80">
        <v>5.726335197687149E-2</v>
      </c>
      <c r="N80">
        <v>7.4278585612773895E-2</v>
      </c>
      <c r="O80">
        <v>0</v>
      </c>
      <c r="P80">
        <v>1</v>
      </c>
      <c r="Q80">
        <v>0.85141128301620483</v>
      </c>
      <c r="R80">
        <v>0.148543581366539</v>
      </c>
      <c r="S80">
        <v>1.0486041307449341</v>
      </c>
      <c r="T80">
        <v>0.74972796440124512</v>
      </c>
      <c r="Y80">
        <v>472</v>
      </c>
      <c r="Z80">
        <v>118</v>
      </c>
      <c r="AA80">
        <v>0</v>
      </c>
      <c r="AB80">
        <v>117</v>
      </c>
      <c r="AD80">
        <v>2013</v>
      </c>
      <c r="AE80">
        <v>0.48262216190954282</v>
      </c>
      <c r="AF80">
        <v>1515.8305502564974</v>
      </c>
      <c r="AG80">
        <v>87459.940376536833</v>
      </c>
      <c r="AH80">
        <v>0.54846544903663674</v>
      </c>
      <c r="AI80">
        <v>891.81223814498287</v>
      </c>
      <c r="AJ80">
        <v>67002.467456687024</v>
      </c>
    </row>
    <row r="81" spans="1:36" x14ac:dyDescent="0.25">
      <c r="A81" t="s">
        <v>6</v>
      </c>
      <c r="B81" t="s">
        <v>38</v>
      </c>
      <c r="C81">
        <v>2014</v>
      </c>
      <c r="D81" t="str">
        <f t="shared" si="1"/>
        <v>KHM2014</v>
      </c>
      <c r="E81">
        <v>8520.5589999999993</v>
      </c>
      <c r="F81">
        <v>6751.1041345866033</v>
      </c>
      <c r="G81">
        <v>0.79233109951019287</v>
      </c>
      <c r="H81">
        <v>51668.37890625</v>
      </c>
      <c r="I81">
        <v>41372.953125</v>
      </c>
      <c r="J81">
        <v>118962</v>
      </c>
      <c r="K81">
        <v>4.0119554847478867E-2</v>
      </c>
      <c r="L81">
        <v>7.5501807034015656E-2</v>
      </c>
      <c r="M81">
        <v>4.3477900326251984E-2</v>
      </c>
      <c r="N81">
        <v>7.0714779198169708E-2</v>
      </c>
      <c r="O81">
        <v>0</v>
      </c>
      <c r="P81">
        <v>1</v>
      </c>
      <c r="Q81">
        <v>0.85141128301620483</v>
      </c>
      <c r="R81">
        <v>0.148543581366539</v>
      </c>
      <c r="S81">
        <v>1.0486041307449341</v>
      </c>
      <c r="T81">
        <v>0.74972796440124512</v>
      </c>
      <c r="AE81">
        <v>0.45217799469111675</v>
      </c>
      <c r="AF81">
        <v>1520.4091377672974</v>
      </c>
      <c r="AG81">
        <v>87724.114357352533</v>
      </c>
      <c r="AH81">
        <v>0.51802648910651317</v>
      </c>
      <c r="AI81">
        <v>901.74506487189103</v>
      </c>
      <c r="AJ81">
        <v>67748.727567343158</v>
      </c>
    </row>
    <row r="82" spans="1:36" x14ac:dyDescent="0.25">
      <c r="A82" t="s">
        <v>6</v>
      </c>
      <c r="B82" t="s">
        <v>38</v>
      </c>
      <c r="C82">
        <v>2015</v>
      </c>
      <c r="D82" t="str">
        <f t="shared" si="1"/>
        <v>KHM2015</v>
      </c>
      <c r="E82">
        <v>8625.5149999999994</v>
      </c>
      <c r="F82">
        <v>6782.3251076692832</v>
      </c>
      <c r="G82">
        <v>0.78630959987640381</v>
      </c>
      <c r="H82">
        <v>55303.88671875</v>
      </c>
      <c r="I82">
        <v>43782.14453125</v>
      </c>
      <c r="J82">
        <v>131744.484375</v>
      </c>
      <c r="K82">
        <v>4.034404456615448E-2</v>
      </c>
      <c r="L82">
        <v>6.5766856074333191E-2</v>
      </c>
      <c r="M82">
        <v>5.8231070637702942E-2</v>
      </c>
      <c r="N82">
        <v>7.0362336933612823E-2</v>
      </c>
      <c r="O82">
        <v>0</v>
      </c>
      <c r="P82">
        <v>1</v>
      </c>
      <c r="Q82">
        <v>0.85141128301620483</v>
      </c>
      <c r="R82">
        <v>0.148543581366539</v>
      </c>
      <c r="S82">
        <v>1.0486041307449341</v>
      </c>
      <c r="T82">
        <v>0.74972796440124512</v>
      </c>
      <c r="AE82">
        <v>0.44069655107001265</v>
      </c>
      <c r="AF82">
        <v>1581.1103958323565</v>
      </c>
      <c r="AG82">
        <v>91226.437496474187</v>
      </c>
      <c r="AH82">
        <v>0.5064186799406929</v>
      </c>
      <c r="AI82">
        <v>940.61742130698121</v>
      </c>
      <c r="AJ82">
        <v>70669.23446958579</v>
      </c>
    </row>
    <row r="83" spans="1:36" x14ac:dyDescent="0.25">
      <c r="A83" t="s">
        <v>6</v>
      </c>
      <c r="B83" t="s">
        <v>38</v>
      </c>
      <c r="C83">
        <v>2016</v>
      </c>
      <c r="D83" t="str">
        <f t="shared" si="1"/>
        <v>KHM2016</v>
      </c>
      <c r="E83">
        <v>8954.89</v>
      </c>
      <c r="F83">
        <v>6813.546080751963</v>
      </c>
      <c r="G83">
        <v>0.76087433099746704</v>
      </c>
      <c r="H83">
        <v>59110.16015625</v>
      </c>
      <c r="I83">
        <v>46704.4453125</v>
      </c>
      <c r="J83">
        <v>145852.375</v>
      </c>
      <c r="K83">
        <v>4.0487036108970642E-2</v>
      </c>
      <c r="L83">
        <v>5.9570532292127609E-2</v>
      </c>
      <c r="M83">
        <v>6.6746406257152557E-2</v>
      </c>
      <c r="N83">
        <v>6.8824701011180878E-2</v>
      </c>
      <c r="O83">
        <v>0</v>
      </c>
      <c r="P83">
        <v>1</v>
      </c>
      <c r="Q83">
        <v>0.85141128301620483</v>
      </c>
      <c r="R83">
        <v>0.148543581366539</v>
      </c>
      <c r="S83">
        <v>1.0486041307449341</v>
      </c>
      <c r="T83">
        <v>0.74972796440124512</v>
      </c>
      <c r="AE83">
        <v>0.40669118223057998</v>
      </c>
      <c r="AF83">
        <v>1556.4053502882364</v>
      </c>
      <c r="AG83">
        <v>89801.013124388031</v>
      </c>
      <c r="AH83">
        <v>0.47161825415855707</v>
      </c>
      <c r="AI83">
        <v>934.39245698196521</v>
      </c>
      <c r="AJ83">
        <v>70201.548614014348</v>
      </c>
    </row>
    <row r="84" spans="1:36" x14ac:dyDescent="0.25">
      <c r="A84" t="s">
        <v>6</v>
      </c>
      <c r="B84" t="s">
        <v>38</v>
      </c>
      <c r="C84">
        <v>2017</v>
      </c>
      <c r="D84" t="str">
        <f t="shared" si="1"/>
        <v>KHM2017</v>
      </c>
      <c r="E84">
        <v>9101.7860000000001</v>
      </c>
      <c r="F84">
        <v>6844.7670538346429</v>
      </c>
      <c r="G84">
        <v>0.75202459096908569</v>
      </c>
      <c r="H84">
        <v>63252.046875</v>
      </c>
      <c r="I84">
        <v>48895.91796875</v>
      </c>
      <c r="J84">
        <v>160636.5625</v>
      </c>
      <c r="K84">
        <v>4.0584784001111984E-2</v>
      </c>
      <c r="L84">
        <v>5.4899256676435471E-2</v>
      </c>
      <c r="M84">
        <v>4.6922143548727036E-2</v>
      </c>
      <c r="N84">
        <v>7.0070639252662659E-2</v>
      </c>
      <c r="O84">
        <v>0</v>
      </c>
      <c r="P84">
        <v>1</v>
      </c>
      <c r="Q84">
        <v>0.85141128301620483</v>
      </c>
      <c r="R84">
        <v>0.148543581366539</v>
      </c>
      <c r="S84">
        <v>1.0486041307449341</v>
      </c>
      <c r="T84">
        <v>0.74972796440124512</v>
      </c>
      <c r="AE84">
        <v>0.39332213861506121</v>
      </c>
      <c r="AF84">
        <v>1603.334975708716</v>
      </c>
      <c r="AG84">
        <v>92508.744697995542</v>
      </c>
      <c r="AH84">
        <v>0.45776160211954159</v>
      </c>
      <c r="AI84">
        <v>966.04196774344189</v>
      </c>
      <c r="AJ84">
        <v>72579.398147932894</v>
      </c>
    </row>
    <row r="85" spans="1:36" x14ac:dyDescent="0.25">
      <c r="A85" t="s">
        <v>6</v>
      </c>
      <c r="B85" t="s">
        <v>38</v>
      </c>
      <c r="C85">
        <v>2018</v>
      </c>
      <c r="D85" t="str">
        <f t="shared" si="1"/>
        <v>KHM2018</v>
      </c>
      <c r="E85">
        <v>8906.8454999999958</v>
      </c>
      <c r="F85">
        <v>6875.9880269173227</v>
      </c>
      <c r="G85">
        <v>0.77198916673660278</v>
      </c>
      <c r="H85">
        <v>68094.1640625</v>
      </c>
      <c r="I85">
        <v>51190.92578125</v>
      </c>
      <c r="J85">
        <v>176170.921875</v>
      </c>
      <c r="K85">
        <v>4.0654029697179794E-2</v>
      </c>
      <c r="L85">
        <v>5.3812779486179352E-2</v>
      </c>
      <c r="M85">
        <v>4.6936593949794769E-2</v>
      </c>
      <c r="N85">
        <v>7.6552733778953552E-2</v>
      </c>
      <c r="O85">
        <v>1</v>
      </c>
      <c r="P85">
        <v>1</v>
      </c>
      <c r="Q85">
        <v>0.85141128301620483</v>
      </c>
      <c r="R85">
        <v>0.148543581366539</v>
      </c>
      <c r="S85">
        <v>1.0486041307449341</v>
      </c>
      <c r="T85">
        <v>0.74972796440124512</v>
      </c>
      <c r="AE85">
        <v>0.41246818183412637</v>
      </c>
      <c r="AF85">
        <v>1793.0689212887687</v>
      </c>
      <c r="AG85">
        <v>103455.95747519452</v>
      </c>
      <c r="AH85">
        <v>0.47757515836770797</v>
      </c>
      <c r="AI85">
        <v>1074.8033662875314</v>
      </c>
      <c r="AJ85">
        <v>80750.71690181327</v>
      </c>
    </row>
    <row r="86" spans="1:36" x14ac:dyDescent="0.25">
      <c r="A86" t="s">
        <v>6</v>
      </c>
      <c r="B86" t="s">
        <v>38</v>
      </c>
      <c r="C86">
        <v>2019</v>
      </c>
      <c r="D86" t="str">
        <f t="shared" si="1"/>
        <v>KHM2019</v>
      </c>
      <c r="E86">
        <v>8711.9050000000007</v>
      </c>
      <c r="F86">
        <v>6907.2089999999998</v>
      </c>
      <c r="G86">
        <v>0.7928471565246582</v>
      </c>
      <c r="H86">
        <v>72751.4375</v>
      </c>
      <c r="I86">
        <v>54020.36328125</v>
      </c>
      <c r="J86">
        <v>192676.4375</v>
      </c>
      <c r="K86">
        <v>4.0800653398036957E-2</v>
      </c>
      <c r="L86">
        <v>5.3220950067043304E-2</v>
      </c>
      <c r="M86">
        <v>5.5272247642278671E-2</v>
      </c>
      <c r="N86">
        <v>6.8394601345062256E-2</v>
      </c>
      <c r="O86">
        <v>0</v>
      </c>
      <c r="P86">
        <v>0</v>
      </c>
      <c r="Q86">
        <v>0.85141128301620483</v>
      </c>
      <c r="R86">
        <v>0.148543581366539</v>
      </c>
      <c r="S86">
        <v>1.0486041307449341</v>
      </c>
      <c r="T86">
        <v>0.74972796440124512</v>
      </c>
      <c r="U86">
        <v>11311.0390625</v>
      </c>
      <c r="V86">
        <v>2271.5224609375</v>
      </c>
      <c r="W86">
        <v>6740.02099609375</v>
      </c>
      <c r="X86">
        <v>1762.5223388671875</v>
      </c>
      <c r="Y86">
        <v>519</v>
      </c>
      <c r="Z86">
        <v>1277</v>
      </c>
      <c r="AA86">
        <v>260</v>
      </c>
      <c r="AB86">
        <v>926</v>
      </c>
      <c r="AD86">
        <v>2023</v>
      </c>
      <c r="AE86">
        <v>0.43458820705496759</v>
      </c>
      <c r="AF86">
        <v>2026.9577544307592</v>
      </c>
      <c r="AG86">
        <v>116950.80582607046</v>
      </c>
      <c r="AH86">
        <v>0.50021409557450403</v>
      </c>
      <c r="AI86">
        <v>1207.8234145925403</v>
      </c>
      <c r="AJ86">
        <v>90744.604714097761</v>
      </c>
    </row>
    <row r="87" spans="1:36" x14ac:dyDescent="0.25">
      <c r="A87" t="s">
        <v>7</v>
      </c>
      <c r="B87" t="s">
        <v>39</v>
      </c>
      <c r="C87">
        <v>2007</v>
      </c>
      <c r="D87" t="str">
        <f t="shared" si="1"/>
        <v>CMR2007</v>
      </c>
      <c r="E87">
        <v>8193.8829999999998</v>
      </c>
      <c r="F87">
        <v>6933.5370000000003</v>
      </c>
      <c r="G87">
        <v>0.84618455171585083</v>
      </c>
      <c r="H87">
        <v>56855.7109375</v>
      </c>
      <c r="I87">
        <v>49752.34375</v>
      </c>
      <c r="J87">
        <v>128778.0859375</v>
      </c>
      <c r="K87">
        <v>5.2201509475708008E-2</v>
      </c>
      <c r="L87">
        <v>0.12337276339530945</v>
      </c>
      <c r="M87">
        <v>5.4051525890827179E-2</v>
      </c>
      <c r="N87">
        <v>4.9022022634744644E-2</v>
      </c>
      <c r="O87">
        <v>0</v>
      </c>
      <c r="P87">
        <v>0</v>
      </c>
      <c r="Q87">
        <v>1.260358452796936</v>
      </c>
      <c r="R87">
        <v>0.15881568193435669</v>
      </c>
      <c r="S87">
        <v>1.5101209878921509</v>
      </c>
      <c r="T87">
        <v>0.48763704299926758</v>
      </c>
      <c r="AE87">
        <v>0.20309676264842957</v>
      </c>
      <c r="AF87">
        <v>40.515467024155676</v>
      </c>
      <c r="AG87">
        <v>13528083.294365171</v>
      </c>
      <c r="AH87">
        <v>0.18627209495752722</v>
      </c>
      <c r="AI87">
        <v>44.648684182569816</v>
      </c>
      <c r="AJ87">
        <v>13390452.818729462</v>
      </c>
    </row>
    <row r="88" spans="1:36" x14ac:dyDescent="0.25">
      <c r="A88" t="s">
        <v>7</v>
      </c>
      <c r="B88" t="s">
        <v>39</v>
      </c>
      <c r="C88">
        <v>2008</v>
      </c>
      <c r="D88" t="str">
        <f t="shared" si="1"/>
        <v>CMR2008</v>
      </c>
      <c r="E88">
        <v>8127.2516666666488</v>
      </c>
      <c r="F88">
        <v>6912.7194285714359</v>
      </c>
      <c r="G88">
        <v>0.85056054592132568</v>
      </c>
      <c r="H88">
        <v>58839.29296875</v>
      </c>
      <c r="I88">
        <v>51870.87109375</v>
      </c>
      <c r="J88">
        <v>134786.71875</v>
      </c>
      <c r="K88">
        <v>5.3288251161575317E-2</v>
      </c>
      <c r="L88">
        <v>0.12565724551677704</v>
      </c>
      <c r="M88">
        <v>4.2581457644701004E-2</v>
      </c>
      <c r="N88">
        <v>3.4887999296188354E-2</v>
      </c>
      <c r="O88">
        <v>1</v>
      </c>
      <c r="P88">
        <v>1</v>
      </c>
      <c r="Q88">
        <v>1.260358452796936</v>
      </c>
      <c r="R88">
        <v>0.15881568193435669</v>
      </c>
      <c r="S88">
        <v>1.5101209878921509</v>
      </c>
      <c r="T88">
        <v>0.48763704299926758</v>
      </c>
      <c r="AE88">
        <v>0.20930961910419441</v>
      </c>
      <c r="AF88">
        <v>43.866042024599544</v>
      </c>
      <c r="AG88">
        <v>14646837.711363452</v>
      </c>
      <c r="AH88">
        <v>0.19209433778111915</v>
      </c>
      <c r="AI88">
        <v>48.372311802643509</v>
      </c>
      <c r="AJ88">
        <v>14507194.798341477</v>
      </c>
    </row>
    <row r="89" spans="1:36" x14ac:dyDescent="0.25">
      <c r="A89" t="s">
        <v>7</v>
      </c>
      <c r="B89" t="s">
        <v>39</v>
      </c>
      <c r="C89">
        <v>2009</v>
      </c>
      <c r="D89" t="str">
        <f t="shared" si="1"/>
        <v>CMR2009</v>
      </c>
      <c r="E89">
        <v>8060.6203333333251</v>
      </c>
      <c r="F89">
        <v>6891.9018571428605</v>
      </c>
      <c r="G89">
        <v>0.85500884056091309</v>
      </c>
      <c r="H89">
        <v>60132.97265625</v>
      </c>
      <c r="I89">
        <v>53122.28125</v>
      </c>
      <c r="J89">
        <v>140379.921875</v>
      </c>
      <c r="K89">
        <v>5.4398104548454285E-2</v>
      </c>
      <c r="L89">
        <v>0.13030268251895905</v>
      </c>
      <c r="M89">
        <v>2.4125490337610245E-2</v>
      </c>
      <c r="N89">
        <v>2.1986663341522217E-2</v>
      </c>
      <c r="O89">
        <v>1</v>
      </c>
      <c r="P89">
        <v>1</v>
      </c>
      <c r="Q89">
        <v>1.260358452796936</v>
      </c>
      <c r="R89">
        <v>0.15881568193435669</v>
      </c>
      <c r="S89">
        <v>1.5101209878921509</v>
      </c>
      <c r="T89">
        <v>0.48763704299926758</v>
      </c>
      <c r="U89">
        <v>105115.4609375</v>
      </c>
      <c r="V89">
        <v>4913.87353515625</v>
      </c>
      <c r="W89">
        <v>115995.65625</v>
      </c>
      <c r="X89">
        <v>4870.46337890625</v>
      </c>
      <c r="Y89">
        <v>347</v>
      </c>
      <c r="Z89">
        <v>121</v>
      </c>
      <c r="AA89">
        <v>90</v>
      </c>
      <c r="AB89">
        <v>113</v>
      </c>
      <c r="AD89">
        <v>2009</v>
      </c>
      <c r="AE89">
        <v>0.21609705435171772</v>
      </c>
      <c r="AF89">
        <v>46.937525488203676</v>
      </c>
      <c r="AG89">
        <v>15672403.678753849</v>
      </c>
      <c r="AH89">
        <v>0.19846364219687934</v>
      </c>
      <c r="AI89">
        <v>51.795892090436915</v>
      </c>
      <c r="AJ89">
        <v>15533950.483399861</v>
      </c>
    </row>
    <row r="90" spans="1:36" x14ac:dyDescent="0.25">
      <c r="A90" t="s">
        <v>7</v>
      </c>
      <c r="B90" t="s">
        <v>39</v>
      </c>
      <c r="C90">
        <v>2010</v>
      </c>
      <c r="D90" t="str">
        <f t="shared" si="1"/>
        <v>CMR2010</v>
      </c>
      <c r="E90">
        <v>7993.9889999999996</v>
      </c>
      <c r="F90">
        <v>6871.0842857142925</v>
      </c>
      <c r="G90">
        <v>0.85953134298324585</v>
      </c>
      <c r="H90">
        <v>62191.03125</v>
      </c>
      <c r="I90">
        <v>55031.2890625</v>
      </c>
      <c r="J90">
        <v>146194.296875</v>
      </c>
      <c r="K90">
        <v>5.444052442908287E-2</v>
      </c>
      <c r="L90">
        <v>0.1324876993894577</v>
      </c>
      <c r="M90">
        <v>3.5936102271080017E-2</v>
      </c>
      <c r="N90">
        <v>3.422512486577034E-2</v>
      </c>
      <c r="O90">
        <v>0</v>
      </c>
      <c r="P90">
        <v>1</v>
      </c>
      <c r="Q90">
        <v>1.260358452796936</v>
      </c>
      <c r="R90">
        <v>0.15881568193435669</v>
      </c>
      <c r="S90">
        <v>1.5101209878921509</v>
      </c>
      <c r="T90">
        <v>0.48763704299926758</v>
      </c>
      <c r="AE90">
        <v>0.22337985168760296</v>
      </c>
      <c r="AF90">
        <v>50.254052269731154</v>
      </c>
      <c r="AG90">
        <v>16779789.421629451</v>
      </c>
      <c r="AH90">
        <v>0.20530780964741968</v>
      </c>
      <c r="AI90">
        <v>55.49777547033986</v>
      </c>
      <c r="AJ90">
        <v>16644171.213227784</v>
      </c>
    </row>
    <row r="91" spans="1:36" x14ac:dyDescent="0.25">
      <c r="A91" t="s">
        <v>7</v>
      </c>
      <c r="B91" t="s">
        <v>39</v>
      </c>
      <c r="C91">
        <v>2011</v>
      </c>
      <c r="D91" t="str">
        <f t="shared" si="1"/>
        <v>CMR2011</v>
      </c>
      <c r="E91">
        <v>8104.1817500000179</v>
      </c>
      <c r="F91">
        <v>6850.2667142857172</v>
      </c>
      <c r="G91">
        <v>0.84527558088302612</v>
      </c>
      <c r="H91">
        <v>64759.0625</v>
      </c>
      <c r="I91">
        <v>56988.22265625</v>
      </c>
      <c r="J91">
        <v>153338.6875</v>
      </c>
      <c r="K91">
        <v>5.4254937916994095E-2</v>
      </c>
      <c r="L91">
        <v>0.13303105533123016</v>
      </c>
      <c r="M91">
        <v>3.5560380667448044E-2</v>
      </c>
      <c r="N91">
        <v>4.1292630136013031E-2</v>
      </c>
      <c r="O91">
        <v>1</v>
      </c>
      <c r="P91">
        <v>1</v>
      </c>
      <c r="Q91">
        <v>1.260358452796936</v>
      </c>
      <c r="R91">
        <v>0.15881568193435669</v>
      </c>
      <c r="S91">
        <v>1.5101209878921509</v>
      </c>
      <c r="T91">
        <v>0.48763704299926758</v>
      </c>
      <c r="AE91">
        <v>0.19873527372762287</v>
      </c>
      <c r="AF91">
        <v>46.624849875467724</v>
      </c>
      <c r="AG91">
        <v>15568001.532020932</v>
      </c>
      <c r="AH91">
        <v>0.18218931165818344</v>
      </c>
      <c r="AI91">
        <v>51.358035259841841</v>
      </c>
      <c r="AJ91">
        <v>15402634.155969752</v>
      </c>
    </row>
    <row r="92" spans="1:36" x14ac:dyDescent="0.25">
      <c r="A92" t="s">
        <v>7</v>
      </c>
      <c r="B92" t="s">
        <v>39</v>
      </c>
      <c r="C92">
        <v>2012</v>
      </c>
      <c r="D92" t="str">
        <f t="shared" si="1"/>
        <v>CMR2012</v>
      </c>
      <c r="E92">
        <v>8214.3745000000054</v>
      </c>
      <c r="F92">
        <v>6829.4491428571491</v>
      </c>
      <c r="G92">
        <v>0.8314022421836853</v>
      </c>
      <c r="H92">
        <v>67701.2421875</v>
      </c>
      <c r="I92">
        <v>59512.1328125</v>
      </c>
      <c r="J92">
        <v>160505.65625</v>
      </c>
      <c r="K92">
        <v>5.4165840148925781E-2</v>
      </c>
      <c r="L92">
        <v>0.1265268474817276</v>
      </c>
      <c r="M92">
        <v>4.4288277626037598E-2</v>
      </c>
      <c r="N92">
        <v>4.5432709157466888E-2</v>
      </c>
      <c r="O92">
        <v>1</v>
      </c>
      <c r="P92">
        <v>1</v>
      </c>
      <c r="Q92">
        <v>1.260358452796936</v>
      </c>
      <c r="R92">
        <v>0.15881568193435669</v>
      </c>
      <c r="S92">
        <v>1.5101209878921509</v>
      </c>
      <c r="T92">
        <v>0.48763704299926758</v>
      </c>
      <c r="AE92">
        <v>0.17825640527360151</v>
      </c>
      <c r="AF92">
        <v>43.78529487958594</v>
      </c>
      <c r="AG92">
        <v>14619876.301715259</v>
      </c>
      <c r="AH92">
        <v>0.16306844788310176</v>
      </c>
      <c r="AI92">
        <v>48.127808785840855</v>
      </c>
      <c r="AJ92">
        <v>14433866.632674927</v>
      </c>
    </row>
    <row r="93" spans="1:36" x14ac:dyDescent="0.25">
      <c r="A93" t="s">
        <v>7</v>
      </c>
      <c r="B93" t="s">
        <v>39</v>
      </c>
      <c r="C93">
        <v>2013</v>
      </c>
      <c r="D93" t="str">
        <f t="shared" si="1"/>
        <v>CMR2013</v>
      </c>
      <c r="E93">
        <v>8324.5672500000219</v>
      </c>
      <c r="F93">
        <v>6808.6315714285738</v>
      </c>
      <c r="G93">
        <v>0.81789618730545044</v>
      </c>
      <c r="H93">
        <v>71359.9921875</v>
      </c>
      <c r="I93">
        <v>63128.10546875</v>
      </c>
      <c r="J93">
        <v>168284.96875</v>
      </c>
      <c r="K93">
        <v>5.3607471287250519E-2</v>
      </c>
      <c r="L93">
        <v>0.13448311388492584</v>
      </c>
      <c r="M93">
        <v>6.0760259628295898E-2</v>
      </c>
      <c r="N93">
        <v>5.4042581468820572E-2</v>
      </c>
      <c r="O93">
        <v>1</v>
      </c>
      <c r="P93">
        <v>1</v>
      </c>
      <c r="Q93">
        <v>1.260358452796936</v>
      </c>
      <c r="R93">
        <v>0.15881568193435669</v>
      </c>
      <c r="S93">
        <v>1.5101209878921509</v>
      </c>
      <c r="T93">
        <v>0.48763704299926758</v>
      </c>
      <c r="AE93">
        <v>0.16095624092768493</v>
      </c>
      <c r="AF93">
        <v>41.734540906176804</v>
      </c>
      <c r="AG93">
        <v>13935131.126447041</v>
      </c>
      <c r="AH93">
        <v>0.14697866045340949</v>
      </c>
      <c r="AI93">
        <v>45.791526536384964</v>
      </c>
      <c r="AJ93">
        <v>13733199.23776014</v>
      </c>
    </row>
    <row r="94" spans="1:36" x14ac:dyDescent="0.25">
      <c r="A94" t="s">
        <v>7</v>
      </c>
      <c r="B94" t="s">
        <v>39</v>
      </c>
      <c r="C94">
        <v>2014</v>
      </c>
      <c r="D94" t="str">
        <f t="shared" si="1"/>
        <v>CMR2014</v>
      </c>
      <c r="E94">
        <v>8434.76</v>
      </c>
      <c r="F94">
        <v>6787.8140000000003</v>
      </c>
      <c r="G94">
        <v>0.80474299192428589</v>
      </c>
      <c r="H94">
        <v>75558.859375</v>
      </c>
      <c r="I94">
        <v>66371.421875</v>
      </c>
      <c r="J94">
        <v>177939.078125</v>
      </c>
      <c r="K94">
        <v>5.318022146821022E-2</v>
      </c>
      <c r="L94">
        <v>0.139821857213974</v>
      </c>
      <c r="M94">
        <v>5.1376741379499435E-2</v>
      </c>
      <c r="N94">
        <v>5.8840632438659668E-2</v>
      </c>
      <c r="O94">
        <v>0</v>
      </c>
      <c r="P94">
        <v>0</v>
      </c>
      <c r="Q94">
        <v>1.260358452796936</v>
      </c>
      <c r="R94">
        <v>0.15881568193435669</v>
      </c>
      <c r="S94">
        <v>1.5101209878921509</v>
      </c>
      <c r="T94">
        <v>0.48763704299926758</v>
      </c>
      <c r="AE94">
        <v>0.14604626396770656</v>
      </c>
      <c r="AF94">
        <v>40.156641110876222</v>
      </c>
      <c r="AG94">
        <v>13408271.597757382</v>
      </c>
      <c r="AH94">
        <v>0.13315799217949459</v>
      </c>
      <c r="AI94">
        <v>43.992352090927668</v>
      </c>
      <c r="AJ94">
        <v>13193614.231714994</v>
      </c>
    </row>
    <row r="95" spans="1:36" x14ac:dyDescent="0.25">
      <c r="A95" t="s">
        <v>8</v>
      </c>
      <c r="B95" t="s">
        <v>40</v>
      </c>
      <c r="C95">
        <v>2015</v>
      </c>
      <c r="D95" t="str">
        <f t="shared" si="1"/>
        <v>CPV2015</v>
      </c>
      <c r="E95">
        <v>196.20985714285598</v>
      </c>
      <c r="F95">
        <v>106.39979610644856</v>
      </c>
      <c r="G95">
        <v>0.54227548837661743</v>
      </c>
      <c r="H95">
        <v>3410.6796875</v>
      </c>
      <c r="I95">
        <v>3039.66259765625</v>
      </c>
      <c r="J95">
        <v>15187.6962890625</v>
      </c>
      <c r="K95">
        <v>4.2448699474334717E-2</v>
      </c>
      <c r="L95">
        <v>0.21499978005886078</v>
      </c>
      <c r="M95">
        <v>3.3119257539510727E-2</v>
      </c>
      <c r="N95">
        <v>1.0069355368614197E-2</v>
      </c>
      <c r="O95">
        <v>1</v>
      </c>
      <c r="P95">
        <v>0</v>
      </c>
      <c r="Q95">
        <v>1.0236655473709106</v>
      </c>
      <c r="R95">
        <v>0.27816972136497498</v>
      </c>
      <c r="S95">
        <v>1.0234858989715576</v>
      </c>
      <c r="T95">
        <v>0.74972796440124512</v>
      </c>
      <c r="U95">
        <v>1338962.25</v>
      </c>
      <c r="V95">
        <v>43514.90234375</v>
      </c>
      <c r="W95">
        <v>25619.765625</v>
      </c>
      <c r="X95">
        <v>43523.671875</v>
      </c>
      <c r="Y95">
        <v>147</v>
      </c>
      <c r="Z95">
        <v>74</v>
      </c>
      <c r="AA95">
        <v>63</v>
      </c>
      <c r="AB95">
        <v>64</v>
      </c>
      <c r="AD95">
        <v>2009</v>
      </c>
      <c r="AE95">
        <v>3.7074735884141174E-2</v>
      </c>
      <c r="AF95">
        <v>1504.3968648892214</v>
      </c>
      <c r="AG95">
        <v>788389.29560908163</v>
      </c>
      <c r="AH95">
        <v>0.6680652591314824</v>
      </c>
      <c r="AI95">
        <v>28.785199198443905</v>
      </c>
      <c r="AJ95">
        <v>788548.17921429791</v>
      </c>
    </row>
    <row r="96" spans="1:36" x14ac:dyDescent="0.25">
      <c r="A96" t="s">
        <v>326</v>
      </c>
      <c r="B96" t="s">
        <v>41</v>
      </c>
      <c r="C96">
        <v>2005</v>
      </c>
      <c r="D96" t="str">
        <f t="shared" si="1"/>
        <v>COD2005</v>
      </c>
      <c r="E96">
        <v>19117.763999999999</v>
      </c>
      <c r="F96">
        <v>17558.255000000001</v>
      </c>
      <c r="G96">
        <v>0.91842615604400635</v>
      </c>
      <c r="H96">
        <v>40544.23046875</v>
      </c>
      <c r="I96">
        <v>41852.359375</v>
      </c>
      <c r="J96">
        <v>155343.609375</v>
      </c>
      <c r="K96">
        <v>1.6996869817376137E-2</v>
      </c>
      <c r="L96">
        <v>0.15527835488319397</v>
      </c>
      <c r="M96">
        <v>8.0958887934684753E-2</v>
      </c>
      <c r="N96">
        <v>6.1353724449872971E-2</v>
      </c>
      <c r="O96">
        <v>0</v>
      </c>
      <c r="P96">
        <v>0</v>
      </c>
      <c r="Q96">
        <v>0.67331558465957642</v>
      </c>
      <c r="R96">
        <v>0.53705239295959473</v>
      </c>
      <c r="S96">
        <v>1.7589461803436279</v>
      </c>
      <c r="T96">
        <v>0.58212274312973022</v>
      </c>
      <c r="AE96">
        <v>8.1816519396114035E-2</v>
      </c>
      <c r="AF96">
        <v>72.413904054805215</v>
      </c>
      <c r="AG96">
        <v>5925190.0556910178</v>
      </c>
      <c r="AH96">
        <v>5.0651576017150146E-2</v>
      </c>
      <c r="AI96">
        <v>121.35943050218354</v>
      </c>
      <c r="AJ96">
        <v>5945791.2416866859</v>
      </c>
    </row>
    <row r="97" spans="1:36" x14ac:dyDescent="0.25">
      <c r="A97" t="s">
        <v>326</v>
      </c>
      <c r="B97" t="s">
        <v>41</v>
      </c>
      <c r="C97">
        <v>2006</v>
      </c>
      <c r="D97" t="str">
        <f t="shared" si="1"/>
        <v>COD2006</v>
      </c>
      <c r="E97">
        <v>20301.695428571198</v>
      </c>
      <c r="F97">
        <v>18398.745714285644</v>
      </c>
      <c r="G97">
        <v>0.90626645088195801</v>
      </c>
      <c r="H97">
        <v>42701.55859375</v>
      </c>
      <c r="I97">
        <v>42719.89453125</v>
      </c>
      <c r="J97">
        <v>156707.09375</v>
      </c>
      <c r="K97">
        <v>1.7184801399707794E-2</v>
      </c>
      <c r="L97">
        <v>0.15478602051734924</v>
      </c>
      <c r="M97">
        <v>2.0728465169668198E-2</v>
      </c>
      <c r="N97">
        <v>5.3209248930215836E-2</v>
      </c>
      <c r="O97">
        <v>1</v>
      </c>
      <c r="P97">
        <v>1</v>
      </c>
      <c r="Q97">
        <v>0.67331558465957642</v>
      </c>
      <c r="R97">
        <v>0.53705239295959473</v>
      </c>
      <c r="S97">
        <v>1.7589461803436279</v>
      </c>
      <c r="T97">
        <v>0.58212274312973022</v>
      </c>
      <c r="AE97">
        <v>7.3822314502809433E-2</v>
      </c>
      <c r="AF97">
        <v>67.485066429391424</v>
      </c>
      <c r="AG97">
        <v>5521893.2017869009</v>
      </c>
      <c r="AH97">
        <v>4.5551396394936924E-2</v>
      </c>
      <c r="AI97">
        <v>112.7252798272641</v>
      </c>
      <c r="AJ97">
        <v>5522776.2584265629</v>
      </c>
    </row>
    <row r="98" spans="1:36" x14ac:dyDescent="0.25">
      <c r="A98" t="s">
        <v>326</v>
      </c>
      <c r="B98" t="s">
        <v>41</v>
      </c>
      <c r="C98">
        <v>2007</v>
      </c>
      <c r="D98" t="str">
        <f t="shared" si="1"/>
        <v>COD2007</v>
      </c>
      <c r="E98">
        <v>21485.626857142895</v>
      </c>
      <c r="F98">
        <v>19239.236428571166</v>
      </c>
      <c r="G98">
        <v>0.89544683694839478</v>
      </c>
      <c r="H98">
        <v>45374.44140625</v>
      </c>
      <c r="I98">
        <v>45872.37109375</v>
      </c>
      <c r="J98">
        <v>158472.890625</v>
      </c>
      <c r="K98">
        <v>1.7641469836235046E-2</v>
      </c>
      <c r="L98">
        <v>0.13972148299217224</v>
      </c>
      <c r="M98">
        <v>7.3794111609458923E-2</v>
      </c>
      <c r="N98">
        <v>6.2594503164291382E-2</v>
      </c>
      <c r="O98">
        <v>1</v>
      </c>
      <c r="P98">
        <v>1</v>
      </c>
      <c r="Q98">
        <v>0.67331558465957642</v>
      </c>
      <c r="R98">
        <v>0.53705239295959473</v>
      </c>
      <c r="S98">
        <v>1.7589461803436279</v>
      </c>
      <c r="T98">
        <v>0.58212274312973022</v>
      </c>
      <c r="AE98">
        <v>6.7790469680451701E-2</v>
      </c>
      <c r="AF98">
        <v>63.593155146873194</v>
      </c>
      <c r="AG98">
        <v>5203441.7340776632</v>
      </c>
      <c r="AH98">
        <v>4.1725434674204781E-2</v>
      </c>
      <c r="AI98">
        <v>105.96006210850156</v>
      </c>
      <c r="AJ98">
        <v>5191326.3488985337</v>
      </c>
    </row>
    <row r="99" spans="1:36" x14ac:dyDescent="0.25">
      <c r="A99" t="s">
        <v>326</v>
      </c>
      <c r="B99" t="s">
        <v>41</v>
      </c>
      <c r="C99">
        <v>2008</v>
      </c>
      <c r="D99" t="str">
        <f t="shared" si="1"/>
        <v>COD2008</v>
      </c>
      <c r="E99">
        <v>22669.558285714127</v>
      </c>
      <c r="F99">
        <v>20079.727142856922</v>
      </c>
      <c r="G99">
        <v>0.88575732707977295</v>
      </c>
      <c r="H99">
        <v>48199.4140625</v>
      </c>
      <c r="I99">
        <v>46852.515625</v>
      </c>
      <c r="J99">
        <v>160394</v>
      </c>
      <c r="K99">
        <v>1.8304336816072464E-2</v>
      </c>
      <c r="L99">
        <v>0.15299585461616516</v>
      </c>
      <c r="M99">
        <v>2.1366773173213005E-2</v>
      </c>
      <c r="N99">
        <v>6.2259115278720856E-2</v>
      </c>
      <c r="O99">
        <v>1</v>
      </c>
      <c r="P99">
        <v>1</v>
      </c>
      <c r="Q99">
        <v>0.67331558465957642</v>
      </c>
      <c r="R99">
        <v>0.53705239295959473</v>
      </c>
      <c r="S99">
        <v>1.7589461803436279</v>
      </c>
      <c r="T99">
        <v>0.58212274312973022</v>
      </c>
      <c r="AE99">
        <v>6.3061474232821879E-2</v>
      </c>
      <c r="AF99">
        <v>61.314530803284917</v>
      </c>
      <c r="AG99">
        <v>5016995.7403488001</v>
      </c>
      <c r="AH99">
        <v>3.873914948204657E-2</v>
      </c>
      <c r="AI99">
        <v>101.96449580436875</v>
      </c>
      <c r="AJ99">
        <v>4995570.6252733814</v>
      </c>
    </row>
    <row r="100" spans="1:36" x14ac:dyDescent="0.25">
      <c r="A100" t="s">
        <v>326</v>
      </c>
      <c r="B100" t="s">
        <v>41</v>
      </c>
      <c r="C100">
        <v>2009</v>
      </c>
      <c r="D100" t="str">
        <f t="shared" si="1"/>
        <v>COD2009</v>
      </c>
      <c r="E100">
        <v>23853.489714285824</v>
      </c>
      <c r="F100">
        <v>20920.217857142678</v>
      </c>
      <c r="G100">
        <v>0.8770296573638916</v>
      </c>
      <c r="H100">
        <v>49575.546875</v>
      </c>
      <c r="I100">
        <v>46906.859375</v>
      </c>
      <c r="J100">
        <v>165266.34375</v>
      </c>
      <c r="K100">
        <v>1.9745318219065666E-2</v>
      </c>
      <c r="L100">
        <v>0.11267803609371185</v>
      </c>
      <c r="M100">
        <v>1.1598897399380803E-3</v>
      </c>
      <c r="N100">
        <v>2.8550820425152779E-2</v>
      </c>
      <c r="O100">
        <v>1</v>
      </c>
      <c r="P100">
        <v>1</v>
      </c>
      <c r="Q100">
        <v>0.67331558465957642</v>
      </c>
      <c r="R100">
        <v>0.53705239295959473</v>
      </c>
      <c r="S100">
        <v>1.7589461803436279</v>
      </c>
      <c r="T100">
        <v>0.58212274312973022</v>
      </c>
      <c r="AE100">
        <v>5.8714819622548861E-2</v>
      </c>
      <c r="AF100">
        <v>59.212147893037226</v>
      </c>
      <c r="AG100">
        <v>4844970.5129335448</v>
      </c>
      <c r="AH100">
        <v>3.6004542864900041E-2</v>
      </c>
      <c r="AI100">
        <v>98.292411464952281</v>
      </c>
      <c r="AJ100">
        <v>4815663.3299466744</v>
      </c>
    </row>
    <row r="101" spans="1:36" x14ac:dyDescent="0.25">
      <c r="A101" t="s">
        <v>326</v>
      </c>
      <c r="B101" t="s">
        <v>41</v>
      </c>
      <c r="C101">
        <v>2010</v>
      </c>
      <c r="D101" t="str">
        <f t="shared" si="1"/>
        <v>COD2010</v>
      </c>
      <c r="E101">
        <v>25037.421142857056</v>
      </c>
      <c r="F101">
        <v>21760.708571428433</v>
      </c>
      <c r="G101">
        <v>0.86912739276885986</v>
      </c>
      <c r="H101">
        <v>53099.34375</v>
      </c>
      <c r="I101">
        <v>52814.01953125</v>
      </c>
      <c r="J101">
        <v>170828.09375</v>
      </c>
      <c r="K101">
        <v>2.1752404049038887E-2</v>
      </c>
      <c r="L101">
        <v>0.15328036248683929</v>
      </c>
      <c r="M101">
        <v>0.12593382596969604</v>
      </c>
      <c r="N101">
        <v>7.1079336106777191E-2</v>
      </c>
      <c r="O101">
        <v>1</v>
      </c>
      <c r="P101">
        <v>1</v>
      </c>
      <c r="Q101">
        <v>0.67331558465957642</v>
      </c>
      <c r="R101">
        <v>0.53705239295959473</v>
      </c>
      <c r="S101">
        <v>1.7589461803436279</v>
      </c>
      <c r="T101">
        <v>0.58212274312973022</v>
      </c>
      <c r="Y101">
        <v>242</v>
      </c>
      <c r="Z101">
        <v>144</v>
      </c>
      <c r="AA101">
        <v>89</v>
      </c>
      <c r="AB101">
        <v>133</v>
      </c>
      <c r="AD101">
        <v>2010</v>
      </c>
      <c r="AE101">
        <v>5.4994826313787104E-2</v>
      </c>
      <c r="AF101">
        <v>55.750966297128166</v>
      </c>
      <c r="AG101">
        <v>4561763.0399943711</v>
      </c>
      <c r="AH101">
        <v>3.3671932846230969E-2</v>
      </c>
      <c r="AI101">
        <v>92.405583884465287</v>
      </c>
      <c r="AJ101">
        <v>4527248.5959244231</v>
      </c>
    </row>
    <row r="102" spans="1:36" x14ac:dyDescent="0.25">
      <c r="A102" t="s">
        <v>326</v>
      </c>
      <c r="B102" t="s">
        <v>41</v>
      </c>
      <c r="C102">
        <v>2011</v>
      </c>
      <c r="D102" t="str">
        <f t="shared" si="1"/>
        <v>COD2011</v>
      </c>
      <c r="E102">
        <v>26221.352571428288</v>
      </c>
      <c r="F102">
        <v>22601.199285714189</v>
      </c>
      <c r="G102">
        <v>0.8619387149810791</v>
      </c>
      <c r="H102">
        <v>56749.78125</v>
      </c>
      <c r="I102">
        <v>50318.98046875</v>
      </c>
      <c r="J102">
        <v>182049.046875</v>
      </c>
      <c r="K102">
        <v>2.4333212524652481E-2</v>
      </c>
      <c r="L102">
        <v>0.14171774685382843</v>
      </c>
      <c r="M102">
        <v>-4.724198579788208E-2</v>
      </c>
      <c r="N102">
        <v>6.8747319281101227E-2</v>
      </c>
      <c r="O102">
        <v>1</v>
      </c>
      <c r="P102">
        <v>1</v>
      </c>
      <c r="Q102">
        <v>0.67331558465957642</v>
      </c>
      <c r="R102">
        <v>0.53705239295959473</v>
      </c>
      <c r="S102">
        <v>1.7589461803436279</v>
      </c>
      <c r="T102">
        <v>0.58212274312973022</v>
      </c>
      <c r="AE102">
        <v>5.101999035048968E-2</v>
      </c>
      <c r="AF102">
        <v>54.189075036447569</v>
      </c>
      <c r="AG102">
        <v>4433962.9622793058</v>
      </c>
      <c r="AH102">
        <v>3.1187380532749949E-2</v>
      </c>
      <c r="AI102">
        <v>89.670557493417647</v>
      </c>
      <c r="AJ102">
        <v>4393250.8019797616</v>
      </c>
    </row>
    <row r="103" spans="1:36" x14ac:dyDescent="0.25">
      <c r="A103" t="s">
        <v>326</v>
      </c>
      <c r="B103" t="s">
        <v>41</v>
      </c>
      <c r="C103">
        <v>2012</v>
      </c>
      <c r="D103" t="str">
        <f t="shared" si="1"/>
        <v>COD2012</v>
      </c>
      <c r="E103">
        <v>27405.284</v>
      </c>
      <c r="F103">
        <v>23441.69</v>
      </c>
      <c r="G103">
        <v>0.85537117719650269</v>
      </c>
      <c r="H103">
        <v>60771.546875</v>
      </c>
      <c r="I103">
        <v>59441.828125</v>
      </c>
      <c r="J103">
        <v>192811.5</v>
      </c>
      <c r="K103">
        <v>2.7338514104485512E-2</v>
      </c>
      <c r="L103">
        <v>0.1454201340675354</v>
      </c>
      <c r="M103">
        <v>0.1813003271818161</v>
      </c>
      <c r="N103">
        <v>7.0868387818336487E-2</v>
      </c>
      <c r="O103">
        <v>0</v>
      </c>
      <c r="P103">
        <v>0</v>
      </c>
      <c r="Q103">
        <v>0.67331558465957642</v>
      </c>
      <c r="R103">
        <v>0.53705239295959473</v>
      </c>
      <c r="S103">
        <v>1.7589461803436279</v>
      </c>
      <c r="T103">
        <v>0.58212274312973022</v>
      </c>
      <c r="AE103">
        <v>4.7707320634772975E-2</v>
      </c>
      <c r="AF103">
        <v>53.015206532197404</v>
      </c>
      <c r="AG103">
        <v>4337912.4305636296</v>
      </c>
      <c r="AH103">
        <v>2.9122901503350406E-2</v>
      </c>
      <c r="AI103">
        <v>87.609192506586027</v>
      </c>
      <c r="AJ103">
        <v>4292257.8603195539</v>
      </c>
    </row>
    <row r="104" spans="1:36" x14ac:dyDescent="0.25">
      <c r="A104" t="s">
        <v>326</v>
      </c>
      <c r="B104" t="s">
        <v>41</v>
      </c>
      <c r="C104">
        <v>2013</v>
      </c>
      <c r="D104" t="str">
        <f t="shared" si="1"/>
        <v>COD2013</v>
      </c>
      <c r="E104">
        <v>27865.21949999989</v>
      </c>
      <c r="F104">
        <v>24088.157624999993</v>
      </c>
      <c r="G104">
        <v>0.86445248126983643</v>
      </c>
      <c r="H104">
        <v>65926.171875</v>
      </c>
      <c r="I104">
        <v>66242.6328125</v>
      </c>
      <c r="J104">
        <v>202762.125</v>
      </c>
      <c r="K104">
        <v>2.9182484373450279E-2</v>
      </c>
      <c r="L104">
        <v>0.15240101516246796</v>
      </c>
      <c r="M104">
        <v>0.11441109329462051</v>
      </c>
      <c r="N104">
        <v>8.4819711744785309E-2</v>
      </c>
      <c r="O104">
        <v>1</v>
      </c>
      <c r="P104">
        <v>1</v>
      </c>
      <c r="Q104">
        <v>0.67331558465957642</v>
      </c>
      <c r="R104">
        <v>0.53705239295959473</v>
      </c>
      <c r="S104">
        <v>1.7589461803436279</v>
      </c>
      <c r="T104">
        <v>0.58212274312973022</v>
      </c>
      <c r="U104">
        <v>478455.125</v>
      </c>
      <c r="V104">
        <v>3839.220947265625</v>
      </c>
      <c r="W104">
        <v>790976.875</v>
      </c>
      <c r="X104">
        <v>3800.33154296875</v>
      </c>
      <c r="Y104">
        <v>481</v>
      </c>
      <c r="Z104">
        <v>444</v>
      </c>
      <c r="AA104">
        <v>201</v>
      </c>
      <c r="AB104">
        <v>435</v>
      </c>
      <c r="AD104">
        <v>2013</v>
      </c>
      <c r="AE104">
        <v>4.868292591091921E-2</v>
      </c>
      <c r="AF104">
        <v>57.023072754662643</v>
      </c>
      <c r="AG104">
        <v>4665851.7869048947</v>
      </c>
      <c r="AH104">
        <v>2.9730324070040972E-2</v>
      </c>
      <c r="AI104">
        <v>94.269931564387974</v>
      </c>
      <c r="AJ104">
        <v>4618589.0221350063</v>
      </c>
    </row>
    <row r="105" spans="1:36" x14ac:dyDescent="0.25">
      <c r="A105" t="s">
        <v>326</v>
      </c>
      <c r="B105" t="s">
        <v>41</v>
      </c>
      <c r="C105">
        <v>2014</v>
      </c>
      <c r="D105" t="str">
        <f t="shared" si="1"/>
        <v>COD2014</v>
      </c>
      <c r="E105">
        <v>28325.154999999912</v>
      </c>
      <c r="F105">
        <v>24734.625250000041</v>
      </c>
      <c r="G105">
        <v>0.87323880195617676</v>
      </c>
      <c r="H105">
        <v>72169.2734375</v>
      </c>
      <c r="I105">
        <v>71104.140625</v>
      </c>
      <c r="J105">
        <v>213047.65625</v>
      </c>
      <c r="K105">
        <v>3.017493337392807E-2</v>
      </c>
      <c r="L105">
        <v>0.14272719621658325</v>
      </c>
      <c r="M105">
        <v>7.3389410972595215E-2</v>
      </c>
      <c r="N105">
        <v>9.4698376953601837E-2</v>
      </c>
      <c r="O105">
        <v>1</v>
      </c>
      <c r="P105">
        <v>1</v>
      </c>
      <c r="Q105">
        <v>0.67331558465957642</v>
      </c>
      <c r="R105">
        <v>0.53705239295959473</v>
      </c>
      <c r="S105">
        <v>1.7589461803436279</v>
      </c>
      <c r="T105">
        <v>0.58212274312973022</v>
      </c>
      <c r="AE105">
        <v>4.9756569532731922E-2</v>
      </c>
      <c r="AF105">
        <v>62.823686604159491</v>
      </c>
      <c r="AG105">
        <v>5140480.7956092199</v>
      </c>
      <c r="AH105">
        <v>3.0399347215763543E-2</v>
      </c>
      <c r="AI105">
        <v>103.90509652074944</v>
      </c>
      <c r="AJ105">
        <v>5090646.9345088592</v>
      </c>
    </row>
    <row r="106" spans="1:36" x14ac:dyDescent="0.25">
      <c r="A106" t="s">
        <v>326</v>
      </c>
      <c r="B106" t="s">
        <v>41</v>
      </c>
      <c r="C106">
        <v>2015</v>
      </c>
      <c r="D106" t="str">
        <f t="shared" si="1"/>
        <v>COD2015</v>
      </c>
      <c r="E106">
        <v>28785.090499999933</v>
      </c>
      <c r="F106">
        <v>25381.092875000089</v>
      </c>
      <c r="G106">
        <v>0.88174444437026978</v>
      </c>
      <c r="H106">
        <v>77161.078125</v>
      </c>
      <c r="I106">
        <v>75372.078125</v>
      </c>
      <c r="J106">
        <v>221408.171875</v>
      </c>
      <c r="K106">
        <v>3.0484801158308983E-2</v>
      </c>
      <c r="L106">
        <v>0.16806057095527649</v>
      </c>
      <c r="M106">
        <v>6.0023754835128784E-2</v>
      </c>
      <c r="N106">
        <v>6.9168008863925934E-2</v>
      </c>
      <c r="O106">
        <v>1</v>
      </c>
      <c r="P106">
        <v>1</v>
      </c>
      <c r="Q106">
        <v>0.67331558465957642</v>
      </c>
      <c r="R106">
        <v>0.53705239295959473</v>
      </c>
      <c r="S106">
        <v>1.7589461803436279</v>
      </c>
      <c r="T106">
        <v>0.58212274312973022</v>
      </c>
      <c r="AE106">
        <v>5.1207309193653308E-2</v>
      </c>
      <c r="AF106">
        <v>68.097038159838718</v>
      </c>
      <c r="AG106">
        <v>5571967.1324627828</v>
      </c>
      <c r="AH106">
        <v>3.1304286328375633E-2</v>
      </c>
      <c r="AI106">
        <v>112.69371072006997</v>
      </c>
      <c r="AJ106">
        <v>5521229.5857016984</v>
      </c>
    </row>
    <row r="107" spans="1:36" x14ac:dyDescent="0.25">
      <c r="A107" t="s">
        <v>326</v>
      </c>
      <c r="B107" t="s">
        <v>41</v>
      </c>
      <c r="C107">
        <v>2016</v>
      </c>
      <c r="D107" t="str">
        <f t="shared" si="1"/>
        <v>COD2016</v>
      </c>
      <c r="E107">
        <v>29245.025999999954</v>
      </c>
      <c r="F107">
        <v>26027.560500000138</v>
      </c>
      <c r="G107">
        <v>0.88998246192932129</v>
      </c>
      <c r="H107">
        <v>79013.078125</v>
      </c>
      <c r="I107">
        <v>74988.109375</v>
      </c>
      <c r="J107">
        <v>229769.953125</v>
      </c>
      <c r="K107">
        <v>3.0167844146490097E-2</v>
      </c>
      <c r="L107">
        <v>0.11907187104225159</v>
      </c>
      <c r="M107">
        <v>-5.0943102687597275E-3</v>
      </c>
      <c r="N107">
        <v>2.4001738056540489E-2</v>
      </c>
      <c r="O107">
        <v>1</v>
      </c>
      <c r="P107">
        <v>1</v>
      </c>
      <c r="Q107">
        <v>0.67331558465957642</v>
      </c>
      <c r="R107">
        <v>0.53705239295959473</v>
      </c>
      <c r="S107">
        <v>1.7589461803436279</v>
      </c>
      <c r="T107">
        <v>0.58212274312973022</v>
      </c>
      <c r="AE107">
        <v>5.2818464489608183E-2</v>
      </c>
      <c r="AF107">
        <v>70.880067235439228</v>
      </c>
      <c r="AG107">
        <v>5799685.5025560027</v>
      </c>
      <c r="AH107">
        <v>3.2310550564889046E-2</v>
      </c>
      <c r="AI107">
        <v>117.37681270226524</v>
      </c>
      <c r="AJ107">
        <v>5750669.9071867364</v>
      </c>
    </row>
    <row r="108" spans="1:36" x14ac:dyDescent="0.25">
      <c r="A108" t="s">
        <v>326</v>
      </c>
      <c r="B108" t="s">
        <v>41</v>
      </c>
      <c r="C108">
        <v>2017</v>
      </c>
      <c r="D108" t="str">
        <f t="shared" si="1"/>
        <v>COD2017</v>
      </c>
      <c r="E108">
        <v>29704.961499999976</v>
      </c>
      <c r="F108">
        <v>26674.028124999953</v>
      </c>
      <c r="G108">
        <v>0.89796543121337891</v>
      </c>
      <c r="H108">
        <v>81936.234375</v>
      </c>
      <c r="I108">
        <v>72797.1015625</v>
      </c>
      <c r="J108">
        <v>242569.015625</v>
      </c>
      <c r="K108">
        <v>3.0128097161650658E-2</v>
      </c>
      <c r="L108">
        <v>6.2701098620891571E-2</v>
      </c>
      <c r="M108">
        <v>-2.9218070209026337E-2</v>
      </c>
      <c r="N108">
        <v>3.699585422873497E-2</v>
      </c>
      <c r="O108">
        <v>1</v>
      </c>
      <c r="P108">
        <v>1</v>
      </c>
      <c r="Q108">
        <v>0.67331558465957642</v>
      </c>
      <c r="R108">
        <v>0.53705239295959473</v>
      </c>
      <c r="S108">
        <v>1.7589461803436279</v>
      </c>
      <c r="T108">
        <v>0.58212274312973022</v>
      </c>
      <c r="AE108">
        <v>5.4102816342926213E-2</v>
      </c>
      <c r="AF108">
        <v>74.221998364769064</v>
      </c>
      <c r="AG108">
        <v>6073135.4339299966</v>
      </c>
      <c r="AH108">
        <v>3.3113658831807682E-2</v>
      </c>
      <c r="AI108">
        <v>122.97576834288334</v>
      </c>
      <c r="AJ108">
        <v>6024980.8632683931</v>
      </c>
    </row>
    <row r="109" spans="1:36" x14ac:dyDescent="0.25">
      <c r="A109" t="s">
        <v>326</v>
      </c>
      <c r="B109" t="s">
        <v>41</v>
      </c>
      <c r="C109">
        <v>2018</v>
      </c>
      <c r="D109" t="str">
        <f t="shared" si="1"/>
        <v>COD2018</v>
      </c>
      <c r="E109">
        <v>30164.896999999997</v>
      </c>
      <c r="F109">
        <v>27320.495750000002</v>
      </c>
      <c r="G109">
        <v>0.90570491552352905</v>
      </c>
      <c r="H109">
        <v>86676.03125</v>
      </c>
      <c r="I109">
        <v>74482.3046875</v>
      </c>
      <c r="J109">
        <v>256741.28125</v>
      </c>
      <c r="K109">
        <v>2.9885696247220039E-2</v>
      </c>
      <c r="L109">
        <v>6.6093623638153076E-2</v>
      </c>
      <c r="M109">
        <v>2.3149317130446434E-2</v>
      </c>
      <c r="N109">
        <v>5.7847384363412857E-2</v>
      </c>
      <c r="O109">
        <v>1</v>
      </c>
      <c r="P109">
        <v>1</v>
      </c>
      <c r="Q109">
        <v>0.67331558465957642</v>
      </c>
      <c r="R109">
        <v>0.53705239295959473</v>
      </c>
      <c r="S109">
        <v>1.7589461803436279</v>
      </c>
      <c r="T109">
        <v>0.58212274312973022</v>
      </c>
      <c r="AE109">
        <v>5.5460041119301993E-2</v>
      </c>
      <c r="AF109">
        <v>79.371011381723051</v>
      </c>
      <c r="AG109">
        <v>6494447.9031705623</v>
      </c>
      <c r="AH109">
        <v>3.3963254690116941E-2</v>
      </c>
      <c r="AI109">
        <v>131.58022768935155</v>
      </c>
      <c r="AJ109">
        <v>6446541.1722611021</v>
      </c>
    </row>
    <row r="110" spans="1:36" x14ac:dyDescent="0.25">
      <c r="A110" t="s">
        <v>326</v>
      </c>
      <c r="B110" t="s">
        <v>41</v>
      </c>
      <c r="C110">
        <v>2019</v>
      </c>
      <c r="D110" t="str">
        <f t="shared" si="1"/>
        <v>COD2019</v>
      </c>
      <c r="E110">
        <v>30624.832499999902</v>
      </c>
      <c r="F110">
        <v>27966.96337500005</v>
      </c>
      <c r="G110">
        <v>0.91321194171905518</v>
      </c>
      <c r="H110">
        <v>90530.5</v>
      </c>
      <c r="I110">
        <v>78986.4140625</v>
      </c>
      <c r="J110">
        <v>267857.53125</v>
      </c>
      <c r="K110">
        <v>2.9399950057268143E-2</v>
      </c>
      <c r="L110">
        <v>6.8962596356868744E-2</v>
      </c>
      <c r="M110">
        <v>6.0472209006547928E-2</v>
      </c>
      <c r="N110">
        <v>4.4469833374023438E-2</v>
      </c>
      <c r="O110">
        <v>1</v>
      </c>
      <c r="P110">
        <v>1</v>
      </c>
      <c r="Q110">
        <v>0.67331558465957642</v>
      </c>
      <c r="R110">
        <v>0.53705239295959473</v>
      </c>
      <c r="S110">
        <v>1.7589461803436279</v>
      </c>
      <c r="T110">
        <v>0.58212274312973022</v>
      </c>
      <c r="AE110">
        <v>5.7404454697275016E-2</v>
      </c>
      <c r="AF110">
        <v>84.646841159182912</v>
      </c>
      <c r="AG110">
        <v>6926137.0178641286</v>
      </c>
      <c r="AH110">
        <v>3.5182069556200159E-2</v>
      </c>
      <c r="AI110">
        <v>140.43848877468585</v>
      </c>
      <c r="AJ110">
        <v>6880536.0497898581</v>
      </c>
    </row>
    <row r="111" spans="1:36" x14ac:dyDescent="0.25">
      <c r="A111" t="s">
        <v>326</v>
      </c>
      <c r="B111" t="s">
        <v>41</v>
      </c>
      <c r="C111">
        <v>2020</v>
      </c>
      <c r="D111" t="str">
        <f t="shared" si="1"/>
        <v>COD2020</v>
      </c>
      <c r="E111">
        <v>31084.768</v>
      </c>
      <c r="F111">
        <v>28613.431</v>
      </c>
      <c r="G111">
        <v>0.92049682140350342</v>
      </c>
      <c r="H111">
        <v>88986.213028098457</v>
      </c>
      <c r="I111">
        <v>79729.04280999038</v>
      </c>
      <c r="J111">
        <v>279871.63561643293</v>
      </c>
      <c r="K111">
        <v>2.3565499112010002E-2</v>
      </c>
      <c r="L111">
        <v>6.7382792483525911E-2</v>
      </c>
      <c r="M111">
        <v>9.4019807875156403E-3</v>
      </c>
      <c r="N111">
        <v>-1.7058195546269417E-2</v>
      </c>
      <c r="O111">
        <v>0</v>
      </c>
      <c r="P111">
        <v>0</v>
      </c>
      <c r="Q111">
        <v>0.67331558465957642</v>
      </c>
      <c r="R111">
        <v>0.53705239295959473</v>
      </c>
      <c r="S111">
        <v>1.7589461803436279</v>
      </c>
      <c r="T111">
        <v>0.58212274312973022</v>
      </c>
      <c r="AE111">
        <v>5.9536567571264944E-2</v>
      </c>
      <c r="AF111">
        <v>85.152893544633613</v>
      </c>
      <c r="AG111">
        <v>6967544.2117044432</v>
      </c>
      <c r="AH111">
        <v>3.6520779281847181E-2</v>
      </c>
      <c r="AI111">
        <v>141.40190414216076</v>
      </c>
      <c r="AJ111">
        <v>6927736.886431355</v>
      </c>
    </row>
    <row r="112" spans="1:36" x14ac:dyDescent="0.25">
      <c r="A112" t="s">
        <v>9</v>
      </c>
      <c r="B112" t="s">
        <v>42</v>
      </c>
      <c r="C112">
        <v>2012</v>
      </c>
      <c r="D112" t="str">
        <f t="shared" si="1"/>
        <v>CIV2012</v>
      </c>
      <c r="E112">
        <v>4642.2269999999999</v>
      </c>
      <c r="F112">
        <v>4108.1859999999997</v>
      </c>
      <c r="G112">
        <v>0.88496017456054688</v>
      </c>
      <c r="H112">
        <v>63509.11328125</v>
      </c>
      <c r="I112">
        <v>52061.3515625</v>
      </c>
      <c r="J112">
        <v>119666.015625</v>
      </c>
      <c r="K112">
        <v>3.9446432143449783E-2</v>
      </c>
      <c r="L112">
        <v>0.10805346816778183</v>
      </c>
      <c r="M112">
        <v>0.14882460236549377</v>
      </c>
      <c r="N112">
        <v>0.16205437481403351</v>
      </c>
      <c r="O112">
        <v>0</v>
      </c>
      <c r="P112">
        <v>0</v>
      </c>
      <c r="Q112">
        <v>1.1461491584777832</v>
      </c>
      <c r="R112">
        <v>0.33201289176940918</v>
      </c>
      <c r="S112">
        <v>1.6205389499664307</v>
      </c>
      <c r="T112">
        <v>0.45213299989700317</v>
      </c>
      <c r="U112">
        <v>90509.8671875</v>
      </c>
      <c r="V112">
        <v>2805.690673828125</v>
      </c>
      <c r="W112">
        <v>80239.828125</v>
      </c>
      <c r="X112">
        <v>2934.473388671875</v>
      </c>
      <c r="Y112">
        <v>508</v>
      </c>
      <c r="Z112">
        <v>97</v>
      </c>
      <c r="AA112">
        <v>158</v>
      </c>
      <c r="AB112">
        <v>89</v>
      </c>
      <c r="AD112">
        <v>2009</v>
      </c>
      <c r="AE112">
        <v>0.19254694799822497</v>
      </c>
      <c r="AF112">
        <v>2.7643090086138025</v>
      </c>
      <c r="AG112">
        <v>11788008.154717579</v>
      </c>
      <c r="AH112">
        <v>0.21956078187117387</v>
      </c>
      <c r="AI112">
        <v>2.450646395006463</v>
      </c>
      <c r="AJ112">
        <v>12329084.085477076</v>
      </c>
    </row>
    <row r="113" spans="1:36" x14ac:dyDescent="0.25">
      <c r="A113" t="s">
        <v>9</v>
      </c>
      <c r="B113" t="s">
        <v>42</v>
      </c>
      <c r="C113">
        <v>2013</v>
      </c>
      <c r="D113" t="str">
        <f t="shared" si="1"/>
        <v>CIV2013</v>
      </c>
      <c r="E113">
        <v>9005.77</v>
      </c>
      <c r="F113">
        <v>8228.4320000000007</v>
      </c>
      <c r="G113">
        <v>0.9136844277381897</v>
      </c>
      <c r="H113">
        <v>73253.8359375</v>
      </c>
      <c r="I113">
        <v>56971.00390625</v>
      </c>
      <c r="J113">
        <v>130934.6640625</v>
      </c>
      <c r="K113">
        <v>4.2073417454957962E-2</v>
      </c>
      <c r="L113">
        <v>0.10287021845579147</v>
      </c>
      <c r="M113">
        <v>9.4305127859115601E-2</v>
      </c>
      <c r="N113">
        <v>0.15343818068504333</v>
      </c>
      <c r="O113">
        <v>0</v>
      </c>
      <c r="P113">
        <v>0</v>
      </c>
      <c r="Q113">
        <v>1.1461491584777832</v>
      </c>
      <c r="R113">
        <v>0.33201289176940918</v>
      </c>
      <c r="S113">
        <v>1.6205389499664307</v>
      </c>
      <c r="T113">
        <v>0.45213299989700317</v>
      </c>
      <c r="AE113">
        <v>0.17084738482241657</v>
      </c>
      <c r="AF113">
        <v>2.0666122960349167</v>
      </c>
      <c r="AG113">
        <v>8812778.355237307</v>
      </c>
      <c r="AH113">
        <v>0.19555413696694404</v>
      </c>
      <c r="AI113">
        <v>1.8390503269618976</v>
      </c>
      <c r="AJ113">
        <v>9252173.6978204679</v>
      </c>
    </row>
    <row r="114" spans="1:36" x14ac:dyDescent="0.25">
      <c r="A114" t="s">
        <v>9</v>
      </c>
      <c r="B114" t="s">
        <v>42</v>
      </c>
      <c r="C114">
        <v>2014</v>
      </c>
      <c r="D114" t="str">
        <f t="shared" si="1"/>
        <v>CIV2014</v>
      </c>
      <c r="E114">
        <v>9162.6223333333619</v>
      </c>
      <c r="F114">
        <v>8293.0610000000015</v>
      </c>
      <c r="G114">
        <v>0.90509688854217529</v>
      </c>
      <c r="H114">
        <v>84094.796875</v>
      </c>
      <c r="I114">
        <v>65966.0078125</v>
      </c>
      <c r="J114">
        <v>146075.25</v>
      </c>
      <c r="K114">
        <v>4.5645132660865784E-2</v>
      </c>
      <c r="L114">
        <v>0.10178501158952713</v>
      </c>
      <c r="M114">
        <v>0.15788739919662476</v>
      </c>
      <c r="N114">
        <v>0.14799171686172485</v>
      </c>
      <c r="O114">
        <v>1</v>
      </c>
      <c r="P114">
        <v>1</v>
      </c>
      <c r="Q114">
        <v>1.1461491584777832</v>
      </c>
      <c r="R114">
        <v>0.33201289176940918</v>
      </c>
      <c r="S114">
        <v>1.6205389499664307</v>
      </c>
      <c r="T114">
        <v>0.45213299989700317</v>
      </c>
      <c r="AE114">
        <v>0.14919546307740802</v>
      </c>
      <c r="AF114">
        <v>2.0644710565133586</v>
      </c>
      <c r="AG114">
        <v>8803647.3395430855</v>
      </c>
      <c r="AH114">
        <v>0.17141839743370485</v>
      </c>
      <c r="AI114">
        <v>1.8441088200464171</v>
      </c>
      <c r="AJ114">
        <v>9277622.733108433</v>
      </c>
    </row>
    <row r="115" spans="1:36" x14ac:dyDescent="0.25">
      <c r="A115" t="s">
        <v>9</v>
      </c>
      <c r="B115" t="s">
        <v>42</v>
      </c>
      <c r="C115">
        <v>2015</v>
      </c>
      <c r="D115" t="str">
        <f t="shared" si="1"/>
        <v>CIV2015</v>
      </c>
      <c r="E115">
        <v>9319.4746666667052</v>
      </c>
      <c r="F115">
        <v>8357.6900000000023</v>
      </c>
      <c r="G115">
        <v>0.89679843187332153</v>
      </c>
      <c r="H115">
        <v>96605.3828125</v>
      </c>
      <c r="I115">
        <v>78192.265625</v>
      </c>
      <c r="J115">
        <v>165241.328125</v>
      </c>
      <c r="K115">
        <v>4.9312826246023178E-2</v>
      </c>
      <c r="L115">
        <v>9.166312962770462E-2</v>
      </c>
      <c r="M115">
        <v>0.18534179031848907</v>
      </c>
      <c r="N115">
        <v>0.14876765012741089</v>
      </c>
      <c r="O115">
        <v>1</v>
      </c>
      <c r="P115">
        <v>1</v>
      </c>
      <c r="Q115">
        <v>1.1461491584777832</v>
      </c>
      <c r="R115">
        <v>0.33201289176940918</v>
      </c>
      <c r="S115">
        <v>1.6205389499664307</v>
      </c>
      <c r="T115">
        <v>0.45213299989700317</v>
      </c>
      <c r="AE115">
        <v>0.13080255866287441</v>
      </c>
      <c r="AF115">
        <v>2.0719405866048728</v>
      </c>
      <c r="AG115">
        <v>8835500.1032378469</v>
      </c>
      <c r="AH115">
        <v>0.15077133195504538</v>
      </c>
      <c r="AI115">
        <v>1.856759961025704</v>
      </c>
      <c r="AJ115">
        <v>9341270.0145884044</v>
      </c>
    </row>
    <row r="116" spans="1:36" x14ac:dyDescent="0.25">
      <c r="A116" t="s">
        <v>9</v>
      </c>
      <c r="B116" t="s">
        <v>42</v>
      </c>
      <c r="C116">
        <v>2016</v>
      </c>
      <c r="D116" t="str">
        <f t="shared" si="1"/>
        <v>CIV2016</v>
      </c>
      <c r="E116">
        <v>9476.3269999999993</v>
      </c>
      <c r="F116">
        <v>8422.3189999999995</v>
      </c>
      <c r="G116">
        <v>0.88877463340759277</v>
      </c>
      <c r="H116">
        <v>103541.8828125</v>
      </c>
      <c r="I116">
        <v>86575.609375</v>
      </c>
      <c r="J116">
        <v>183807.828125</v>
      </c>
      <c r="K116">
        <v>5.2103292196989059E-2</v>
      </c>
      <c r="L116">
        <v>9.6905522048473358E-2</v>
      </c>
      <c r="M116">
        <v>0.10721448808908463</v>
      </c>
      <c r="N116">
        <v>7.1802414953708649E-2</v>
      </c>
      <c r="O116">
        <v>0</v>
      </c>
      <c r="P116">
        <v>0</v>
      </c>
      <c r="Q116">
        <v>1.1461491584777832</v>
      </c>
      <c r="R116">
        <v>0.33201289176940918</v>
      </c>
      <c r="S116">
        <v>1.6205389499664307</v>
      </c>
      <c r="T116">
        <v>0.45213299989700317</v>
      </c>
      <c r="AE116">
        <v>0.11601718463646327</v>
      </c>
      <c r="AF116">
        <v>1.9628428642567899</v>
      </c>
      <c r="AG116">
        <v>8370268.1640107566</v>
      </c>
      <c r="AH116">
        <v>0.13407695079415635</v>
      </c>
      <c r="AI116">
        <v>1.7635722978867097</v>
      </c>
      <c r="AJ116">
        <v>8872447.3656289894</v>
      </c>
    </row>
    <row r="117" spans="1:36" x14ac:dyDescent="0.25">
      <c r="A117" t="s">
        <v>9</v>
      </c>
      <c r="B117" t="s">
        <v>42</v>
      </c>
      <c r="C117">
        <v>2017</v>
      </c>
      <c r="D117" t="str">
        <f t="shared" si="1"/>
        <v>CIV2017</v>
      </c>
      <c r="E117">
        <v>9364.9083333333256</v>
      </c>
      <c r="F117">
        <v>8050.678121286127</v>
      </c>
      <c r="G117">
        <v>0.85966438055038452</v>
      </c>
      <c r="H117">
        <v>111163.0390625</v>
      </c>
      <c r="I117">
        <v>93825.859375</v>
      </c>
      <c r="J117">
        <v>202648.890625</v>
      </c>
      <c r="K117">
        <v>5.3818736225366592E-2</v>
      </c>
      <c r="L117">
        <v>0.10385783761739731</v>
      </c>
      <c r="M117">
        <v>8.3744719624519348E-2</v>
      </c>
      <c r="N117">
        <v>7.3604576289653778E-2</v>
      </c>
      <c r="O117">
        <v>1</v>
      </c>
      <c r="P117">
        <v>0</v>
      </c>
      <c r="Q117">
        <v>1.1461491584777832</v>
      </c>
      <c r="R117">
        <v>0.33201289176940918</v>
      </c>
      <c r="S117">
        <v>1.6205389499664307</v>
      </c>
      <c r="T117">
        <v>0.45213299989700317</v>
      </c>
      <c r="AE117">
        <v>8.8152719723571082E-2</v>
      </c>
      <c r="AF117">
        <v>1.6341982333745821</v>
      </c>
      <c r="AG117">
        <v>6968809.2182953088</v>
      </c>
      <c r="AH117">
        <v>0.10237731878740657</v>
      </c>
      <c r="AI117">
        <v>1.4755322456088655</v>
      </c>
      <c r="AJ117">
        <v>7423331.7234233385</v>
      </c>
    </row>
    <row r="118" spans="1:36" x14ac:dyDescent="0.25">
      <c r="A118" t="s">
        <v>9</v>
      </c>
      <c r="B118" t="s">
        <v>42</v>
      </c>
      <c r="C118">
        <v>2018</v>
      </c>
      <c r="D118" t="str">
        <f t="shared" si="1"/>
        <v>CIV2018</v>
      </c>
      <c r="E118">
        <v>9253.4896666666609</v>
      </c>
      <c r="F118">
        <v>8084.5025606430572</v>
      </c>
      <c r="G118">
        <v>0.87367069721221924</v>
      </c>
      <c r="H118">
        <v>118822.5</v>
      </c>
      <c r="I118">
        <v>101800.140625</v>
      </c>
      <c r="J118">
        <v>223506.09375</v>
      </c>
      <c r="K118">
        <v>5.4436199367046356E-2</v>
      </c>
      <c r="L118">
        <v>0.10046052187681198</v>
      </c>
      <c r="M118">
        <v>8.4990225732326508E-2</v>
      </c>
      <c r="N118">
        <v>6.8902947008609772E-2</v>
      </c>
      <c r="O118">
        <v>1</v>
      </c>
      <c r="P118">
        <v>1</v>
      </c>
      <c r="Q118">
        <v>1.1461491584777832</v>
      </c>
      <c r="R118">
        <v>0.33201289176940918</v>
      </c>
      <c r="S118">
        <v>1.6205389499664307</v>
      </c>
      <c r="T118">
        <v>0.45213299989700317</v>
      </c>
      <c r="AE118">
        <v>9.6843297715782178E-2</v>
      </c>
      <c r="AF118">
        <v>1.9153740675858302</v>
      </c>
      <c r="AG118">
        <v>8167844.1367011238</v>
      </c>
      <c r="AH118">
        <v>0.11229753219610429</v>
      </c>
      <c r="AI118">
        <v>1.7267528386355828</v>
      </c>
      <c r="AJ118">
        <v>8687210.4379294533</v>
      </c>
    </row>
    <row r="119" spans="1:36" x14ac:dyDescent="0.25">
      <c r="A119" t="s">
        <v>9</v>
      </c>
      <c r="B119" t="s">
        <v>42</v>
      </c>
      <c r="C119">
        <v>2019</v>
      </c>
      <c r="D119" t="str">
        <f t="shared" si="1"/>
        <v>CIV2019</v>
      </c>
      <c r="E119">
        <v>9142.0709999999999</v>
      </c>
      <c r="F119">
        <v>8118.3270000000002</v>
      </c>
      <c r="G119">
        <v>0.88801836967468262</v>
      </c>
      <c r="H119">
        <v>126227.234375</v>
      </c>
      <c r="I119">
        <v>106437.328125</v>
      </c>
      <c r="J119">
        <v>246921</v>
      </c>
      <c r="K119">
        <v>5.5200323462486267E-2</v>
      </c>
      <c r="L119">
        <v>9.8302885890007019E-2</v>
      </c>
      <c r="M119">
        <v>4.5551877468824387E-2</v>
      </c>
      <c r="N119">
        <v>6.2317609786987305E-2</v>
      </c>
      <c r="O119">
        <v>0</v>
      </c>
      <c r="P119">
        <v>0</v>
      </c>
      <c r="Q119">
        <v>1.1461491584777832</v>
      </c>
      <c r="R119">
        <v>0.33201289176940918</v>
      </c>
      <c r="S119">
        <v>1.6205389499664307</v>
      </c>
      <c r="T119">
        <v>0.45213299989700317</v>
      </c>
      <c r="AE119">
        <v>0.10794252973423861</v>
      </c>
      <c r="AF119">
        <v>2.2636599217978608</v>
      </c>
      <c r="AG119">
        <v>9653060.3252064027</v>
      </c>
      <c r="AH119">
        <v>0.12492298649935155</v>
      </c>
      <c r="AI119">
        <v>2.036746040101904</v>
      </c>
      <c r="AJ119">
        <v>10246771.317292644</v>
      </c>
    </row>
    <row r="120" spans="1:36" x14ac:dyDescent="0.25">
      <c r="A120" t="s">
        <v>9</v>
      </c>
      <c r="B120" t="s">
        <v>42</v>
      </c>
      <c r="C120">
        <v>2020</v>
      </c>
      <c r="D120" t="str">
        <f t="shared" si="1"/>
        <v>CIV2020</v>
      </c>
      <c r="E120">
        <v>9956.6219999999739</v>
      </c>
      <c r="F120">
        <v>8951.6203333332669</v>
      </c>
      <c r="G120">
        <v>0.89906197786331177</v>
      </c>
      <c r="H120">
        <v>153512.63930051797</v>
      </c>
      <c r="I120">
        <v>123602.65763758798</v>
      </c>
      <c r="J120">
        <v>279238.78793282807</v>
      </c>
      <c r="K120">
        <v>4.3900653719902039E-2</v>
      </c>
      <c r="L120">
        <v>0.10843589155313543</v>
      </c>
      <c r="M120">
        <v>0.16127170622348785</v>
      </c>
      <c r="N120">
        <v>0.21616099774837494</v>
      </c>
      <c r="O120">
        <v>1</v>
      </c>
      <c r="P120">
        <v>1</v>
      </c>
      <c r="Q120">
        <v>1.1461491584777832</v>
      </c>
      <c r="R120">
        <v>0.33201289176940918</v>
      </c>
      <c r="S120">
        <v>1.6205389499664307</v>
      </c>
      <c r="T120">
        <v>0.45213299989700317</v>
      </c>
      <c r="AE120">
        <v>0.11032624916752704</v>
      </c>
      <c r="AF120">
        <v>2.6921682581727917</v>
      </c>
      <c r="AG120">
        <v>11480374.040066799</v>
      </c>
      <c r="AH120">
        <v>0.12762803978307272</v>
      </c>
      <c r="AI120">
        <v>2.421282023244911</v>
      </c>
      <c r="AJ120">
        <v>12181353.344190583</v>
      </c>
    </row>
    <row r="121" spans="1:36" x14ac:dyDescent="0.25">
      <c r="A121" t="s">
        <v>9</v>
      </c>
      <c r="B121" t="s">
        <v>42</v>
      </c>
      <c r="C121">
        <v>2021</v>
      </c>
      <c r="D121" t="str">
        <f t="shared" si="1"/>
        <v>CIV2021</v>
      </c>
      <c r="E121">
        <v>10771.172999999952</v>
      </c>
      <c r="F121">
        <v>9784.9136666667182</v>
      </c>
      <c r="G121">
        <v>0.90843528509140015</v>
      </c>
      <c r="H121">
        <v>144550.50789455022</v>
      </c>
      <c r="I121">
        <v>119932.31694718277</v>
      </c>
      <c r="J121">
        <v>305073.33509862382</v>
      </c>
      <c r="K121">
        <v>4.3900653719902039E-2</v>
      </c>
      <c r="L121">
        <v>0.10980372870773134</v>
      </c>
      <c r="M121">
        <v>-2.9694674536585808E-2</v>
      </c>
      <c r="N121">
        <v>-5.8380413800477982E-2</v>
      </c>
      <c r="O121">
        <v>1</v>
      </c>
      <c r="P121">
        <v>1</v>
      </c>
      <c r="Q121">
        <v>1.1461491584777832</v>
      </c>
      <c r="R121">
        <v>0.33201289176940918</v>
      </c>
      <c r="S121">
        <v>1.6205389499664307</v>
      </c>
      <c r="T121">
        <v>0.45213299989700317</v>
      </c>
      <c r="AE121">
        <v>0.1135509967314544</v>
      </c>
      <c r="AF121">
        <v>2.5061809444142824</v>
      </c>
      <c r="AG121">
        <v>10687257.219759239</v>
      </c>
      <c r="AH121">
        <v>0.13128387905469713</v>
      </c>
      <c r="AI121">
        <v>2.2527282525150252</v>
      </c>
      <c r="AJ121">
        <v>11333367.434641397</v>
      </c>
    </row>
    <row r="122" spans="1:36" x14ac:dyDescent="0.25">
      <c r="A122" t="s">
        <v>9</v>
      </c>
      <c r="B122" t="s">
        <v>42</v>
      </c>
      <c r="C122">
        <v>2022</v>
      </c>
      <c r="D122" t="str">
        <f t="shared" si="1"/>
        <v>CIV2022</v>
      </c>
      <c r="E122">
        <v>11585.724</v>
      </c>
      <c r="F122">
        <v>10618.207</v>
      </c>
      <c r="G122">
        <v>0.91649061441421509</v>
      </c>
      <c r="H122">
        <v>136088.71426274956</v>
      </c>
      <c r="I122">
        <v>113801.71356039433</v>
      </c>
      <c r="J122">
        <v>323763.76195840852</v>
      </c>
      <c r="K122">
        <v>4.3900653719902039E-2</v>
      </c>
      <c r="L122">
        <v>9.81630753962279E-2</v>
      </c>
      <c r="M122">
        <v>-5.1117192953824997E-2</v>
      </c>
      <c r="N122">
        <v>-5.8538664132356644E-2</v>
      </c>
      <c r="O122">
        <v>0</v>
      </c>
      <c r="P122">
        <v>0</v>
      </c>
      <c r="Q122">
        <v>1.1461491584777832</v>
      </c>
      <c r="R122">
        <v>0.33201289176940918</v>
      </c>
      <c r="S122">
        <v>1.6205389499664307</v>
      </c>
      <c r="T122">
        <v>0.45213299989700317</v>
      </c>
      <c r="AE122">
        <v>0.11755696954634569</v>
      </c>
      <c r="AF122">
        <v>2.3540964343921598</v>
      </c>
      <c r="AG122">
        <v>10038714.152120786</v>
      </c>
      <c r="AH122">
        <v>0.13581959849192279</v>
      </c>
      <c r="AI122">
        <v>2.1145319050612916</v>
      </c>
      <c r="AJ122">
        <v>10638108.26076193</v>
      </c>
    </row>
    <row r="123" spans="1:36" x14ac:dyDescent="0.25">
      <c r="A123" t="s">
        <v>10</v>
      </c>
      <c r="B123" t="s">
        <v>43</v>
      </c>
      <c r="C123">
        <v>2008</v>
      </c>
      <c r="D123" t="str">
        <f t="shared" si="1"/>
        <v>EGY2008</v>
      </c>
      <c r="E123">
        <v>22507.311000000002</v>
      </c>
      <c r="F123">
        <v>12232.882</v>
      </c>
      <c r="G123">
        <v>0.54350703954696655</v>
      </c>
      <c r="H123">
        <v>847779.3125</v>
      </c>
      <c r="I123">
        <v>652588.4375</v>
      </c>
      <c r="J123">
        <v>977486.875</v>
      </c>
      <c r="K123">
        <v>6.1438299715518951E-2</v>
      </c>
      <c r="L123">
        <v>0.12324940413236618</v>
      </c>
      <c r="M123">
        <v>6.4882323145866394E-2</v>
      </c>
      <c r="N123">
        <v>7.1562051773071289E-2</v>
      </c>
      <c r="O123">
        <v>0</v>
      </c>
      <c r="P123">
        <v>0</v>
      </c>
      <c r="Q123">
        <v>0.67200940847396851</v>
      </c>
      <c r="R123">
        <v>0.42349103093147278</v>
      </c>
      <c r="S123">
        <v>1.2484368085861206</v>
      </c>
      <c r="T123">
        <v>9.6722595393657684E-2</v>
      </c>
      <c r="AE123">
        <v>0.15008736339173429</v>
      </c>
      <c r="AF123">
        <v>39.434089557744862</v>
      </c>
      <c r="AG123">
        <v>8850933201.7002792</v>
      </c>
      <c r="AH123">
        <v>0.23319772736505665</v>
      </c>
      <c r="AI123">
        <v>22.656804132720893</v>
      </c>
      <c r="AJ123">
        <v>8757637713.7453041</v>
      </c>
    </row>
    <row r="124" spans="1:36" x14ac:dyDescent="0.25">
      <c r="A124" t="s">
        <v>10</v>
      </c>
      <c r="B124" t="s">
        <v>43</v>
      </c>
      <c r="C124">
        <v>2009</v>
      </c>
      <c r="D124" t="str">
        <f t="shared" si="1"/>
        <v>EGY2009</v>
      </c>
      <c r="E124">
        <v>22975.292000000001</v>
      </c>
      <c r="F124">
        <v>12436.228999999999</v>
      </c>
      <c r="G124">
        <v>0.54128706455230713</v>
      </c>
      <c r="H124">
        <v>887403.375</v>
      </c>
      <c r="I124">
        <v>717934.1875</v>
      </c>
      <c r="J124">
        <v>1045411.75</v>
      </c>
      <c r="K124">
        <v>6.153319776058197E-2</v>
      </c>
      <c r="L124">
        <v>0.13862653076648712</v>
      </c>
      <c r="M124">
        <v>0.10013317316770554</v>
      </c>
      <c r="N124">
        <v>4.6738650649785995E-2</v>
      </c>
      <c r="O124">
        <v>0</v>
      </c>
      <c r="P124">
        <v>0</v>
      </c>
      <c r="Q124">
        <v>0.67200940847396851</v>
      </c>
      <c r="R124">
        <v>0.42349103093147278</v>
      </c>
      <c r="S124">
        <v>1.2484368085861206</v>
      </c>
      <c r="T124">
        <v>9.6722595393657684E-2</v>
      </c>
      <c r="AE124">
        <v>0.1445673875081869</v>
      </c>
      <c r="AF124">
        <v>40.637110668019929</v>
      </c>
      <c r="AG124">
        <v>9120949819.4717598</v>
      </c>
      <c r="AH124">
        <v>0.22543183791150462</v>
      </c>
      <c r="AI124">
        <v>23.432271301737927</v>
      </c>
      <c r="AJ124">
        <v>9057382571.2005959</v>
      </c>
    </row>
    <row r="125" spans="1:36" x14ac:dyDescent="0.25">
      <c r="A125" t="s">
        <v>10</v>
      </c>
      <c r="B125" t="s">
        <v>43</v>
      </c>
      <c r="C125">
        <v>2010</v>
      </c>
      <c r="D125" t="str">
        <f t="shared" si="1"/>
        <v>EGY2010</v>
      </c>
      <c r="E125">
        <v>23829.005000000001</v>
      </c>
      <c r="F125">
        <v>13388.912</v>
      </c>
      <c r="G125">
        <v>0.56187456846237183</v>
      </c>
      <c r="H125">
        <v>933078.875</v>
      </c>
      <c r="I125">
        <v>740102.8125</v>
      </c>
      <c r="J125">
        <v>1119461</v>
      </c>
      <c r="K125">
        <v>6.1008688062429428E-2</v>
      </c>
      <c r="L125">
        <v>0.14235296845436096</v>
      </c>
      <c r="M125">
        <v>3.0878352001309395E-2</v>
      </c>
      <c r="N125">
        <v>5.1470957696437836E-2</v>
      </c>
      <c r="O125">
        <v>0</v>
      </c>
      <c r="P125">
        <v>0</v>
      </c>
      <c r="Q125">
        <v>0.67200940847396851</v>
      </c>
      <c r="R125">
        <v>0.42349103093147278</v>
      </c>
      <c r="S125">
        <v>1.2484368085861206</v>
      </c>
      <c r="T125">
        <v>9.6722595393657684E-2</v>
      </c>
      <c r="AE125">
        <v>0.14266079213629226</v>
      </c>
      <c r="AF125">
        <v>41.676840254801149</v>
      </c>
      <c r="AG125">
        <v>9354315854.3831615</v>
      </c>
      <c r="AH125">
        <v>0.22273646374173209</v>
      </c>
      <c r="AI125">
        <v>24.06180046254984</v>
      </c>
      <c r="AJ125">
        <v>9300717345.528574</v>
      </c>
    </row>
    <row r="126" spans="1:36" x14ac:dyDescent="0.25">
      <c r="A126" t="s">
        <v>10</v>
      </c>
      <c r="B126" t="s">
        <v>43</v>
      </c>
      <c r="C126">
        <v>2011</v>
      </c>
      <c r="D126" t="str">
        <f t="shared" si="1"/>
        <v>EGY2011</v>
      </c>
      <c r="E126">
        <v>23345.812000000002</v>
      </c>
      <c r="F126">
        <v>13402.536</v>
      </c>
      <c r="G126">
        <v>0.57408738136291504</v>
      </c>
      <c r="H126">
        <v>949544.75</v>
      </c>
      <c r="I126">
        <v>764414.3125</v>
      </c>
      <c r="J126">
        <v>1174975.625</v>
      </c>
      <c r="K126">
        <v>6.0206897556781769E-2</v>
      </c>
      <c r="L126">
        <v>0.15336716175079346</v>
      </c>
      <c r="M126">
        <v>3.2848812639713287E-2</v>
      </c>
      <c r="N126">
        <v>1.7646819353103638E-2</v>
      </c>
      <c r="O126">
        <v>0</v>
      </c>
      <c r="P126">
        <v>0</v>
      </c>
      <c r="Q126">
        <v>0.67200940847396851</v>
      </c>
      <c r="R126">
        <v>0.42349103093147278</v>
      </c>
      <c r="S126">
        <v>1.2484368085861206</v>
      </c>
      <c r="T126">
        <v>9.6722595393657684E-2</v>
      </c>
      <c r="AE126">
        <v>0.14418001627973842</v>
      </c>
      <c r="AF126">
        <v>44.284300000142061</v>
      </c>
      <c r="AG126">
        <v>9939557007.1766148</v>
      </c>
      <c r="AH126">
        <v>0.22488475123622306</v>
      </c>
      <c r="AI126">
        <v>25.541792280409013</v>
      </c>
      <c r="AJ126">
        <v>9872785324.93964</v>
      </c>
    </row>
    <row r="127" spans="1:36" x14ac:dyDescent="0.25">
      <c r="A127" t="s">
        <v>10</v>
      </c>
      <c r="B127" t="s">
        <v>43</v>
      </c>
      <c r="C127">
        <v>2012</v>
      </c>
      <c r="D127" t="str">
        <f t="shared" si="1"/>
        <v>EGY2012</v>
      </c>
      <c r="E127">
        <v>23564.393</v>
      </c>
      <c r="F127">
        <v>12943.353999999999</v>
      </c>
      <c r="G127">
        <v>0.54927593469619751</v>
      </c>
      <c r="H127">
        <v>970683.5625</v>
      </c>
      <c r="I127">
        <v>825197.125</v>
      </c>
      <c r="J127">
        <v>1222941.625</v>
      </c>
      <c r="K127">
        <v>5.8934614062309265E-2</v>
      </c>
      <c r="L127">
        <v>0.13582199811935425</v>
      </c>
      <c r="M127">
        <v>7.9515531659126282E-2</v>
      </c>
      <c r="N127">
        <v>2.2262049838900566E-2</v>
      </c>
      <c r="O127">
        <v>0</v>
      </c>
      <c r="P127">
        <v>0</v>
      </c>
      <c r="Q127">
        <v>0.67200940847396851</v>
      </c>
      <c r="R127">
        <v>0.42349103093147278</v>
      </c>
      <c r="S127">
        <v>1.2484368085861206</v>
      </c>
      <c r="T127">
        <v>9.6722595393657684E-2</v>
      </c>
      <c r="AE127">
        <v>0.13638722307171741</v>
      </c>
      <c r="AF127">
        <v>42.774001014886963</v>
      </c>
      <c r="AG127">
        <v>9600572245.9457512</v>
      </c>
      <c r="AH127">
        <v>0.2138197579191202</v>
      </c>
      <c r="AI127">
        <v>24.797087152708954</v>
      </c>
      <c r="AJ127">
        <v>9584931059.4500637</v>
      </c>
    </row>
    <row r="128" spans="1:36" x14ac:dyDescent="0.25">
      <c r="A128" t="s">
        <v>10</v>
      </c>
      <c r="B128" t="s">
        <v>43</v>
      </c>
      <c r="C128">
        <v>2013</v>
      </c>
      <c r="D128" t="str">
        <f t="shared" si="1"/>
        <v>EGY2013</v>
      </c>
      <c r="E128">
        <v>23975.13</v>
      </c>
      <c r="F128">
        <v>13579.77</v>
      </c>
      <c r="G128">
        <v>0.56641072034835815</v>
      </c>
      <c r="H128">
        <v>991895.8125</v>
      </c>
      <c r="I128">
        <v>845380.4375</v>
      </c>
      <c r="J128">
        <v>1259184</v>
      </c>
      <c r="K128">
        <v>5.7634975761175156E-2</v>
      </c>
      <c r="L128">
        <v>0.13811863958835602</v>
      </c>
      <c r="M128">
        <v>2.4458777159452438E-2</v>
      </c>
      <c r="N128">
        <v>2.1852899342775345E-2</v>
      </c>
      <c r="O128">
        <v>0</v>
      </c>
      <c r="P128">
        <v>0</v>
      </c>
      <c r="Q128">
        <v>0.67200940847396851</v>
      </c>
      <c r="R128">
        <v>0.42349103093147278</v>
      </c>
      <c r="S128">
        <v>1.2484368085861206</v>
      </c>
      <c r="T128">
        <v>9.6722595393657684E-2</v>
      </c>
      <c r="U128">
        <v>29111.3515625</v>
      </c>
      <c r="V128">
        <v>3543.049072265625</v>
      </c>
      <c r="W128">
        <v>16867.748046875</v>
      </c>
      <c r="X128">
        <v>3535.43603515625</v>
      </c>
      <c r="Y128">
        <v>2443</v>
      </c>
      <c r="Z128">
        <v>74</v>
      </c>
      <c r="AA128">
        <v>1632</v>
      </c>
      <c r="AB128">
        <v>74</v>
      </c>
      <c r="AC128" t="s">
        <v>374</v>
      </c>
      <c r="AD128">
        <v>2013</v>
      </c>
      <c r="AE128">
        <v>0.13717920522586627</v>
      </c>
      <c r="AF128">
        <v>43.776442955557911</v>
      </c>
      <c r="AG128">
        <v>9825569114.2636814</v>
      </c>
      <c r="AH128">
        <v>0.21494946682292387</v>
      </c>
      <c r="AI128">
        <v>25.365019847238393</v>
      </c>
      <c r="AJ128">
        <v>9804456671.0652046</v>
      </c>
    </row>
    <row r="129" spans="1:36" x14ac:dyDescent="0.25">
      <c r="A129" t="s">
        <v>10</v>
      </c>
      <c r="B129" t="s">
        <v>43</v>
      </c>
      <c r="C129">
        <v>2014</v>
      </c>
      <c r="D129" t="str">
        <f t="shared" si="1"/>
        <v>EGY2014</v>
      </c>
      <c r="E129">
        <v>24331.249</v>
      </c>
      <c r="F129">
        <v>14101.320999999996</v>
      </c>
      <c r="G129">
        <v>0.57955598831176758</v>
      </c>
      <c r="H129">
        <v>1020818.5625</v>
      </c>
      <c r="I129">
        <v>895187.0625</v>
      </c>
      <c r="J129">
        <v>1294754.125</v>
      </c>
      <c r="K129">
        <v>5.6493733078241348E-2</v>
      </c>
      <c r="L129">
        <v>0.14084529876708984</v>
      </c>
      <c r="M129">
        <v>5.8916226029396057E-2</v>
      </c>
      <c r="N129">
        <v>2.9159059748053551E-2</v>
      </c>
      <c r="O129">
        <v>0</v>
      </c>
      <c r="P129">
        <v>1</v>
      </c>
      <c r="Q129">
        <v>0.67200940847396851</v>
      </c>
      <c r="R129">
        <v>0.42349103093147278</v>
      </c>
      <c r="S129">
        <v>1.2484368085861206</v>
      </c>
      <c r="T129">
        <v>9.6722595393657684E-2</v>
      </c>
      <c r="AE129">
        <v>0.1374906069287003</v>
      </c>
      <c r="AF129">
        <v>44.990893950619785</v>
      </c>
      <c r="AG129">
        <v>10098151155.70503</v>
      </c>
      <c r="AH129">
        <v>0.21539333829211954</v>
      </c>
      <c r="AI129">
        <v>26.063366264802532</v>
      </c>
      <c r="AJ129">
        <v>10074391693.140368</v>
      </c>
    </row>
    <row r="130" spans="1:36" x14ac:dyDescent="0.25">
      <c r="A130" t="s">
        <v>10</v>
      </c>
      <c r="B130" t="s">
        <v>43</v>
      </c>
      <c r="C130">
        <v>2015</v>
      </c>
      <c r="D130" t="str">
        <f t="shared" si="1"/>
        <v>EGY2015</v>
      </c>
      <c r="E130">
        <v>24778.768</v>
      </c>
      <c r="F130">
        <v>14622.871999999999</v>
      </c>
      <c r="G130">
        <v>0.59013718366622925</v>
      </c>
      <c r="H130">
        <v>1065449.5</v>
      </c>
      <c r="I130">
        <v>928417.1875</v>
      </c>
      <c r="J130">
        <v>1341898.375</v>
      </c>
      <c r="K130">
        <v>5.5685415863990784E-2</v>
      </c>
      <c r="L130">
        <v>0.14475628733634949</v>
      </c>
      <c r="M130">
        <v>3.7120871245861053E-2</v>
      </c>
      <c r="N130">
        <v>4.3720733374357224E-2</v>
      </c>
      <c r="O130">
        <v>0</v>
      </c>
      <c r="P130">
        <v>0</v>
      </c>
      <c r="Q130">
        <v>0.67200940847396851</v>
      </c>
      <c r="R130">
        <v>0.42349103093147278</v>
      </c>
      <c r="S130">
        <v>1.2484368085861206</v>
      </c>
      <c r="T130">
        <v>9.6722595393657684E-2</v>
      </c>
      <c r="AE130">
        <v>0.13669183646905958</v>
      </c>
      <c r="AF130">
        <v>46.521412093300285</v>
      </c>
      <c r="AG130">
        <v>10441674082.106533</v>
      </c>
      <c r="AH130">
        <v>0.21425440748762087</v>
      </c>
      <c r="AI130">
        <v>26.964149195692734</v>
      </c>
      <c r="AJ130">
        <v>10422575422.90432</v>
      </c>
    </row>
    <row r="131" spans="1:36" x14ac:dyDescent="0.25">
      <c r="A131" t="s">
        <v>10</v>
      </c>
      <c r="B131" t="s">
        <v>43</v>
      </c>
      <c r="C131">
        <v>2016</v>
      </c>
      <c r="D131" t="str">
        <f t="shared" ref="D131:D194" si="2">B131&amp;C131</f>
        <v>EGY2016</v>
      </c>
      <c r="E131">
        <v>25331.181</v>
      </c>
      <c r="F131">
        <v>15574.564</v>
      </c>
      <c r="G131">
        <v>0.614837646484375</v>
      </c>
      <c r="H131">
        <v>1111759.375</v>
      </c>
      <c r="I131">
        <v>972124.9375</v>
      </c>
      <c r="J131">
        <v>1401093.5</v>
      </c>
      <c r="K131">
        <v>5.5346895009279251E-2</v>
      </c>
      <c r="L131">
        <v>0.13770163059234619</v>
      </c>
      <c r="M131">
        <v>4.7077704221010208E-2</v>
      </c>
      <c r="N131">
        <v>4.3465103954076767E-2</v>
      </c>
      <c r="O131">
        <v>0</v>
      </c>
      <c r="P131">
        <v>0</v>
      </c>
      <c r="Q131">
        <v>0.67200940847396851</v>
      </c>
      <c r="R131">
        <v>0.42349103093147278</v>
      </c>
      <c r="S131">
        <v>1.2484368085861206</v>
      </c>
      <c r="T131">
        <v>9.6722595393657684E-2</v>
      </c>
      <c r="AE131">
        <v>0.13844427703243103</v>
      </c>
      <c r="AF131">
        <v>48.866886776948455</v>
      </c>
      <c r="AG131">
        <v>10968113008.022392</v>
      </c>
      <c r="AH131">
        <v>0.21675156907288295</v>
      </c>
      <c r="AI131">
        <v>28.291017057672455</v>
      </c>
      <c r="AJ131">
        <v>10935455702.098167</v>
      </c>
    </row>
    <row r="132" spans="1:36" x14ac:dyDescent="0.25">
      <c r="A132" t="s">
        <v>10</v>
      </c>
      <c r="B132" t="s">
        <v>43</v>
      </c>
      <c r="C132">
        <v>2017</v>
      </c>
      <c r="D132" t="str">
        <f t="shared" si="2"/>
        <v>EGY2017</v>
      </c>
      <c r="E132">
        <v>26006.18</v>
      </c>
      <c r="F132">
        <v>16347.397999999999</v>
      </c>
      <c r="G132">
        <v>0.62859666347503662</v>
      </c>
      <c r="H132">
        <v>1158246</v>
      </c>
      <c r="I132">
        <v>1038467.875</v>
      </c>
      <c r="J132">
        <v>1465419.625</v>
      </c>
      <c r="K132">
        <v>5.5256612598896027E-2</v>
      </c>
      <c r="L132">
        <v>0.11453098058700562</v>
      </c>
      <c r="M132">
        <v>6.8245276808738708E-2</v>
      </c>
      <c r="N132">
        <v>4.1813567280769348E-2</v>
      </c>
      <c r="O132">
        <v>0</v>
      </c>
      <c r="P132">
        <v>0</v>
      </c>
      <c r="Q132">
        <v>0.67200940847396851</v>
      </c>
      <c r="R132">
        <v>0.42349103093147278</v>
      </c>
      <c r="S132">
        <v>1.2484368085861206</v>
      </c>
      <c r="T132">
        <v>9.6722595393657684E-2</v>
      </c>
      <c r="AE132">
        <v>0.13754582436125357</v>
      </c>
      <c r="AF132">
        <v>50.343423137185383</v>
      </c>
      <c r="AG132">
        <v>11299519789.335339</v>
      </c>
      <c r="AH132">
        <v>0.21547202617345679</v>
      </c>
      <c r="AI132">
        <v>29.163045392740543</v>
      </c>
      <c r="AJ132">
        <v>11272524786.948383</v>
      </c>
    </row>
    <row r="133" spans="1:36" x14ac:dyDescent="0.25">
      <c r="A133" t="s">
        <v>10</v>
      </c>
      <c r="B133" t="s">
        <v>43</v>
      </c>
      <c r="C133">
        <v>2018</v>
      </c>
      <c r="D133" t="str">
        <f t="shared" si="2"/>
        <v>EGY2018</v>
      </c>
      <c r="E133">
        <v>26021.022000000001</v>
      </c>
      <c r="F133">
        <v>13613.766</v>
      </c>
      <c r="G133">
        <v>0.52318334579467773</v>
      </c>
      <c r="H133">
        <v>1219796.5</v>
      </c>
      <c r="I133">
        <v>1063543.75</v>
      </c>
      <c r="J133">
        <v>1549321.875</v>
      </c>
      <c r="K133">
        <v>5.5533576756715775E-2</v>
      </c>
      <c r="L133">
        <v>0.11227473616600037</v>
      </c>
      <c r="M133">
        <v>2.4146990850567818E-2</v>
      </c>
      <c r="N133">
        <v>5.3141128271818161E-2</v>
      </c>
      <c r="O133">
        <v>0</v>
      </c>
      <c r="P133">
        <v>0</v>
      </c>
      <c r="Q133">
        <v>0.67200940847396851</v>
      </c>
      <c r="R133">
        <v>0.42349103093147278</v>
      </c>
      <c r="S133">
        <v>1.2484368085861206</v>
      </c>
      <c r="T133">
        <v>9.6722595393657684E-2</v>
      </c>
      <c r="AE133">
        <v>0.11451978070786822</v>
      </c>
      <c r="AF133">
        <v>44.931300814740055</v>
      </c>
      <c r="AG133">
        <v>10084775549.196377</v>
      </c>
      <c r="AH133">
        <v>0.18215590227550302</v>
      </c>
      <c r="AI133">
        <v>26.427639795783492</v>
      </c>
      <c r="AJ133">
        <v>10215196000.506506</v>
      </c>
    </row>
    <row r="134" spans="1:36" x14ac:dyDescent="0.25">
      <c r="A134" t="s">
        <v>10</v>
      </c>
      <c r="B134" t="s">
        <v>43</v>
      </c>
      <c r="C134">
        <v>2019</v>
      </c>
      <c r="D134" t="str">
        <f t="shared" si="2"/>
        <v>EGY2019</v>
      </c>
      <c r="E134">
        <v>26122.61</v>
      </c>
      <c r="F134">
        <v>16496.946</v>
      </c>
      <c r="G134">
        <v>0.63151979446411133</v>
      </c>
      <c r="H134">
        <v>1287589</v>
      </c>
      <c r="I134">
        <v>1075373.125</v>
      </c>
      <c r="J134">
        <v>1651277.125</v>
      </c>
      <c r="K134">
        <v>5.6013196706771851E-2</v>
      </c>
      <c r="L134">
        <v>0.11574161797761917</v>
      </c>
      <c r="M134">
        <v>1.1122602969408035E-2</v>
      </c>
      <c r="N134">
        <v>5.557689443230629E-2</v>
      </c>
      <c r="O134">
        <v>0</v>
      </c>
      <c r="P134">
        <v>0</v>
      </c>
      <c r="Q134">
        <v>0.67200940847396851</v>
      </c>
      <c r="R134">
        <v>0.42349103093147278</v>
      </c>
      <c r="S134">
        <v>1.2484368085861206</v>
      </c>
      <c r="T134">
        <v>9.6722595393657684E-2</v>
      </c>
      <c r="AE134">
        <v>0.13202130166704137</v>
      </c>
      <c r="AF134">
        <v>53.670205893301976</v>
      </c>
      <c r="AG134">
        <v>12046212112.682596</v>
      </c>
      <c r="AH134">
        <v>0.20757088900387571</v>
      </c>
      <c r="AI134">
        <v>31.203430493608163</v>
      </c>
      <c r="AJ134">
        <v>12061204134.893841</v>
      </c>
    </row>
    <row r="135" spans="1:36" x14ac:dyDescent="0.25">
      <c r="A135" t="s">
        <v>10</v>
      </c>
      <c r="B135" t="s">
        <v>43</v>
      </c>
      <c r="C135">
        <v>2020</v>
      </c>
      <c r="D135" t="str">
        <f t="shared" si="2"/>
        <v>EGY2020</v>
      </c>
      <c r="E135">
        <v>26238.957999999999</v>
      </c>
      <c r="F135">
        <v>17647.212000000291</v>
      </c>
      <c r="G135">
        <v>0.67255765199661255</v>
      </c>
      <c r="H135">
        <v>1246568.8301843926</v>
      </c>
      <c r="I135">
        <v>1014775.8892490901</v>
      </c>
      <c r="J135">
        <v>1751652.3884252198</v>
      </c>
      <c r="K135">
        <v>5.9960693120956421E-2</v>
      </c>
      <c r="L135">
        <v>0.1156455059015781</v>
      </c>
      <c r="M135">
        <v>-5.6349962949752808E-2</v>
      </c>
      <c r="N135">
        <v>-3.185812383890152E-2</v>
      </c>
      <c r="O135">
        <v>0</v>
      </c>
      <c r="P135">
        <v>1</v>
      </c>
      <c r="Q135">
        <v>0.67200940847396851</v>
      </c>
      <c r="R135">
        <v>0.42349103093147278</v>
      </c>
      <c r="S135">
        <v>1.2484368085861206</v>
      </c>
      <c r="T135">
        <v>9.6722595393657684E-2</v>
      </c>
      <c r="AE135">
        <v>0.13879746137385607</v>
      </c>
      <c r="AF135">
        <v>54.272329432535223</v>
      </c>
      <c r="AG135">
        <v>12181358005.09938</v>
      </c>
      <c r="AH135">
        <v>0.21725414786309546</v>
      </c>
      <c r="AI135">
        <v>31.413162639137859</v>
      </c>
      <c r="AJ135">
        <v>12142272856.533312</v>
      </c>
    </row>
    <row r="136" spans="1:36" x14ac:dyDescent="0.25">
      <c r="A136" t="s">
        <v>10</v>
      </c>
      <c r="B136" t="s">
        <v>43</v>
      </c>
      <c r="C136">
        <v>2021</v>
      </c>
      <c r="D136" t="str">
        <f t="shared" si="2"/>
        <v>EGY2021</v>
      </c>
      <c r="E136">
        <v>27240.999</v>
      </c>
      <c r="F136">
        <v>18797.478000000119</v>
      </c>
      <c r="G136">
        <v>0.69004362821578979</v>
      </c>
      <c r="H136">
        <v>1203830.8522304127</v>
      </c>
      <c r="I136">
        <v>944785.05494659254</v>
      </c>
      <c r="J136">
        <v>1888033.6439832649</v>
      </c>
      <c r="K136">
        <v>5.9960693120956421E-2</v>
      </c>
      <c r="L136">
        <v>0.11096510368091438</v>
      </c>
      <c r="M136">
        <v>-6.8971715867519379E-2</v>
      </c>
      <c r="N136">
        <v>-3.4284491091966629E-2</v>
      </c>
      <c r="O136">
        <v>0</v>
      </c>
      <c r="P136">
        <v>1</v>
      </c>
      <c r="Q136">
        <v>0.67200940847396851</v>
      </c>
      <c r="R136">
        <v>0.42349103093147278</v>
      </c>
      <c r="S136">
        <v>1.2484368085861206</v>
      </c>
      <c r="T136">
        <v>9.6722595393657684E-2</v>
      </c>
      <c r="AE136">
        <v>0.1371384175970265</v>
      </c>
      <c r="AF136">
        <v>51.469838924504863</v>
      </c>
      <c r="AG136">
        <v>11552342436.002663</v>
      </c>
      <c r="AH136">
        <v>0.21489131475044743</v>
      </c>
      <c r="AI136">
        <v>29.823539484030878</v>
      </c>
      <c r="AJ136">
        <v>11527828576.913904</v>
      </c>
    </row>
    <row r="137" spans="1:36" x14ac:dyDescent="0.25">
      <c r="A137" t="s">
        <v>10</v>
      </c>
      <c r="B137" t="s">
        <v>43</v>
      </c>
      <c r="C137">
        <v>2022</v>
      </c>
      <c r="D137" t="str">
        <f t="shared" si="2"/>
        <v>EGY2022</v>
      </c>
      <c r="E137">
        <v>27976.39</v>
      </c>
      <c r="F137">
        <v>19947.743999999948</v>
      </c>
      <c r="G137">
        <v>0.7130206823348999</v>
      </c>
      <c r="H137">
        <v>1423998.2903984587</v>
      </c>
      <c r="I137">
        <v>1143286.8681930976</v>
      </c>
      <c r="J137">
        <v>1958171.2130543434</v>
      </c>
      <c r="K137">
        <v>5.9960693120956421E-2</v>
      </c>
      <c r="L137">
        <v>0.10673900946163103</v>
      </c>
      <c r="M137">
        <v>0.2101026177406311</v>
      </c>
      <c r="N137">
        <v>0.18288901448249817</v>
      </c>
      <c r="O137">
        <v>0</v>
      </c>
      <c r="P137">
        <v>1</v>
      </c>
      <c r="Q137">
        <v>0.67200940847396851</v>
      </c>
      <c r="R137">
        <v>0.42349103093147278</v>
      </c>
      <c r="S137">
        <v>1.2484368085861206</v>
      </c>
      <c r="T137">
        <v>9.6722595393657684E-2</v>
      </c>
      <c r="AE137">
        <v>0.14002196661603242</v>
      </c>
      <c r="AF137">
        <v>61.807185073717704</v>
      </c>
      <c r="AG137">
        <v>13872547144.052446</v>
      </c>
      <c r="AH137">
        <v>0.21899480712810773</v>
      </c>
      <c r="AI137">
        <v>35.745654628563372</v>
      </c>
      <c r="AJ137">
        <v>13816930721.730459</v>
      </c>
    </row>
    <row r="138" spans="1:36" x14ac:dyDescent="0.25">
      <c r="A138" t="s">
        <v>10</v>
      </c>
      <c r="B138" t="s">
        <v>43</v>
      </c>
      <c r="C138">
        <v>2023</v>
      </c>
      <c r="D138" t="str">
        <f t="shared" si="2"/>
        <v>EGY2023</v>
      </c>
      <c r="E138">
        <v>29886.073</v>
      </c>
      <c r="F138">
        <v>21098.01</v>
      </c>
      <c r="G138">
        <v>0.7059478759765625</v>
      </c>
      <c r="H138">
        <v>1372413.3814975889</v>
      </c>
      <c r="I138">
        <v>1107017.1904665076</v>
      </c>
      <c r="J138">
        <v>2074326.3004951009</v>
      </c>
      <c r="K138">
        <v>5.9960693120956421E-2</v>
      </c>
      <c r="L138">
        <v>0.11392140861698138</v>
      </c>
      <c r="M138">
        <v>-3.172403946518898E-2</v>
      </c>
      <c r="N138">
        <v>-3.6225400865077972E-2</v>
      </c>
      <c r="O138">
        <v>0</v>
      </c>
      <c r="P138">
        <v>0</v>
      </c>
      <c r="Q138">
        <v>0.67200940847396851</v>
      </c>
      <c r="R138">
        <v>0.42349103093147278</v>
      </c>
      <c r="S138">
        <v>1.2484368085861206</v>
      </c>
      <c r="T138">
        <v>9.6722595393657684E-2</v>
      </c>
      <c r="AE138">
        <v>0.13069541591531161</v>
      </c>
      <c r="AF138">
        <v>55.299811294574674</v>
      </c>
      <c r="AG138">
        <v>12411975053.162651</v>
      </c>
      <c r="AH138">
        <v>0.20566604376383676</v>
      </c>
      <c r="AI138">
        <v>32.178999320215993</v>
      </c>
      <c r="AJ138">
        <v>12438295197.61421</v>
      </c>
    </row>
    <row r="139" spans="1:36" x14ac:dyDescent="0.25">
      <c r="A139" t="s">
        <v>11</v>
      </c>
      <c r="B139" t="s">
        <v>44</v>
      </c>
      <c r="C139">
        <v>2013</v>
      </c>
      <c r="D139" t="str">
        <f t="shared" si="2"/>
        <v>GHA2013</v>
      </c>
      <c r="E139">
        <v>12038.709000000001</v>
      </c>
      <c r="F139">
        <v>10831.95</v>
      </c>
      <c r="G139">
        <v>0.89976012706756592</v>
      </c>
      <c r="H139">
        <v>125793.0078125</v>
      </c>
      <c r="I139">
        <v>119169.984375</v>
      </c>
      <c r="J139">
        <v>331067.34375</v>
      </c>
      <c r="K139">
        <v>5.0143878906965256E-2</v>
      </c>
      <c r="L139">
        <v>0.1278049647808075</v>
      </c>
      <c r="M139">
        <v>0.13570599257946014</v>
      </c>
      <c r="N139">
        <v>7.3125109076499939E-2</v>
      </c>
      <c r="O139">
        <v>0</v>
      </c>
      <c r="P139">
        <v>0</v>
      </c>
      <c r="Q139">
        <v>0.94601619243621826</v>
      </c>
      <c r="R139">
        <v>0.13484212756156921</v>
      </c>
      <c r="S139">
        <v>1.0311237573623657</v>
      </c>
      <c r="T139">
        <v>0.1945715993642807</v>
      </c>
      <c r="AE139">
        <v>0.32498582364334622</v>
      </c>
      <c r="AF139">
        <v>3926.9833036578329</v>
      </c>
      <c r="AG139">
        <v>1638845439.5624068</v>
      </c>
      <c r="AH139">
        <v>0.47133488022383008</v>
      </c>
      <c r="AI139">
        <v>1558.7289949651699</v>
      </c>
      <c r="AJ139">
        <v>1204611363.6935365</v>
      </c>
    </row>
    <row r="140" spans="1:36" x14ac:dyDescent="0.25">
      <c r="A140" t="s">
        <v>11</v>
      </c>
      <c r="B140" t="s">
        <v>44</v>
      </c>
      <c r="C140">
        <v>2014</v>
      </c>
      <c r="D140" t="str">
        <f t="shared" si="2"/>
        <v>GHA2014</v>
      </c>
      <c r="E140">
        <v>12055.608250000005</v>
      </c>
      <c r="F140">
        <v>9742.7568564689718</v>
      </c>
      <c r="G140">
        <v>0.80815142393112183</v>
      </c>
      <c r="H140">
        <v>129437.78125</v>
      </c>
      <c r="I140">
        <v>129124.734375</v>
      </c>
      <c r="J140">
        <v>341978</v>
      </c>
      <c r="K140">
        <v>4.8922713845968246E-2</v>
      </c>
      <c r="L140">
        <v>0.12625111639499664</v>
      </c>
      <c r="M140">
        <v>8.3534039556980133E-2</v>
      </c>
      <c r="N140">
        <v>2.8974372893571854E-2</v>
      </c>
      <c r="O140">
        <v>1</v>
      </c>
      <c r="P140">
        <v>1</v>
      </c>
      <c r="Q140">
        <v>0.94601619243621826</v>
      </c>
      <c r="R140">
        <v>0.13484212756156921</v>
      </c>
      <c r="S140">
        <v>1.0311237573623657</v>
      </c>
      <c r="T140">
        <v>0.1945715993642807</v>
      </c>
      <c r="AE140">
        <v>0.20239885956090164</v>
      </c>
      <c r="AF140">
        <v>2679.2187336049724</v>
      </c>
      <c r="AG140">
        <v>1118116646.7065933</v>
      </c>
      <c r="AH140">
        <v>0.31968874678830411</v>
      </c>
      <c r="AI140">
        <v>1158.1741177456431</v>
      </c>
      <c r="AJ140">
        <v>895055976.93928361</v>
      </c>
    </row>
    <row r="141" spans="1:36" x14ac:dyDescent="0.25">
      <c r="A141" t="s">
        <v>11</v>
      </c>
      <c r="B141" t="s">
        <v>44</v>
      </c>
      <c r="C141">
        <v>2015</v>
      </c>
      <c r="D141" t="str">
        <f t="shared" si="2"/>
        <v>GHA2015</v>
      </c>
      <c r="E141">
        <v>12072.5075</v>
      </c>
      <c r="F141">
        <v>8653.5637129373845</v>
      </c>
      <c r="G141">
        <v>0.71679919958114624</v>
      </c>
      <c r="H141">
        <v>132257.203125</v>
      </c>
      <c r="I141">
        <v>130607.3984375</v>
      </c>
      <c r="J141">
        <v>352159</v>
      </c>
      <c r="K141">
        <v>4.7919515520334244E-2</v>
      </c>
      <c r="L141">
        <v>0.12205281853675842</v>
      </c>
      <c r="M141">
        <v>1.1482417583465576E-2</v>
      </c>
      <c r="N141">
        <v>2.1782062947750092E-2</v>
      </c>
      <c r="O141">
        <v>1</v>
      </c>
      <c r="P141">
        <v>0</v>
      </c>
      <c r="Q141">
        <v>0.94601619243621826</v>
      </c>
      <c r="R141">
        <v>0.13484212756156921</v>
      </c>
      <c r="S141">
        <v>1.0311237573623657</v>
      </c>
      <c r="T141">
        <v>0.1945715993642807</v>
      </c>
      <c r="U141">
        <v>32520.984375</v>
      </c>
      <c r="V141">
        <v>2192.634765625</v>
      </c>
      <c r="W141">
        <v>14661.3759765625</v>
      </c>
      <c r="X141">
        <v>1830.5211181640625</v>
      </c>
      <c r="Y141">
        <v>664</v>
      </c>
      <c r="Z141">
        <v>2652</v>
      </c>
      <c r="AA141">
        <v>162</v>
      </c>
      <c r="AB141">
        <v>1237</v>
      </c>
      <c r="AD141">
        <v>2022</v>
      </c>
      <c r="AE141">
        <v>0.1457735307198606</v>
      </c>
      <c r="AF141">
        <v>2031.8948233042292</v>
      </c>
      <c r="AG141">
        <v>847969371.74162877</v>
      </c>
      <c r="AH141">
        <v>0.24012828819314208</v>
      </c>
      <c r="AI141">
        <v>916.03543133199923</v>
      </c>
      <c r="AJ141">
        <v>707927223.84245753</v>
      </c>
    </row>
    <row r="142" spans="1:36" x14ac:dyDescent="0.25">
      <c r="A142" t="s">
        <v>12</v>
      </c>
      <c r="B142" t="s">
        <v>45</v>
      </c>
      <c r="C142">
        <v>2003</v>
      </c>
      <c r="D142" t="str">
        <f t="shared" si="2"/>
        <v>GTM2003</v>
      </c>
      <c r="E142">
        <v>4423.4620000000004</v>
      </c>
      <c r="F142">
        <v>3375.7240000000002</v>
      </c>
      <c r="G142">
        <v>0.76314073801040649</v>
      </c>
      <c r="H142">
        <v>77908.984375</v>
      </c>
      <c r="I142">
        <v>72109.71875</v>
      </c>
      <c r="J142">
        <v>264046.5</v>
      </c>
      <c r="K142">
        <v>3.9491944015026093E-2</v>
      </c>
      <c r="L142">
        <v>9.728192538022995E-2</v>
      </c>
      <c r="M142">
        <v>3.2416839152574539E-2</v>
      </c>
      <c r="N142">
        <v>2.5307824835181236E-2</v>
      </c>
      <c r="O142">
        <v>0</v>
      </c>
      <c r="P142">
        <v>0</v>
      </c>
      <c r="Q142">
        <v>0.94516980648040771</v>
      </c>
      <c r="R142">
        <v>0.31064179539680481</v>
      </c>
      <c r="S142">
        <v>1.3175660371780396</v>
      </c>
      <c r="T142">
        <v>0.64988911151885986</v>
      </c>
      <c r="AE142">
        <v>0.17905773385465634</v>
      </c>
      <c r="AF142">
        <v>32.852832000920039</v>
      </c>
      <c r="AG142">
        <v>709171.18621836533</v>
      </c>
      <c r="AH142">
        <v>0.29323853555320212</v>
      </c>
      <c r="AI142">
        <v>17.287926463945794</v>
      </c>
      <c r="AJ142">
        <v>709886.45158517233</v>
      </c>
    </row>
    <row r="143" spans="1:36" x14ac:dyDescent="0.25">
      <c r="A143" t="s">
        <v>12</v>
      </c>
      <c r="B143" t="s">
        <v>45</v>
      </c>
      <c r="C143">
        <v>2004</v>
      </c>
      <c r="D143" t="str">
        <f t="shared" si="2"/>
        <v>GTM2004</v>
      </c>
      <c r="E143">
        <v>4449.0780000000004</v>
      </c>
      <c r="F143">
        <v>3368.143</v>
      </c>
      <c r="G143">
        <v>0.75704294443130493</v>
      </c>
      <c r="H143">
        <v>80364.7421875</v>
      </c>
      <c r="I143">
        <v>74053.9296875</v>
      </c>
      <c r="J143">
        <v>273654.71875</v>
      </c>
      <c r="K143">
        <v>3.9484146982431412E-2</v>
      </c>
      <c r="L143">
        <v>8.8342398405075073E-2</v>
      </c>
      <c r="M143">
        <v>2.6961842551827431E-2</v>
      </c>
      <c r="N143">
        <v>3.152085468173027E-2</v>
      </c>
      <c r="O143">
        <v>0</v>
      </c>
      <c r="P143">
        <v>0</v>
      </c>
      <c r="Q143">
        <v>0.94516980648040771</v>
      </c>
      <c r="R143">
        <v>0.31064179539680481</v>
      </c>
      <c r="S143">
        <v>1.3175660371780396</v>
      </c>
      <c r="T143">
        <v>0.64988911151885986</v>
      </c>
      <c r="AE143">
        <v>0.1729602296826937</v>
      </c>
      <c r="AF143">
        <v>32.584781419587713</v>
      </c>
      <c r="AG143">
        <v>703384.96514845442</v>
      </c>
      <c r="AH143">
        <v>0.28460075537911772</v>
      </c>
      <c r="AI143">
        <v>17.2284712591741</v>
      </c>
      <c r="AJ143">
        <v>707445.06889930356</v>
      </c>
    </row>
    <row r="144" spans="1:36" x14ac:dyDescent="0.25">
      <c r="A144" t="s">
        <v>12</v>
      </c>
      <c r="B144" t="s">
        <v>45</v>
      </c>
      <c r="C144">
        <v>2005</v>
      </c>
      <c r="D144" t="str">
        <f t="shared" si="2"/>
        <v>GTM2005</v>
      </c>
      <c r="E144">
        <v>4919.79449999996</v>
      </c>
      <c r="F144">
        <v>3638.8205000001471</v>
      </c>
      <c r="G144">
        <v>0.73962855339050293</v>
      </c>
      <c r="H144">
        <v>82984.7421875</v>
      </c>
      <c r="I144">
        <v>77032.46875</v>
      </c>
      <c r="J144">
        <v>283675.5</v>
      </c>
      <c r="K144">
        <v>3.9588689804077148E-2</v>
      </c>
      <c r="L144">
        <v>8.8271550834178925E-2</v>
      </c>
      <c r="M144">
        <v>4.0221214294433594E-2</v>
      </c>
      <c r="N144">
        <v>3.2601360231637955E-2</v>
      </c>
      <c r="O144">
        <v>1</v>
      </c>
      <c r="P144">
        <v>1</v>
      </c>
      <c r="Q144">
        <v>0.94516980648040771</v>
      </c>
      <c r="R144">
        <v>0.31064179539680481</v>
      </c>
      <c r="S144">
        <v>1.3175660371780396</v>
      </c>
      <c r="T144">
        <v>0.64988911151885986</v>
      </c>
      <c r="AE144">
        <v>0.15627461214913121</v>
      </c>
      <c r="AF144">
        <v>28.881394029772466</v>
      </c>
      <c r="AG144">
        <v>623442.52279864834</v>
      </c>
      <c r="AH144">
        <v>0.26053791596667275</v>
      </c>
      <c r="AI144">
        <v>15.471869456840789</v>
      </c>
      <c r="AJ144">
        <v>635314.50871285656</v>
      </c>
    </row>
    <row r="145" spans="1:36" x14ac:dyDescent="0.25">
      <c r="A145" t="s">
        <v>12</v>
      </c>
      <c r="B145" t="s">
        <v>45</v>
      </c>
      <c r="C145">
        <v>2006</v>
      </c>
      <c r="D145" t="str">
        <f t="shared" si="2"/>
        <v>GTM2006</v>
      </c>
      <c r="E145">
        <v>5390.5110000000004</v>
      </c>
      <c r="F145">
        <v>3909.498</v>
      </c>
      <c r="G145">
        <v>0.72525554895401001</v>
      </c>
      <c r="H145">
        <v>87449.0078125</v>
      </c>
      <c r="I145">
        <v>80712.8203125</v>
      </c>
      <c r="J145">
        <v>296839.6875</v>
      </c>
      <c r="K145">
        <v>3.9751261472702026E-2</v>
      </c>
      <c r="L145">
        <v>8.75701904296875E-2</v>
      </c>
      <c r="M145">
        <v>4.7776628285646439E-2</v>
      </c>
      <c r="N145">
        <v>5.3796220570802689E-2</v>
      </c>
      <c r="O145">
        <v>0</v>
      </c>
      <c r="P145">
        <v>0</v>
      </c>
      <c r="Q145">
        <v>0.94516980648040771</v>
      </c>
      <c r="R145">
        <v>0.31064179539680481</v>
      </c>
      <c r="S145">
        <v>1.3175660371780396</v>
      </c>
      <c r="T145">
        <v>0.64988911151885986</v>
      </c>
      <c r="AE145">
        <v>0.14297177128242833</v>
      </c>
      <c r="AF145">
        <v>26.041256310592672</v>
      </c>
      <c r="AG145">
        <v>562134.44941009383</v>
      </c>
      <c r="AH145">
        <v>0.24089371532847911</v>
      </c>
      <c r="AI145">
        <v>14.098705529507997</v>
      </c>
      <c r="AJ145">
        <v>578928.88780846563</v>
      </c>
    </row>
    <row r="146" spans="1:36" x14ac:dyDescent="0.25">
      <c r="A146" t="s">
        <v>12</v>
      </c>
      <c r="B146" t="s">
        <v>45</v>
      </c>
      <c r="C146">
        <v>2007</v>
      </c>
      <c r="D146" t="str">
        <f t="shared" si="2"/>
        <v>GTM2007</v>
      </c>
      <c r="E146">
        <v>5344.8044999999984</v>
      </c>
      <c r="F146">
        <v>3886.6667499999967</v>
      </c>
      <c r="G146">
        <v>0.72718596458435059</v>
      </c>
      <c r="H146">
        <v>92962.0078125</v>
      </c>
      <c r="I146">
        <v>85279.828125</v>
      </c>
      <c r="J146">
        <v>310644.5625</v>
      </c>
      <c r="K146">
        <v>3.994939848780632E-2</v>
      </c>
      <c r="L146">
        <v>8.8642023503780365E-2</v>
      </c>
      <c r="M146">
        <v>5.6583423167467117E-2</v>
      </c>
      <c r="N146">
        <v>6.3042454421520233E-2</v>
      </c>
      <c r="O146">
        <v>1</v>
      </c>
      <c r="P146">
        <v>1</v>
      </c>
      <c r="Q146">
        <v>0.94516980648040771</v>
      </c>
      <c r="R146">
        <v>0.31064179539680481</v>
      </c>
      <c r="S146">
        <v>1.3175660371780396</v>
      </c>
      <c r="T146">
        <v>0.64988911151885986</v>
      </c>
      <c r="AE146">
        <v>0.14257833235012607</v>
      </c>
      <c r="AF146">
        <v>27.47102843269554</v>
      </c>
      <c r="AG146">
        <v>592997.9436691351</v>
      </c>
      <c r="AH146">
        <v>0.2403063659169784</v>
      </c>
      <c r="AI146">
        <v>14.877460264454895</v>
      </c>
      <c r="AJ146">
        <v>610906.54785922612</v>
      </c>
    </row>
    <row r="147" spans="1:36" x14ac:dyDescent="0.25">
      <c r="A147" t="s">
        <v>12</v>
      </c>
      <c r="B147" t="s">
        <v>45</v>
      </c>
      <c r="C147">
        <v>2008</v>
      </c>
      <c r="D147" t="str">
        <f t="shared" si="2"/>
        <v>GTM2008</v>
      </c>
      <c r="E147">
        <v>5299.0979999999981</v>
      </c>
      <c r="F147">
        <v>3863.8354999999938</v>
      </c>
      <c r="G147">
        <v>0.72914963960647583</v>
      </c>
      <c r="H147">
        <v>96012.1875</v>
      </c>
      <c r="I147">
        <v>89553.703125</v>
      </c>
      <c r="J147">
        <v>322357.75</v>
      </c>
      <c r="K147">
        <v>3.9863716810941696E-2</v>
      </c>
      <c r="L147">
        <v>9.4775594770908356E-2</v>
      </c>
      <c r="M147">
        <v>5.011589452624321E-2</v>
      </c>
      <c r="N147">
        <v>3.2811034470796585E-2</v>
      </c>
      <c r="O147">
        <v>1</v>
      </c>
      <c r="P147">
        <v>1</v>
      </c>
      <c r="Q147">
        <v>0.94516980648040771</v>
      </c>
      <c r="R147">
        <v>0.31064179539680481</v>
      </c>
      <c r="S147">
        <v>1.3175660371780396</v>
      </c>
      <c r="T147">
        <v>0.64988911151885986</v>
      </c>
      <c r="AE147">
        <v>0.14253174102586713</v>
      </c>
      <c r="AF147">
        <v>29.30531831161256</v>
      </c>
      <c r="AG147">
        <v>632593.48079858243</v>
      </c>
      <c r="AH147">
        <v>0.24023678710510957</v>
      </c>
      <c r="AI147">
        <v>15.871446134579701</v>
      </c>
      <c r="AJ147">
        <v>651722.14848896465</v>
      </c>
    </row>
    <row r="148" spans="1:36" x14ac:dyDescent="0.25">
      <c r="A148" t="s">
        <v>12</v>
      </c>
      <c r="B148" t="s">
        <v>45</v>
      </c>
      <c r="C148">
        <v>2009</v>
      </c>
      <c r="D148" t="str">
        <f t="shared" si="2"/>
        <v>GTM2009</v>
      </c>
      <c r="E148">
        <v>5253.3914999999979</v>
      </c>
      <c r="F148">
        <v>3841.0042499999981</v>
      </c>
      <c r="G148">
        <v>0.73114752769470215</v>
      </c>
      <c r="H148">
        <v>96517.390625</v>
      </c>
      <c r="I148">
        <v>90591.890625</v>
      </c>
      <c r="J148">
        <v>330468.21875</v>
      </c>
      <c r="K148">
        <v>3.9456658065319061E-2</v>
      </c>
      <c r="L148">
        <v>0.10473611205816269</v>
      </c>
      <c r="M148">
        <v>1.1592904105782509E-2</v>
      </c>
      <c r="N148">
        <v>5.2618645131587982E-3</v>
      </c>
      <c r="O148">
        <v>1</v>
      </c>
      <c r="P148">
        <v>1</v>
      </c>
      <c r="Q148">
        <v>0.94516980648040771</v>
      </c>
      <c r="R148">
        <v>0.31064179539680481</v>
      </c>
      <c r="S148">
        <v>1.3175660371780396</v>
      </c>
      <c r="T148">
        <v>0.64988911151885986</v>
      </c>
      <c r="AE148">
        <v>0.14297411523058984</v>
      </c>
      <c r="AF148">
        <v>30.477956921425577</v>
      </c>
      <c r="AG148">
        <v>657906.41314801469</v>
      </c>
      <c r="AH148">
        <v>0.24089721340915504</v>
      </c>
      <c r="AI148">
        <v>16.500699111518678</v>
      </c>
      <c r="AJ148">
        <v>677560.88420317613</v>
      </c>
    </row>
    <row r="149" spans="1:36" x14ac:dyDescent="0.25">
      <c r="A149" t="s">
        <v>12</v>
      </c>
      <c r="B149" t="s">
        <v>45</v>
      </c>
      <c r="C149">
        <v>2010</v>
      </c>
      <c r="D149" t="str">
        <f t="shared" si="2"/>
        <v>GTM2010</v>
      </c>
      <c r="E149">
        <v>5207.6850000000004</v>
      </c>
      <c r="F149">
        <v>3818.1729999999998</v>
      </c>
      <c r="G149">
        <v>0.7331804633140564</v>
      </c>
      <c r="H149">
        <v>99286.8359375</v>
      </c>
      <c r="I149">
        <v>94158.6953125</v>
      </c>
      <c r="J149">
        <v>338061.90625</v>
      </c>
      <c r="K149">
        <v>3.91060970723629E-2</v>
      </c>
      <c r="L149">
        <v>0.10836814343929291</v>
      </c>
      <c r="M149">
        <v>3.937222808599472E-2</v>
      </c>
      <c r="N149">
        <v>2.8693744912743568E-2</v>
      </c>
      <c r="O149">
        <v>0</v>
      </c>
      <c r="P149">
        <v>0</v>
      </c>
      <c r="Q149">
        <v>0.94516980648040771</v>
      </c>
      <c r="R149">
        <v>0.31064179539680481</v>
      </c>
      <c r="S149">
        <v>1.3175660371780396</v>
      </c>
      <c r="T149">
        <v>0.64988911151885986</v>
      </c>
      <c r="U149">
        <v>54224.61328125</v>
      </c>
      <c r="V149">
        <v>3306.904541015625</v>
      </c>
      <c r="W149">
        <v>29344.130859375</v>
      </c>
      <c r="X149">
        <v>3404.19287109375</v>
      </c>
      <c r="Y149">
        <v>435</v>
      </c>
      <c r="Z149">
        <v>278</v>
      </c>
      <c r="AA149">
        <v>241</v>
      </c>
      <c r="AB149">
        <v>254</v>
      </c>
      <c r="AD149">
        <v>2010</v>
      </c>
      <c r="AE149">
        <v>0.14352659376514057</v>
      </c>
      <c r="AF149">
        <v>30.876118730344977</v>
      </c>
      <c r="AG149">
        <v>666501.25460126647</v>
      </c>
      <c r="AH149">
        <v>0.24172136045713999</v>
      </c>
      <c r="AI149">
        <v>16.708885755504948</v>
      </c>
      <c r="AJ149">
        <v>686109.55996686907</v>
      </c>
    </row>
    <row r="150" spans="1:36" x14ac:dyDescent="0.25">
      <c r="A150" t="s">
        <v>12</v>
      </c>
      <c r="B150" t="s">
        <v>45</v>
      </c>
      <c r="C150">
        <v>2011</v>
      </c>
      <c r="D150" t="str">
        <f t="shared" si="2"/>
        <v>GTM2011</v>
      </c>
      <c r="E150">
        <v>5347.3339999999998</v>
      </c>
      <c r="F150">
        <v>3884.5430000000001</v>
      </c>
      <c r="G150">
        <v>0.7264447808265686</v>
      </c>
      <c r="H150">
        <v>103419.1015625</v>
      </c>
      <c r="I150">
        <v>97642.2265625</v>
      </c>
      <c r="J150">
        <v>346915.3125</v>
      </c>
      <c r="K150">
        <v>3.9063747972249985E-2</v>
      </c>
      <c r="L150">
        <v>0.10741396248340607</v>
      </c>
      <c r="M150">
        <v>3.6996383219957352E-2</v>
      </c>
      <c r="N150">
        <v>4.1619472205638885E-2</v>
      </c>
      <c r="O150">
        <v>0</v>
      </c>
      <c r="P150">
        <v>0</v>
      </c>
      <c r="Q150">
        <v>0.94516980648040771</v>
      </c>
      <c r="R150">
        <v>0.31064179539680481</v>
      </c>
      <c r="S150">
        <v>1.3175660371780396</v>
      </c>
      <c r="T150">
        <v>0.64988911151885986</v>
      </c>
      <c r="AE150">
        <v>0.1380347467918325</v>
      </c>
      <c r="AF150">
        <v>30.586082241082185</v>
      </c>
      <c r="AG150">
        <v>660240.43906087882</v>
      </c>
      <c r="AH150">
        <v>0.23349655889181489</v>
      </c>
      <c r="AI150">
        <v>16.624862007616731</v>
      </c>
      <c r="AJ150">
        <v>682659.33009912586</v>
      </c>
    </row>
    <row r="151" spans="1:36" x14ac:dyDescent="0.25">
      <c r="A151" t="s">
        <v>12</v>
      </c>
      <c r="B151" t="s">
        <v>45</v>
      </c>
      <c r="C151">
        <v>2012</v>
      </c>
      <c r="D151" t="str">
        <f t="shared" si="2"/>
        <v>GTM2012</v>
      </c>
      <c r="E151">
        <v>6055.826</v>
      </c>
      <c r="F151">
        <v>4642.4989999999998</v>
      </c>
      <c r="G151">
        <v>0.76661700010299683</v>
      </c>
      <c r="H151">
        <v>106490.671875</v>
      </c>
      <c r="I151">
        <v>101006.953125</v>
      </c>
      <c r="J151">
        <v>356152.09375</v>
      </c>
      <c r="K151">
        <v>3.9271395653486252E-2</v>
      </c>
      <c r="L151">
        <v>0.13201308250427246</v>
      </c>
      <c r="M151">
        <v>3.445974737405777E-2</v>
      </c>
      <c r="N151">
        <v>2.9700221493840218E-2</v>
      </c>
      <c r="O151">
        <v>0</v>
      </c>
      <c r="P151">
        <v>0</v>
      </c>
      <c r="Q151">
        <v>0.94516980648040771</v>
      </c>
      <c r="R151">
        <v>0.31064179539680481</v>
      </c>
      <c r="S151">
        <v>1.3175660371780396</v>
      </c>
      <c r="T151">
        <v>0.64988911151885986</v>
      </c>
      <c r="AE151">
        <v>0.15557636283811099</v>
      </c>
      <c r="AF151">
        <v>31.614091626789637</v>
      </c>
      <c r="AG151">
        <v>682431.36115506385</v>
      </c>
      <c r="AH151">
        <v>0.2595170994846186</v>
      </c>
      <c r="AI151">
        <v>16.94514181334657</v>
      </c>
      <c r="AJ151">
        <v>695810.83761381311</v>
      </c>
    </row>
    <row r="152" spans="1:36" x14ac:dyDescent="0.25">
      <c r="A152" t="s">
        <v>12</v>
      </c>
      <c r="B152" t="s">
        <v>45</v>
      </c>
      <c r="C152">
        <v>2013</v>
      </c>
      <c r="D152" t="str">
        <f t="shared" si="2"/>
        <v>GTM2013</v>
      </c>
      <c r="E152">
        <v>5766.1369999999997</v>
      </c>
      <c r="F152">
        <v>4168.6610000000001</v>
      </c>
      <c r="G152">
        <v>0.72295558452606201</v>
      </c>
      <c r="H152">
        <v>110428.0625</v>
      </c>
      <c r="I152">
        <v>104970.3046875</v>
      </c>
      <c r="J152">
        <v>365267.5</v>
      </c>
      <c r="K152">
        <v>3.9542648941278458E-2</v>
      </c>
      <c r="L152">
        <v>0.14144569635391235</v>
      </c>
      <c r="M152">
        <v>3.9238404482603073E-2</v>
      </c>
      <c r="N152">
        <v>3.6974042654037476E-2</v>
      </c>
      <c r="O152">
        <v>0</v>
      </c>
      <c r="P152">
        <v>0</v>
      </c>
      <c r="Q152">
        <v>0.94516980648040771</v>
      </c>
      <c r="R152">
        <v>0.31064179539680481</v>
      </c>
      <c r="S152">
        <v>1.3175660371780396</v>
      </c>
      <c r="T152">
        <v>0.64988911151885986</v>
      </c>
      <c r="AE152">
        <v>0.1318045446428624</v>
      </c>
      <c r="AF152">
        <v>29.78661040855329</v>
      </c>
      <c r="AG152">
        <v>642982.79783814307</v>
      </c>
      <c r="AH152">
        <v>0.22407777387797459</v>
      </c>
      <c r="AI152">
        <v>16.271650855322832</v>
      </c>
      <c r="AJ152">
        <v>668155.57731621421</v>
      </c>
    </row>
    <row r="153" spans="1:36" x14ac:dyDescent="0.25">
      <c r="A153" t="s">
        <v>12</v>
      </c>
      <c r="B153" t="s">
        <v>45</v>
      </c>
      <c r="C153">
        <v>2014</v>
      </c>
      <c r="D153" t="str">
        <f t="shared" si="2"/>
        <v>GTM2014</v>
      </c>
      <c r="E153">
        <v>6060.085</v>
      </c>
      <c r="F153">
        <v>4201.93</v>
      </c>
      <c r="G153">
        <v>0.69337809085845947</v>
      </c>
      <c r="H153">
        <v>115335.4609375</v>
      </c>
      <c r="I153">
        <v>109623.78125</v>
      </c>
      <c r="J153">
        <v>375041.3125</v>
      </c>
      <c r="K153">
        <v>3.9701666682958603E-2</v>
      </c>
      <c r="L153">
        <v>0.14358311891555786</v>
      </c>
      <c r="M153">
        <v>4.433136060833931E-2</v>
      </c>
      <c r="N153">
        <v>4.4439777731895447E-2</v>
      </c>
      <c r="O153">
        <v>0</v>
      </c>
      <c r="P153">
        <v>0</v>
      </c>
      <c r="Q153">
        <v>0.94516980648040771</v>
      </c>
      <c r="R153">
        <v>0.31064179539680481</v>
      </c>
      <c r="S153">
        <v>1.3175660371780396</v>
      </c>
      <c r="T153">
        <v>0.64988911151885986</v>
      </c>
      <c r="AE153">
        <v>0.11598586493016259</v>
      </c>
      <c r="AF153">
        <v>27.235515510064346</v>
      </c>
      <c r="AG153">
        <v>587914.0903590935</v>
      </c>
      <c r="AH153">
        <v>0.1997325037533576</v>
      </c>
      <c r="AI153">
        <v>15.070283288964951</v>
      </c>
      <c r="AJ153">
        <v>618824.3541351168</v>
      </c>
    </row>
    <row r="154" spans="1:36" x14ac:dyDescent="0.25">
      <c r="A154" t="s">
        <v>12</v>
      </c>
      <c r="B154" t="s">
        <v>45</v>
      </c>
      <c r="C154">
        <v>2015</v>
      </c>
      <c r="D154" t="str">
        <f t="shared" si="2"/>
        <v>GTM2015</v>
      </c>
      <c r="E154">
        <v>6240.8850000000002</v>
      </c>
      <c r="F154">
        <v>4400.1819999999998</v>
      </c>
      <c r="G154">
        <v>0.70505738258361816</v>
      </c>
      <c r="H154">
        <v>120055.1875</v>
      </c>
      <c r="I154">
        <v>114715.8359375</v>
      </c>
      <c r="J154">
        <v>384094.28125</v>
      </c>
      <c r="K154">
        <v>3.9719142019748688E-2</v>
      </c>
      <c r="L154">
        <v>0.14537394046783447</v>
      </c>
      <c r="M154">
        <v>4.6450275927782059E-2</v>
      </c>
      <c r="N154">
        <v>4.0921729058027267E-2</v>
      </c>
      <c r="O154">
        <v>0</v>
      </c>
      <c r="P154">
        <v>0</v>
      </c>
      <c r="Q154">
        <v>0.94516980648040771</v>
      </c>
      <c r="R154">
        <v>0.31064179539680481</v>
      </c>
      <c r="S154">
        <v>1.3175660371780396</v>
      </c>
      <c r="T154">
        <v>0.64988911151885986</v>
      </c>
      <c r="AE154">
        <v>0.11925187302026018</v>
      </c>
      <c r="AF154">
        <v>28.287974420887227</v>
      </c>
      <c r="AG154">
        <v>610632.78731080377</v>
      </c>
      <c r="AH154">
        <v>0.20481035442319287</v>
      </c>
      <c r="AI154">
        <v>15.610998655204922</v>
      </c>
      <c r="AJ154">
        <v>641027.50923634809</v>
      </c>
    </row>
    <row r="155" spans="1:36" x14ac:dyDescent="0.25">
      <c r="A155" t="s">
        <v>12</v>
      </c>
      <c r="B155" t="s">
        <v>45</v>
      </c>
      <c r="C155">
        <v>2016</v>
      </c>
      <c r="D155" t="str">
        <f t="shared" si="2"/>
        <v>GTM2016</v>
      </c>
      <c r="E155">
        <v>6474.5839999999998</v>
      </c>
      <c r="F155">
        <v>4587.3059999999996</v>
      </c>
      <c r="G155">
        <v>0.70850974321365356</v>
      </c>
      <c r="H155">
        <v>123270.0234375</v>
      </c>
      <c r="I155">
        <v>118434.015625</v>
      </c>
      <c r="J155">
        <v>392460.625</v>
      </c>
      <c r="K155">
        <v>3.9601847529411316E-2</v>
      </c>
      <c r="L155">
        <v>0.14107298851013184</v>
      </c>
      <c r="M155">
        <v>3.2412085682153702E-2</v>
      </c>
      <c r="N155">
        <v>2.6777984574437141E-2</v>
      </c>
      <c r="O155">
        <v>0</v>
      </c>
      <c r="P155">
        <v>0</v>
      </c>
      <c r="Q155">
        <v>0.94516980648040771</v>
      </c>
      <c r="R155">
        <v>0.31064179539680481</v>
      </c>
      <c r="S155">
        <v>1.3175660371780396</v>
      </c>
      <c r="T155">
        <v>0.64988911151885986</v>
      </c>
      <c r="AE155">
        <v>0.11891139181303977</v>
      </c>
      <c r="AF155">
        <v>28.189155273811039</v>
      </c>
      <c r="AG155">
        <v>608499.64725909848</v>
      </c>
      <c r="AH155">
        <v>0.20428225060713762</v>
      </c>
      <c r="AI155">
        <v>15.560780223624713</v>
      </c>
      <c r="AJ155">
        <v>638965.41206853592</v>
      </c>
    </row>
    <row r="156" spans="1:36" x14ac:dyDescent="0.25">
      <c r="A156" t="s">
        <v>12</v>
      </c>
      <c r="B156" t="s">
        <v>45</v>
      </c>
      <c r="C156">
        <v>2017</v>
      </c>
      <c r="D156" t="str">
        <f t="shared" si="2"/>
        <v>GTM2017</v>
      </c>
      <c r="E156">
        <v>6687.9660000000003</v>
      </c>
      <c r="F156">
        <v>4835.6719999999996</v>
      </c>
      <c r="G156">
        <v>0.72304075956344604</v>
      </c>
      <c r="H156">
        <v>126997.015625</v>
      </c>
      <c r="I156">
        <v>122094.0703125</v>
      </c>
      <c r="J156">
        <v>401532</v>
      </c>
      <c r="K156">
        <v>3.9460927248001099E-2</v>
      </c>
      <c r="L156">
        <v>0.14856261014938354</v>
      </c>
      <c r="M156">
        <v>3.090374544262886E-2</v>
      </c>
      <c r="N156">
        <v>3.0234375968575478E-2</v>
      </c>
      <c r="O156">
        <v>0</v>
      </c>
      <c r="P156">
        <v>0</v>
      </c>
      <c r="Q156">
        <v>0.94516980648040771</v>
      </c>
      <c r="R156">
        <v>0.31064179539680481</v>
      </c>
      <c r="S156">
        <v>1.3175660371780396</v>
      </c>
      <c r="T156">
        <v>0.64988911151885986</v>
      </c>
      <c r="AE156">
        <v>0.12369162833373129</v>
      </c>
      <c r="AF156">
        <v>29.191274154739926</v>
      </c>
      <c r="AG156">
        <v>630131.68907212256</v>
      </c>
      <c r="AH156">
        <v>0.21166992408601182</v>
      </c>
      <c r="AI156">
        <v>16.05144128425156</v>
      </c>
      <c r="AJ156">
        <v>659113.20943369833</v>
      </c>
    </row>
    <row r="157" spans="1:36" x14ac:dyDescent="0.25">
      <c r="A157" t="s">
        <v>12</v>
      </c>
      <c r="B157" t="s">
        <v>45</v>
      </c>
      <c r="C157">
        <v>2018</v>
      </c>
      <c r="D157" t="str">
        <f t="shared" si="2"/>
        <v>GTM2018</v>
      </c>
      <c r="E157">
        <v>6915.5420000000004</v>
      </c>
      <c r="F157">
        <v>5014.4989999999998</v>
      </c>
      <c r="G157">
        <v>0.72510570287704468</v>
      </c>
      <c r="H157">
        <v>131079.84375</v>
      </c>
      <c r="I157">
        <v>126681.984375</v>
      </c>
      <c r="J157">
        <v>411468.625</v>
      </c>
      <c r="K157">
        <v>3.9327379316091537E-2</v>
      </c>
      <c r="L157">
        <v>0.15324681997299194</v>
      </c>
      <c r="M157">
        <v>3.7576880306005478E-2</v>
      </c>
      <c r="N157">
        <v>3.214900940656662E-2</v>
      </c>
      <c r="O157">
        <v>0</v>
      </c>
      <c r="P157">
        <v>0</v>
      </c>
      <c r="Q157">
        <v>0.94516980648040771</v>
      </c>
      <c r="R157">
        <v>0.31064179539680481</v>
      </c>
      <c r="S157">
        <v>1.3175660371780396</v>
      </c>
      <c r="T157">
        <v>0.64988911151885986</v>
      </c>
      <c r="AE157">
        <v>0.12276811722768237</v>
      </c>
      <c r="AF157">
        <v>29.207307660103115</v>
      </c>
      <c r="AG157">
        <v>630477.7931771609</v>
      </c>
      <c r="AH157">
        <v>0.21024714403480829</v>
      </c>
      <c r="AI157">
        <v>16.072305192640936</v>
      </c>
      <c r="AJ157">
        <v>659969.93484397931</v>
      </c>
    </row>
    <row r="158" spans="1:36" x14ac:dyDescent="0.25">
      <c r="A158" t="s">
        <v>12</v>
      </c>
      <c r="B158" t="s">
        <v>45</v>
      </c>
      <c r="C158">
        <v>2019</v>
      </c>
      <c r="D158" t="str">
        <f t="shared" si="2"/>
        <v>GTM2019</v>
      </c>
      <c r="E158">
        <v>7104.9889999999996</v>
      </c>
      <c r="F158">
        <v>5018.7619999999997</v>
      </c>
      <c r="G158">
        <v>0.70637154579162598</v>
      </c>
      <c r="H158">
        <v>136121.1875</v>
      </c>
      <c r="I158">
        <v>132020.453125</v>
      </c>
      <c r="J158">
        <v>422956.96875</v>
      </c>
      <c r="K158">
        <v>3.9160139858722687E-2</v>
      </c>
      <c r="L158">
        <v>0.15278716385364532</v>
      </c>
      <c r="M158">
        <v>4.2140711098909378E-2</v>
      </c>
      <c r="N158">
        <v>3.8460098206996918E-2</v>
      </c>
      <c r="O158">
        <v>0</v>
      </c>
      <c r="P158">
        <v>0</v>
      </c>
      <c r="Q158">
        <v>0.94516980648040771</v>
      </c>
      <c r="R158">
        <v>0.31064179539680481</v>
      </c>
      <c r="S158">
        <v>1.3175660371780396</v>
      </c>
      <c r="T158">
        <v>0.64988911151885986</v>
      </c>
      <c r="AE158">
        <v>0.112812031295111</v>
      </c>
      <c r="AF158">
        <v>27.855523198647017</v>
      </c>
      <c r="AG158">
        <v>601297.76419166801</v>
      </c>
      <c r="AH158">
        <v>0.19477193930764033</v>
      </c>
      <c r="AI158">
        <v>15.453413475637939</v>
      </c>
      <c r="AJ158">
        <v>634556.65894793894</v>
      </c>
    </row>
    <row r="159" spans="1:36" x14ac:dyDescent="0.25">
      <c r="A159" t="s">
        <v>12</v>
      </c>
      <c r="B159" t="s">
        <v>45</v>
      </c>
      <c r="C159">
        <v>2020</v>
      </c>
      <c r="D159" t="str">
        <f t="shared" si="2"/>
        <v>GTM2020</v>
      </c>
      <c r="E159">
        <v>7173.9054999999935</v>
      </c>
      <c r="F159">
        <v>5199.016500000027</v>
      </c>
      <c r="G159">
        <v>0.72471213340759277</v>
      </c>
      <c r="H159">
        <v>131484.01935694553</v>
      </c>
      <c r="I159">
        <v>126599.91946748947</v>
      </c>
      <c r="J159">
        <v>428048.3326069148</v>
      </c>
      <c r="K159">
        <v>3.9512615650892258E-2</v>
      </c>
      <c r="L159">
        <v>0.15314604796120138</v>
      </c>
      <c r="M159">
        <v>-4.1058287024497986E-2</v>
      </c>
      <c r="N159">
        <v>-3.4066468477249146E-2</v>
      </c>
      <c r="O159">
        <v>1</v>
      </c>
      <c r="P159">
        <v>1</v>
      </c>
      <c r="Q159">
        <v>0.94516980648040771</v>
      </c>
      <c r="R159">
        <v>0.31064179539680481</v>
      </c>
      <c r="S159">
        <v>1.3175660371780396</v>
      </c>
      <c r="T159">
        <v>0.64988911151885986</v>
      </c>
      <c r="AE159">
        <v>0.12012140523148691</v>
      </c>
      <c r="AF159">
        <v>28.000401591435264</v>
      </c>
      <c r="AG159">
        <v>604425.15307759948</v>
      </c>
      <c r="AH159">
        <v>0.20615771504606278</v>
      </c>
      <c r="AI159">
        <v>15.441361260169417</v>
      </c>
      <c r="AJ159">
        <v>634061.76417322247</v>
      </c>
    </row>
    <row r="160" spans="1:36" x14ac:dyDescent="0.25">
      <c r="A160" t="s">
        <v>12</v>
      </c>
      <c r="B160" t="s">
        <v>45</v>
      </c>
      <c r="C160">
        <v>2021</v>
      </c>
      <c r="D160" t="str">
        <f t="shared" si="2"/>
        <v>GTM2021</v>
      </c>
      <c r="E160">
        <v>7242.8220000000001</v>
      </c>
      <c r="F160">
        <v>5379.2709999999997</v>
      </c>
      <c r="G160">
        <v>0.74270373582839966</v>
      </c>
      <c r="H160">
        <v>126184.09065791847</v>
      </c>
      <c r="I160">
        <v>120982.81648224829</v>
      </c>
      <c r="J160">
        <v>432314.57023561251</v>
      </c>
      <c r="K160">
        <v>3.9512615650892258E-2</v>
      </c>
      <c r="L160">
        <v>0.14885635530654037</v>
      </c>
      <c r="M160">
        <v>-4.4368930160999298E-2</v>
      </c>
      <c r="N160">
        <v>-4.0308538824319839E-2</v>
      </c>
      <c r="O160">
        <v>0</v>
      </c>
      <c r="P160">
        <v>0</v>
      </c>
      <c r="Q160">
        <v>0.94516980648040771</v>
      </c>
      <c r="R160">
        <v>0.31064179539680481</v>
      </c>
      <c r="S160">
        <v>1.3175660371780396</v>
      </c>
      <c r="T160">
        <v>0.64988911151885986</v>
      </c>
      <c r="AE160">
        <v>0.12815573093271507</v>
      </c>
      <c r="AF160">
        <v>28.041013840909613</v>
      </c>
      <c r="AG160">
        <v>605301.82140055904</v>
      </c>
      <c r="AH160">
        <v>0.21851744528051228</v>
      </c>
      <c r="AI160">
        <v>15.363279436825906</v>
      </c>
      <c r="AJ160">
        <v>630855.52491588739</v>
      </c>
    </row>
    <row r="161" spans="1:36" x14ac:dyDescent="0.25">
      <c r="A161" t="s">
        <v>12</v>
      </c>
      <c r="B161" t="s">
        <v>45</v>
      </c>
      <c r="C161">
        <v>2022</v>
      </c>
      <c r="D161" t="str">
        <f t="shared" si="2"/>
        <v>GTM2022</v>
      </c>
      <c r="E161">
        <v>6952.4170000000004</v>
      </c>
      <c r="F161">
        <v>4925.6360000000004</v>
      </c>
      <c r="G161">
        <v>0.70847821235656738</v>
      </c>
      <c r="H161">
        <v>116801.14251095454</v>
      </c>
      <c r="I161">
        <v>111954.2114538562</v>
      </c>
      <c r="J161">
        <v>431001.64293004957</v>
      </c>
      <c r="K161">
        <v>3.9512615650892258E-2</v>
      </c>
      <c r="L161">
        <v>0.15379589347846132</v>
      </c>
      <c r="M161">
        <v>-7.4627168476581573E-2</v>
      </c>
      <c r="N161">
        <v>-7.4359200894832611E-2</v>
      </c>
      <c r="O161">
        <v>0</v>
      </c>
      <c r="P161">
        <v>0</v>
      </c>
      <c r="Q161">
        <v>0.94516980648040771</v>
      </c>
      <c r="R161">
        <v>0.31064179539680481</v>
      </c>
      <c r="S161">
        <v>1.3175660371780396</v>
      </c>
      <c r="T161">
        <v>0.64988911151885986</v>
      </c>
      <c r="AE161">
        <v>0.11374598237372181</v>
      </c>
      <c r="AF161">
        <v>24.394937656729503</v>
      </c>
      <c r="AG161">
        <v>526596.51610130421</v>
      </c>
      <c r="AH161">
        <v>0.19623433981107102</v>
      </c>
      <c r="AI161">
        <v>13.523241096326014</v>
      </c>
      <c r="AJ161">
        <v>555298.84719387873</v>
      </c>
    </row>
    <row r="162" spans="1:36" x14ac:dyDescent="0.25">
      <c r="A162" t="s">
        <v>12</v>
      </c>
      <c r="B162" t="s">
        <v>45</v>
      </c>
      <c r="C162">
        <v>2023</v>
      </c>
      <c r="D162" t="str">
        <f t="shared" si="2"/>
        <v>GTM2023</v>
      </c>
      <c r="E162">
        <v>7793.8950000000004</v>
      </c>
      <c r="F162">
        <v>5655.0280000000002</v>
      </c>
      <c r="G162">
        <v>0.72557151317596436</v>
      </c>
      <c r="H162">
        <v>118924.60312442119</v>
      </c>
      <c r="I162">
        <v>113450.46286191109</v>
      </c>
      <c r="J162">
        <v>431013.34183992643</v>
      </c>
      <c r="K162">
        <v>3.9512615650892258E-2</v>
      </c>
      <c r="L162">
        <v>0.14948156273317359</v>
      </c>
      <c r="M162">
        <v>1.3364851474761963E-2</v>
      </c>
      <c r="N162">
        <v>1.8180135637521744E-2</v>
      </c>
      <c r="O162">
        <v>0</v>
      </c>
      <c r="P162">
        <v>0</v>
      </c>
      <c r="Q162">
        <v>0.94516980648040771</v>
      </c>
      <c r="R162">
        <v>0.31064179539680481</v>
      </c>
      <c r="S162">
        <v>1.3175660371780396</v>
      </c>
      <c r="T162">
        <v>0.64988911151885986</v>
      </c>
      <c r="AE162">
        <v>0.11772253848442751</v>
      </c>
      <c r="AF162">
        <v>23.500248028552928</v>
      </c>
      <c r="AG162">
        <v>507283.47469003469</v>
      </c>
      <c r="AH162">
        <v>0.2024359780288969</v>
      </c>
      <c r="AI162">
        <v>12.985021211219559</v>
      </c>
      <c r="AJ162">
        <v>533198.1629268775</v>
      </c>
    </row>
    <row r="163" spans="1:36" x14ac:dyDescent="0.25">
      <c r="A163" t="s">
        <v>13</v>
      </c>
      <c r="B163" t="s">
        <v>46</v>
      </c>
      <c r="C163">
        <v>2005</v>
      </c>
      <c r="D163" t="str">
        <f t="shared" si="2"/>
        <v>IND2005</v>
      </c>
      <c r="E163">
        <v>373284.44900000002</v>
      </c>
      <c r="F163">
        <v>326478.88199999998</v>
      </c>
      <c r="G163">
        <v>0.87461155652999878</v>
      </c>
      <c r="H163">
        <v>3719020.5</v>
      </c>
      <c r="I163">
        <v>2743320.25</v>
      </c>
      <c r="J163">
        <v>12177142</v>
      </c>
      <c r="K163">
        <v>4.6122040599584579E-2</v>
      </c>
      <c r="L163">
        <v>0.11982563883066177</v>
      </c>
      <c r="M163">
        <v>7.6625138521194458E-2</v>
      </c>
      <c r="N163">
        <v>7.923426479101181E-2</v>
      </c>
      <c r="O163">
        <v>0</v>
      </c>
      <c r="P163">
        <v>0</v>
      </c>
      <c r="Q163">
        <v>0.89747214317321777</v>
      </c>
      <c r="R163">
        <v>0.24884481728076935</v>
      </c>
      <c r="S163">
        <v>1.1665621995925903</v>
      </c>
      <c r="T163">
        <v>0.5269315242767334</v>
      </c>
      <c r="AE163">
        <v>0.43375191379050981</v>
      </c>
      <c r="AF163">
        <v>56.812138245641584</v>
      </c>
      <c r="AG163">
        <v>19615782.702451348</v>
      </c>
      <c r="AH163">
        <v>0.51546942827123332</v>
      </c>
      <c r="AI163">
        <v>32.755124999466794</v>
      </c>
      <c r="AJ163">
        <v>15706913.056112126</v>
      </c>
    </row>
    <row r="164" spans="1:36" x14ac:dyDescent="0.25">
      <c r="A164" t="s">
        <v>13</v>
      </c>
      <c r="B164" t="s">
        <v>46</v>
      </c>
      <c r="C164">
        <v>2006</v>
      </c>
      <c r="D164" t="str">
        <f t="shared" si="2"/>
        <v>IND2006</v>
      </c>
      <c r="E164">
        <v>373696.31520000007</v>
      </c>
      <c r="F164">
        <v>324865.21140000038</v>
      </c>
      <c r="G164">
        <v>0.86932945251464844</v>
      </c>
      <c r="H164">
        <v>4018801</v>
      </c>
      <c r="I164">
        <v>2875060</v>
      </c>
      <c r="J164">
        <v>13214575</v>
      </c>
      <c r="K164">
        <v>4.7656845301389694E-2</v>
      </c>
      <c r="L164">
        <v>0.11002451926469803</v>
      </c>
      <c r="M164">
        <v>4.8022009432315826E-2</v>
      </c>
      <c r="N164">
        <v>8.0607376992702484E-2</v>
      </c>
      <c r="O164">
        <v>1</v>
      </c>
      <c r="P164">
        <v>1</v>
      </c>
      <c r="Q164">
        <v>0.89747214317321777</v>
      </c>
      <c r="R164">
        <v>0.24884481728076935</v>
      </c>
      <c r="S164">
        <v>1.1665621995925903</v>
      </c>
      <c r="T164">
        <v>0.5269315242767334</v>
      </c>
      <c r="AE164">
        <v>0.41883986915015153</v>
      </c>
      <c r="AF164">
        <v>59.360475243384165</v>
      </c>
      <c r="AG164">
        <v>20495658.488576517</v>
      </c>
      <c r="AH164">
        <v>0.50022984074534094</v>
      </c>
      <c r="AI164">
        <v>34.395020016984546</v>
      </c>
      <c r="AJ164">
        <v>16493284.302191086</v>
      </c>
    </row>
    <row r="165" spans="1:36" x14ac:dyDescent="0.25">
      <c r="A165" t="s">
        <v>13</v>
      </c>
      <c r="B165" t="s">
        <v>46</v>
      </c>
      <c r="C165">
        <v>2007</v>
      </c>
      <c r="D165" t="str">
        <f t="shared" si="2"/>
        <v>IND2007</v>
      </c>
      <c r="E165">
        <v>374108.1814</v>
      </c>
      <c r="F165">
        <v>323251.54080000008</v>
      </c>
      <c r="G165">
        <v>0.8640589714050293</v>
      </c>
      <c r="H165">
        <v>4326674</v>
      </c>
      <c r="I165">
        <v>3093544.25</v>
      </c>
      <c r="J165">
        <v>14455985</v>
      </c>
      <c r="K165">
        <v>4.9314204603433609E-2</v>
      </c>
      <c r="L165">
        <v>0.10699326545000076</v>
      </c>
      <c r="M165">
        <v>7.599293440580368E-2</v>
      </c>
      <c r="N165">
        <v>7.6608173549175262E-2</v>
      </c>
      <c r="O165">
        <v>1</v>
      </c>
      <c r="P165">
        <v>1</v>
      </c>
      <c r="Q165">
        <v>0.89747214317321777</v>
      </c>
      <c r="R165">
        <v>0.24884481728076935</v>
      </c>
      <c r="S165">
        <v>1.1665621995925903</v>
      </c>
      <c r="T165">
        <v>0.5269315242767334</v>
      </c>
      <c r="AE165">
        <v>0.40396262201066663</v>
      </c>
      <c r="AF165">
        <v>62.029461123185506</v>
      </c>
      <c r="AG165">
        <v>21417191.257290963</v>
      </c>
      <c r="AH165">
        <v>0.48487361610541213</v>
      </c>
      <c r="AI165">
        <v>36.121185531488251</v>
      </c>
      <c r="AJ165">
        <v>17321024.439260021</v>
      </c>
    </row>
    <row r="166" spans="1:36" x14ac:dyDescent="0.25">
      <c r="A166" t="s">
        <v>13</v>
      </c>
      <c r="B166" t="s">
        <v>46</v>
      </c>
      <c r="C166">
        <v>2008</v>
      </c>
      <c r="D166" t="str">
        <f t="shared" si="2"/>
        <v>IND2008</v>
      </c>
      <c r="E166">
        <v>374520.04760000005</v>
      </c>
      <c r="F166">
        <v>321637.87020000024</v>
      </c>
      <c r="G166">
        <v>0.85880011320114136</v>
      </c>
      <c r="H166">
        <v>4460225.5</v>
      </c>
      <c r="I166">
        <v>3263217.25</v>
      </c>
      <c r="J166">
        <v>15664624</v>
      </c>
      <c r="K166">
        <v>5.0660658627748489E-2</v>
      </c>
      <c r="L166">
        <v>0.11092455685138702</v>
      </c>
      <c r="M166">
        <v>5.4847445338964462E-2</v>
      </c>
      <c r="N166">
        <v>3.0867012217640877E-2</v>
      </c>
      <c r="O166">
        <v>1</v>
      </c>
      <c r="P166">
        <v>1</v>
      </c>
      <c r="Q166">
        <v>0.89747214317321777</v>
      </c>
      <c r="R166">
        <v>0.24884481728076935</v>
      </c>
      <c r="S166">
        <v>1.1665621995925903</v>
      </c>
      <c r="T166">
        <v>0.5269315242767334</v>
      </c>
      <c r="AE166">
        <v>0.39015737000574524</v>
      </c>
      <c r="AF166">
        <v>64.669508497548904</v>
      </c>
      <c r="AG166">
        <v>22328732.297970988</v>
      </c>
      <c r="AH166">
        <v>0.47048591365709597</v>
      </c>
      <c r="AI166">
        <v>37.834063396978273</v>
      </c>
      <c r="AJ166">
        <v>18142392.811672848</v>
      </c>
    </row>
    <row r="167" spans="1:36" x14ac:dyDescent="0.25">
      <c r="A167" t="s">
        <v>13</v>
      </c>
      <c r="B167" t="s">
        <v>46</v>
      </c>
      <c r="C167">
        <v>2009</v>
      </c>
      <c r="D167" t="str">
        <f t="shared" si="2"/>
        <v>IND2009</v>
      </c>
      <c r="E167">
        <v>374931.9138000001</v>
      </c>
      <c r="F167">
        <v>320024.1996000004</v>
      </c>
      <c r="G167">
        <v>0.85355281829833984</v>
      </c>
      <c r="H167">
        <v>4810883</v>
      </c>
      <c r="I167">
        <v>3473672.75</v>
      </c>
      <c r="J167">
        <v>16981898</v>
      </c>
      <c r="K167">
        <v>5.154084786772728E-2</v>
      </c>
      <c r="L167">
        <v>0.11723852157592773</v>
      </c>
      <c r="M167">
        <v>6.4493253827095032E-2</v>
      </c>
      <c r="N167">
        <v>7.861877977848053E-2</v>
      </c>
      <c r="O167">
        <v>1</v>
      </c>
      <c r="P167">
        <v>1</v>
      </c>
      <c r="Q167">
        <v>0.89747214317321777</v>
      </c>
      <c r="R167">
        <v>0.24884481728076935</v>
      </c>
      <c r="S167">
        <v>1.1665621995925903</v>
      </c>
      <c r="T167">
        <v>0.5269315242767334</v>
      </c>
      <c r="AE167">
        <v>0.37680603222486003</v>
      </c>
      <c r="AF167">
        <v>64.55520151735719</v>
      </c>
      <c r="AG167">
        <v>22289265.012386363</v>
      </c>
      <c r="AH167">
        <v>0.45644312546562021</v>
      </c>
      <c r="AI167">
        <v>37.938196520841004</v>
      </c>
      <c r="AJ167">
        <v>18192327.285218585</v>
      </c>
    </row>
    <row r="168" spans="1:36" x14ac:dyDescent="0.25">
      <c r="A168" t="s">
        <v>13</v>
      </c>
      <c r="B168" t="s">
        <v>46</v>
      </c>
      <c r="C168">
        <v>2010</v>
      </c>
      <c r="D168" t="str">
        <f t="shared" si="2"/>
        <v>IND2010</v>
      </c>
      <c r="E168">
        <v>375343.78</v>
      </c>
      <c r="F168">
        <v>318410.52899999998</v>
      </c>
      <c r="G168">
        <v>0.84831702709197998</v>
      </c>
      <c r="H168">
        <v>5219692</v>
      </c>
      <c r="I168">
        <v>3698283</v>
      </c>
      <c r="J168">
        <v>18487850</v>
      </c>
      <c r="K168">
        <v>5.231717973947525E-2</v>
      </c>
      <c r="L168">
        <v>0.10683520138263702</v>
      </c>
      <c r="M168">
        <v>6.4660742878913879E-2</v>
      </c>
      <c r="N168">
        <v>8.4975875914096832E-2</v>
      </c>
      <c r="O168">
        <v>0</v>
      </c>
      <c r="P168">
        <v>0</v>
      </c>
      <c r="Q168">
        <v>0.89747214317321777</v>
      </c>
      <c r="R168">
        <v>0.24884481728076935</v>
      </c>
      <c r="S168">
        <v>1.1665621995925903</v>
      </c>
      <c r="T168">
        <v>0.5269315242767334</v>
      </c>
      <c r="AE168">
        <v>0.36367569962114993</v>
      </c>
      <c r="AF168">
        <v>67.383331676898678</v>
      </c>
      <c r="AG168">
        <v>23265746.242928162</v>
      </c>
      <c r="AH168">
        <v>0.44250820407600799</v>
      </c>
      <c r="AI168">
        <v>39.777376964647061</v>
      </c>
      <c r="AJ168">
        <v>19074260.946770288</v>
      </c>
    </row>
    <row r="169" spans="1:36" x14ac:dyDescent="0.25">
      <c r="A169" t="s">
        <v>13</v>
      </c>
      <c r="B169" t="s">
        <v>46</v>
      </c>
      <c r="C169">
        <v>2011</v>
      </c>
      <c r="D169" t="str">
        <f t="shared" si="2"/>
        <v>IND2011</v>
      </c>
      <c r="E169">
        <v>384949.08800000325</v>
      </c>
      <c r="F169">
        <v>322221.29900000058</v>
      </c>
      <c r="G169">
        <v>0.83704912662506104</v>
      </c>
      <c r="H169">
        <v>5493272.5</v>
      </c>
      <c r="I169">
        <v>3967275.5</v>
      </c>
      <c r="J169">
        <v>20172132</v>
      </c>
      <c r="K169">
        <v>5.3053565323352814E-2</v>
      </c>
      <c r="L169">
        <v>0.10596821457147598</v>
      </c>
      <c r="M169">
        <v>7.2734430432319641E-2</v>
      </c>
      <c r="N169">
        <v>5.2413150668144226E-2</v>
      </c>
      <c r="O169">
        <v>1</v>
      </c>
      <c r="P169">
        <v>1</v>
      </c>
      <c r="Q169">
        <v>0.89747214317321777</v>
      </c>
      <c r="R169">
        <v>0.24884481728076935</v>
      </c>
      <c r="S169">
        <v>1.1665621995925903</v>
      </c>
      <c r="T169">
        <v>0.5269315242767334</v>
      </c>
      <c r="AE169">
        <v>0.34032175019522287</v>
      </c>
      <c r="AF169">
        <v>67.986928768249598</v>
      </c>
      <c r="AG169">
        <v>23474152.927650675</v>
      </c>
      <c r="AH169">
        <v>0.41741268166231066</v>
      </c>
      <c r="AI169">
        <v>40.455537271418905</v>
      </c>
      <c r="AJ169">
        <v>19399456.010954753</v>
      </c>
    </row>
    <row r="170" spans="1:36" x14ac:dyDescent="0.25">
      <c r="A170" t="s">
        <v>13</v>
      </c>
      <c r="B170" t="s">
        <v>46</v>
      </c>
      <c r="C170">
        <v>2012</v>
      </c>
      <c r="D170" t="str">
        <f t="shared" si="2"/>
        <v>IND2012</v>
      </c>
      <c r="E170">
        <v>394554.39600000001</v>
      </c>
      <c r="F170">
        <v>326032.06900000002</v>
      </c>
      <c r="G170">
        <v>0.82632982730865479</v>
      </c>
      <c r="H170">
        <v>5793006</v>
      </c>
      <c r="I170">
        <v>4152463</v>
      </c>
      <c r="J170">
        <v>21863598</v>
      </c>
      <c r="K170">
        <v>5.3802374750375748E-2</v>
      </c>
      <c r="L170">
        <v>0.10147002339363098</v>
      </c>
      <c r="M170">
        <v>4.6678759157657623E-2</v>
      </c>
      <c r="N170">
        <v>5.4563742130994797E-2</v>
      </c>
      <c r="O170">
        <v>0</v>
      </c>
      <c r="P170">
        <v>0</v>
      </c>
      <c r="Q170">
        <v>0.89747214317321777</v>
      </c>
      <c r="R170">
        <v>0.24884481728076935</v>
      </c>
      <c r="S170">
        <v>1.1665621995925903</v>
      </c>
      <c r="T170">
        <v>0.5269315242767334</v>
      </c>
      <c r="AE170">
        <v>0.31973303066513026</v>
      </c>
      <c r="AF170">
        <v>66.806533132092866</v>
      </c>
      <c r="AG170">
        <v>23066592.413000468</v>
      </c>
      <c r="AH170">
        <v>0.39495238758263307</v>
      </c>
      <c r="AI170">
        <v>40.036194573629139</v>
      </c>
      <c r="AJ170">
        <v>19198370.553487971</v>
      </c>
    </row>
    <row r="171" spans="1:36" x14ac:dyDescent="0.25">
      <c r="A171" t="s">
        <v>13</v>
      </c>
      <c r="B171" t="s">
        <v>46</v>
      </c>
      <c r="C171">
        <v>2013</v>
      </c>
      <c r="D171" t="str">
        <f t="shared" si="2"/>
        <v>IND2013</v>
      </c>
      <c r="E171">
        <v>386691.85416666791</v>
      </c>
      <c r="F171">
        <v>318211.82616666704</v>
      </c>
      <c r="G171">
        <v>0.82290804386138916</v>
      </c>
      <c r="H171">
        <v>6162954</v>
      </c>
      <c r="I171">
        <v>4411082</v>
      </c>
      <c r="J171">
        <v>23393342</v>
      </c>
      <c r="K171">
        <v>5.4355327039957047E-2</v>
      </c>
      <c r="L171">
        <v>9.2706441879272461E-2</v>
      </c>
      <c r="M171">
        <v>6.2280867248773575E-2</v>
      </c>
      <c r="N171">
        <v>6.3861146569252014E-2</v>
      </c>
      <c r="O171">
        <v>1</v>
      </c>
      <c r="P171">
        <v>1</v>
      </c>
      <c r="Q171">
        <v>0.89747214317321777</v>
      </c>
      <c r="R171">
        <v>0.24884481728076935</v>
      </c>
      <c r="S171">
        <v>1.1665621995925903</v>
      </c>
      <c r="T171">
        <v>0.5269315242767334</v>
      </c>
      <c r="AE171">
        <v>0.31344405245029405</v>
      </c>
      <c r="AF171">
        <v>69.955242735817379</v>
      </c>
      <c r="AG171">
        <v>24153761.551270317</v>
      </c>
      <c r="AH171">
        <v>0.38802781326866304</v>
      </c>
      <c r="AI171">
        <v>42.014549142700297</v>
      </c>
      <c r="AJ171">
        <v>20147041.737342976</v>
      </c>
    </row>
    <row r="172" spans="1:36" x14ac:dyDescent="0.25">
      <c r="A172" t="s">
        <v>13</v>
      </c>
      <c r="B172" t="s">
        <v>46</v>
      </c>
      <c r="C172">
        <v>2014</v>
      </c>
      <c r="D172" t="str">
        <f t="shared" si="2"/>
        <v>IND2014</v>
      </c>
      <c r="E172">
        <v>378829.31233333424</v>
      </c>
      <c r="F172">
        <v>310391.58333333209</v>
      </c>
      <c r="G172">
        <v>0.819344162940979</v>
      </c>
      <c r="H172">
        <v>6619643.5</v>
      </c>
      <c r="I172">
        <v>4701100</v>
      </c>
      <c r="J172">
        <v>24953404</v>
      </c>
      <c r="K172">
        <v>5.4536771029233932E-2</v>
      </c>
      <c r="L172">
        <v>8.6551129817962646E-2</v>
      </c>
      <c r="M172">
        <v>6.5747588872909546E-2</v>
      </c>
      <c r="N172">
        <v>7.410237193107605E-2</v>
      </c>
      <c r="O172">
        <v>1</v>
      </c>
      <c r="P172">
        <v>1</v>
      </c>
      <c r="Q172">
        <v>0.89747214317321777</v>
      </c>
      <c r="R172">
        <v>0.24884481728076935</v>
      </c>
      <c r="S172">
        <v>1.1665621995925903</v>
      </c>
      <c r="T172">
        <v>0.5269315242767334</v>
      </c>
      <c r="AE172">
        <v>0.30731781155881455</v>
      </c>
      <c r="AF172">
        <v>73.931094639232725</v>
      </c>
      <c r="AG172">
        <v>25526521.834597729</v>
      </c>
      <c r="AH172">
        <v>0.38125333674569573</v>
      </c>
      <c r="AI172">
        <v>44.496891717472387</v>
      </c>
      <c r="AJ172">
        <v>21337387.950281117</v>
      </c>
    </row>
    <row r="173" spans="1:36" x14ac:dyDescent="0.25">
      <c r="A173" t="s">
        <v>13</v>
      </c>
      <c r="B173" t="s">
        <v>46</v>
      </c>
      <c r="C173">
        <v>2015</v>
      </c>
      <c r="D173" t="str">
        <f t="shared" si="2"/>
        <v>IND2015</v>
      </c>
      <c r="E173">
        <v>370966.77050000057</v>
      </c>
      <c r="F173">
        <v>302571.340499999</v>
      </c>
      <c r="G173">
        <v>0.81562924385070801</v>
      </c>
      <c r="H173">
        <v>7148966.5</v>
      </c>
      <c r="I173">
        <v>5070482</v>
      </c>
      <c r="J173">
        <v>26605918</v>
      </c>
      <c r="K173">
        <v>5.4843921214342117E-2</v>
      </c>
      <c r="L173">
        <v>7.9911641776561737E-2</v>
      </c>
      <c r="M173">
        <v>7.8573524951934814E-2</v>
      </c>
      <c r="N173">
        <v>7.9962462186813354E-2</v>
      </c>
      <c r="O173">
        <v>1</v>
      </c>
      <c r="P173">
        <v>1</v>
      </c>
      <c r="Q173">
        <v>0.89747214317321777</v>
      </c>
      <c r="R173">
        <v>0.24884481728076935</v>
      </c>
      <c r="S173">
        <v>1.1665621995925903</v>
      </c>
      <c r="T173">
        <v>0.5269315242767334</v>
      </c>
      <c r="AE173">
        <v>0.30121121543526708</v>
      </c>
      <c r="AF173">
        <v>78.885240041197278</v>
      </c>
      <c r="AG173">
        <v>27237061.917794481</v>
      </c>
      <c r="AH173">
        <v>0.3744718320915344</v>
      </c>
      <c r="AI173">
        <v>47.579556024627834</v>
      </c>
      <c r="AJ173">
        <v>22815603.657119632</v>
      </c>
    </row>
    <row r="174" spans="1:36" x14ac:dyDescent="0.25">
      <c r="A174" t="s">
        <v>13</v>
      </c>
      <c r="B174" t="s">
        <v>46</v>
      </c>
      <c r="C174">
        <v>2016</v>
      </c>
      <c r="D174" t="str">
        <f t="shared" si="2"/>
        <v>IND2016</v>
      </c>
      <c r="E174">
        <v>363104.2286666669</v>
      </c>
      <c r="F174">
        <v>294751.09766666591</v>
      </c>
      <c r="G174">
        <v>0.81175339221954346</v>
      </c>
      <c r="H174">
        <v>7739207</v>
      </c>
      <c r="I174">
        <v>5467035</v>
      </c>
      <c r="J174">
        <v>28367374</v>
      </c>
      <c r="K174">
        <v>5.5575452744960785E-2</v>
      </c>
      <c r="L174">
        <v>7.2845079004764557E-2</v>
      </c>
      <c r="M174">
        <v>7.820814847946167E-2</v>
      </c>
      <c r="N174">
        <v>8.2563050091266632E-2</v>
      </c>
      <c r="O174">
        <v>1</v>
      </c>
      <c r="P174">
        <v>1</v>
      </c>
      <c r="Q174">
        <v>0.89747214317321777</v>
      </c>
      <c r="R174">
        <v>0.24884481728076935</v>
      </c>
      <c r="S174">
        <v>1.1665621995925903</v>
      </c>
      <c r="T174">
        <v>0.5269315242767334</v>
      </c>
      <c r="AE174">
        <v>0.29510197553121303</v>
      </c>
      <c r="AF174">
        <v>84.624836791621178</v>
      </c>
      <c r="AG174">
        <v>29218798.323652226</v>
      </c>
      <c r="AH174">
        <v>0.36765848365215376</v>
      </c>
      <c r="AI174">
        <v>51.150152851671784</v>
      </c>
      <c r="AJ174">
        <v>24527795.380452152</v>
      </c>
    </row>
    <row r="175" spans="1:36" x14ac:dyDescent="0.25">
      <c r="A175" t="s">
        <v>13</v>
      </c>
      <c r="B175" t="s">
        <v>46</v>
      </c>
      <c r="C175">
        <v>2017</v>
      </c>
      <c r="D175" t="str">
        <f t="shared" si="2"/>
        <v>IND2017</v>
      </c>
      <c r="E175">
        <v>355241.68683333322</v>
      </c>
      <c r="F175">
        <v>286930.85483333282</v>
      </c>
      <c r="G175">
        <v>0.80770605802536011</v>
      </c>
      <c r="H175">
        <v>8284343</v>
      </c>
      <c r="I175">
        <v>5886205.5</v>
      </c>
      <c r="J175">
        <v>30257410</v>
      </c>
      <c r="K175">
        <v>5.655977874994278E-2</v>
      </c>
      <c r="L175">
        <v>7.1714200079441071E-2</v>
      </c>
      <c r="M175">
        <v>7.6672367751598358E-2</v>
      </c>
      <c r="N175">
        <v>7.0438221096992493E-2</v>
      </c>
      <c r="O175">
        <v>1</v>
      </c>
      <c r="P175">
        <v>1</v>
      </c>
      <c r="Q175">
        <v>0.89747214317321777</v>
      </c>
      <c r="R175">
        <v>0.24884481728076935</v>
      </c>
      <c r="S175">
        <v>1.1665621995925903</v>
      </c>
      <c r="T175">
        <v>0.5269315242767334</v>
      </c>
      <c r="AE175">
        <v>0.28896899235347551</v>
      </c>
      <c r="AF175">
        <v>90.987927131921182</v>
      </c>
      <c r="AG175">
        <v>31415811.16783905</v>
      </c>
      <c r="AH175">
        <v>0.36078938607727168</v>
      </c>
      <c r="AI175">
        <v>55.114122503910203</v>
      </c>
      <c r="AJ175">
        <v>26428619.348786555</v>
      </c>
    </row>
    <row r="176" spans="1:36" x14ac:dyDescent="0.25">
      <c r="A176" t="s">
        <v>13</v>
      </c>
      <c r="B176" t="s">
        <v>46</v>
      </c>
      <c r="C176">
        <v>2018</v>
      </c>
      <c r="D176" t="str">
        <f t="shared" si="2"/>
        <v>IND2018</v>
      </c>
      <c r="E176">
        <v>347379.14500000002</v>
      </c>
      <c r="F176">
        <v>279110.61200000002</v>
      </c>
      <c r="G176">
        <v>0.80347543954849243</v>
      </c>
      <c r="H176">
        <v>8791310</v>
      </c>
      <c r="I176">
        <v>6333991</v>
      </c>
      <c r="J176">
        <v>32325540</v>
      </c>
      <c r="K176">
        <v>5.747772753238678E-2</v>
      </c>
      <c r="L176">
        <v>7.4148394167423248E-2</v>
      </c>
      <c r="M176">
        <v>7.6073713600635529E-2</v>
      </c>
      <c r="N176">
        <v>6.1195801943540573E-2</v>
      </c>
      <c r="O176">
        <v>0</v>
      </c>
      <c r="P176">
        <v>0</v>
      </c>
      <c r="Q176">
        <v>0.89747214317321777</v>
      </c>
      <c r="R176">
        <v>0.24884481728076935</v>
      </c>
      <c r="S176">
        <v>1.1665621995925903</v>
      </c>
      <c r="T176">
        <v>0.5269315242767334</v>
      </c>
      <c r="AE176">
        <v>0.28275143662708535</v>
      </c>
      <c r="AF176">
        <v>96.699139545520765</v>
      </c>
      <c r="AG176">
        <v>33387747.185954098</v>
      </c>
      <c r="AH176">
        <v>0.35379543597416491</v>
      </c>
      <c r="AI176">
        <v>58.701153105570491</v>
      </c>
      <c r="AJ176">
        <v>28148691.483782496</v>
      </c>
    </row>
    <row r="177" spans="1:36" x14ac:dyDescent="0.25">
      <c r="A177" t="s">
        <v>13</v>
      </c>
      <c r="B177" t="s">
        <v>46</v>
      </c>
      <c r="C177">
        <v>2019</v>
      </c>
      <c r="D177" t="str">
        <f t="shared" si="2"/>
        <v>IND2019</v>
      </c>
      <c r="E177">
        <v>379952.36</v>
      </c>
      <c r="F177">
        <v>305644.49400000001</v>
      </c>
      <c r="G177">
        <v>0.80442845821380615</v>
      </c>
      <c r="H177">
        <v>9163052</v>
      </c>
      <c r="I177">
        <v>6603997.5</v>
      </c>
      <c r="J177">
        <v>34201480</v>
      </c>
      <c r="K177">
        <v>5.7922370731830597E-2</v>
      </c>
      <c r="L177">
        <v>7.3454052209854126E-2</v>
      </c>
      <c r="M177">
        <v>4.2628180235624313E-2</v>
      </c>
      <c r="N177">
        <v>4.2285166680812836E-2</v>
      </c>
      <c r="O177">
        <v>0</v>
      </c>
      <c r="P177">
        <v>0</v>
      </c>
      <c r="Q177">
        <v>0.89747214317321777</v>
      </c>
      <c r="R177">
        <v>0.24884481728076935</v>
      </c>
      <c r="S177">
        <v>1.1665621995925903</v>
      </c>
      <c r="T177">
        <v>0.5269315242767334</v>
      </c>
      <c r="AE177">
        <v>0.27425991224599988</v>
      </c>
      <c r="AF177">
        <v>94.884078934829432</v>
      </c>
      <c r="AG177">
        <v>32761053.038707647</v>
      </c>
      <c r="AH177">
        <v>0.34419419857461353</v>
      </c>
      <c r="AI177">
        <v>57.771171756919486</v>
      </c>
      <c r="AJ177">
        <v>27702741.84422823</v>
      </c>
    </row>
    <row r="178" spans="1:36" x14ac:dyDescent="0.25">
      <c r="A178" t="s">
        <v>13</v>
      </c>
      <c r="B178" t="s">
        <v>46</v>
      </c>
      <c r="C178">
        <v>2020</v>
      </c>
      <c r="D178" t="str">
        <f t="shared" si="2"/>
        <v>IND2020</v>
      </c>
      <c r="E178">
        <v>386824.86599999998</v>
      </c>
      <c r="F178">
        <v>316474.92599999998</v>
      </c>
      <c r="G178">
        <v>0.81813490390777588</v>
      </c>
      <c r="H178">
        <v>10957933.11660403</v>
      </c>
      <c r="I178">
        <v>7691172.4466168135</v>
      </c>
      <c r="J178">
        <v>36088740.51471743</v>
      </c>
      <c r="K178">
        <v>5.1574010401964188E-2</v>
      </c>
      <c r="L178">
        <v>6.8082185857847713E-2</v>
      </c>
      <c r="M178">
        <v>0.16462376713752747</v>
      </c>
      <c r="N178">
        <v>0.19588245451450348</v>
      </c>
      <c r="O178">
        <v>0</v>
      </c>
      <c r="P178">
        <v>0</v>
      </c>
      <c r="Q178">
        <v>0.89747214317321777</v>
      </c>
      <c r="R178">
        <v>0.24884481728076935</v>
      </c>
      <c r="S178">
        <v>1.1665621995925903</v>
      </c>
      <c r="T178">
        <v>0.5269315242767334</v>
      </c>
      <c r="AE178">
        <v>0.28515962723334848</v>
      </c>
      <c r="AF178">
        <v>100.957122918601</v>
      </c>
      <c r="AG178">
        <v>34857920.271780528</v>
      </c>
      <c r="AH178">
        <v>0.35650795239199756</v>
      </c>
      <c r="AI178">
        <v>61.234301179109565</v>
      </c>
      <c r="AJ178">
        <v>29363400.221727595</v>
      </c>
    </row>
    <row r="179" spans="1:36" x14ac:dyDescent="0.25">
      <c r="A179" t="s">
        <v>13</v>
      </c>
      <c r="B179" t="s">
        <v>46</v>
      </c>
      <c r="C179">
        <v>2021</v>
      </c>
      <c r="D179" t="str">
        <f t="shared" si="2"/>
        <v>IND2021</v>
      </c>
      <c r="E179">
        <v>406349.84700000001</v>
      </c>
      <c r="F179">
        <v>331409.22600000002</v>
      </c>
      <c r="G179">
        <v>0.81557607650756836</v>
      </c>
      <c r="H179">
        <v>10131886.834924221</v>
      </c>
      <c r="I179">
        <v>7410018.4028672408</v>
      </c>
      <c r="J179">
        <v>37573445.43601761</v>
      </c>
      <c r="K179">
        <v>5.1574010401964188E-2</v>
      </c>
      <c r="L179">
        <v>7.186891607389545E-2</v>
      </c>
      <c r="M179">
        <v>-3.6555420607328415E-2</v>
      </c>
      <c r="N179">
        <v>-7.5383402407169342E-2</v>
      </c>
      <c r="O179">
        <v>0</v>
      </c>
      <c r="P179">
        <v>0</v>
      </c>
      <c r="Q179">
        <v>0.89747214317321777</v>
      </c>
      <c r="R179">
        <v>0.24884481728076935</v>
      </c>
      <c r="S179">
        <v>1.1665621995925903</v>
      </c>
      <c r="T179">
        <v>0.5269315242767334</v>
      </c>
      <c r="AE179">
        <v>0.27658219324651695</v>
      </c>
      <c r="AF179">
        <v>114.29038147435001</v>
      </c>
      <c r="AG179">
        <v>39461554.470766827</v>
      </c>
      <c r="AH179">
        <v>0.34682565332999682</v>
      </c>
      <c r="AI179">
        <v>69.530170773728912</v>
      </c>
      <c r="AJ179">
        <v>33341480.062657874</v>
      </c>
    </row>
    <row r="180" spans="1:36" x14ac:dyDescent="0.25">
      <c r="A180" t="s">
        <v>13</v>
      </c>
      <c r="B180" t="s">
        <v>46</v>
      </c>
      <c r="C180">
        <v>2022</v>
      </c>
      <c r="D180" t="str">
        <f t="shared" si="2"/>
        <v>IND2022</v>
      </c>
      <c r="E180">
        <v>444845.80800000002</v>
      </c>
      <c r="F180">
        <v>364230.57199999999</v>
      </c>
      <c r="G180">
        <v>0.8187793493270874</v>
      </c>
      <c r="H180">
        <v>9470200.2411941793</v>
      </c>
      <c r="I180">
        <v>6919124.9166493732</v>
      </c>
      <c r="J180">
        <v>38677064.920262806</v>
      </c>
      <c r="K180">
        <v>5.1574010401964188E-2</v>
      </c>
      <c r="L180">
        <v>7.0537468909304776E-2</v>
      </c>
      <c r="M180">
        <v>-6.6247269511222839E-2</v>
      </c>
      <c r="N180">
        <v>-6.5307341516017914E-2</v>
      </c>
      <c r="O180">
        <v>0</v>
      </c>
      <c r="P180">
        <v>0</v>
      </c>
      <c r="Q180">
        <v>0.89747214317321777</v>
      </c>
      <c r="R180">
        <v>0.24884481728076935</v>
      </c>
      <c r="S180">
        <v>1.1665621995925903</v>
      </c>
      <c r="T180">
        <v>0.5269315242767334</v>
      </c>
      <c r="U180">
        <v>36784.64453125</v>
      </c>
      <c r="V180">
        <v>3042.1064453125</v>
      </c>
      <c r="W180">
        <v>22414.41015625</v>
      </c>
      <c r="X180">
        <v>2574.436767578125</v>
      </c>
      <c r="Y180">
        <v>9319</v>
      </c>
      <c r="Z180">
        <v>8471</v>
      </c>
      <c r="AA180">
        <v>5209</v>
      </c>
      <c r="AB180">
        <v>3872</v>
      </c>
      <c r="AD180">
        <v>2022</v>
      </c>
      <c r="AE180">
        <v>0.27201348902793648</v>
      </c>
      <c r="AF180">
        <v>98.884263043874668</v>
      </c>
      <c r="AG180">
        <v>34142214.612200268</v>
      </c>
      <c r="AH180">
        <v>0.34164461146507913</v>
      </c>
      <c r="AI180">
        <v>60.254284310970426</v>
      </c>
      <c r="AJ180">
        <v>28893457.281756055</v>
      </c>
    </row>
    <row r="181" spans="1:36" x14ac:dyDescent="0.25">
      <c r="A181" t="s">
        <v>13</v>
      </c>
      <c r="B181" t="s">
        <v>46</v>
      </c>
      <c r="C181">
        <v>2023</v>
      </c>
      <c r="D181" t="str">
        <f t="shared" si="2"/>
        <v>IND2023</v>
      </c>
      <c r="E181">
        <v>471885.685</v>
      </c>
      <c r="F181">
        <v>384933.27100000001</v>
      </c>
      <c r="G181">
        <v>0.8157341480255127</v>
      </c>
      <c r="H181">
        <v>8633636.0619519576</v>
      </c>
      <c r="I181">
        <v>6300355.2263710359</v>
      </c>
      <c r="J181">
        <v>39179387.071747728</v>
      </c>
      <c r="K181">
        <v>5.1574010401964188E-2</v>
      </c>
      <c r="L181">
        <v>7.7358180059291848E-2</v>
      </c>
      <c r="M181">
        <v>-8.9428894221782684E-2</v>
      </c>
      <c r="N181">
        <v>-8.8336482644081116E-2</v>
      </c>
      <c r="O181">
        <v>0</v>
      </c>
      <c r="P181">
        <v>0</v>
      </c>
      <c r="Q181">
        <v>0.89747214317321777</v>
      </c>
      <c r="R181">
        <v>0.24884481728076935</v>
      </c>
      <c r="S181">
        <v>1.1665621995925903</v>
      </c>
      <c r="T181">
        <v>0.5269315242767334</v>
      </c>
      <c r="AE181">
        <v>0.26377751369314811</v>
      </c>
      <c r="AF181">
        <v>84.909827517245176</v>
      </c>
      <c r="AG181">
        <v>29317198.354326714</v>
      </c>
      <c r="AH181">
        <v>0.33226260359122106</v>
      </c>
      <c r="AI181">
        <v>51.889354609351557</v>
      </c>
      <c r="AJ181">
        <v>24882261.368262935</v>
      </c>
    </row>
    <row r="182" spans="1:36" x14ac:dyDescent="0.25">
      <c r="A182" t="s">
        <v>14</v>
      </c>
      <c r="B182" t="s">
        <v>47</v>
      </c>
      <c r="C182">
        <v>2016</v>
      </c>
      <c r="D182" t="str">
        <f t="shared" si="2"/>
        <v>IDN2016</v>
      </c>
      <c r="E182">
        <v>119529.83500000001</v>
      </c>
      <c r="F182">
        <v>93867.5</v>
      </c>
      <c r="G182">
        <v>0.78530603647232056</v>
      </c>
      <c r="H182">
        <v>2680192</v>
      </c>
      <c r="I182">
        <v>1778252.375</v>
      </c>
      <c r="J182">
        <v>14508334</v>
      </c>
      <c r="K182">
        <v>4.2552098631858826E-2</v>
      </c>
      <c r="L182">
        <v>0.11651016771793365</v>
      </c>
      <c r="M182">
        <v>4.2853709310293198E-2</v>
      </c>
      <c r="N182">
        <v>5.0330650061368942E-2</v>
      </c>
      <c r="O182">
        <v>0</v>
      </c>
      <c r="P182">
        <v>0</v>
      </c>
      <c r="Q182">
        <v>0.90825086832046509</v>
      </c>
      <c r="R182">
        <v>0.32482990622520447</v>
      </c>
      <c r="S182">
        <v>1.4639546871185303</v>
      </c>
      <c r="T182">
        <v>0.64715331792831421</v>
      </c>
      <c r="AE182">
        <v>0.22329893117680408</v>
      </c>
      <c r="AF182">
        <v>17.42536007497144</v>
      </c>
      <c r="AG182">
        <v>3508823.1401198544</v>
      </c>
      <c r="AH182">
        <v>0.33343191788762006</v>
      </c>
      <c r="AI182">
        <v>8.8579786283246023</v>
      </c>
      <c r="AJ182">
        <v>3103446.4808953982</v>
      </c>
    </row>
    <row r="183" spans="1:36" x14ac:dyDescent="0.25">
      <c r="A183" t="s">
        <v>14</v>
      </c>
      <c r="B183" t="s">
        <v>47</v>
      </c>
      <c r="C183">
        <v>2017</v>
      </c>
      <c r="D183" t="str">
        <f t="shared" si="2"/>
        <v>IDN2017</v>
      </c>
      <c r="E183">
        <v>122780.636</v>
      </c>
      <c r="F183">
        <v>103446.167</v>
      </c>
      <c r="G183">
        <v>0.84252834320068359</v>
      </c>
      <c r="H183">
        <v>2816072.25</v>
      </c>
      <c r="I183">
        <v>1859672</v>
      </c>
      <c r="J183">
        <v>15404530</v>
      </c>
      <c r="K183">
        <v>4.2136173695325851E-2</v>
      </c>
      <c r="L183">
        <v>0.10764215141534805</v>
      </c>
      <c r="M183">
        <v>4.5786317437887192E-2</v>
      </c>
      <c r="N183">
        <v>5.0697952508926392E-2</v>
      </c>
      <c r="O183">
        <v>0</v>
      </c>
      <c r="P183">
        <v>0</v>
      </c>
      <c r="Q183">
        <v>0.90825086832046509</v>
      </c>
      <c r="R183">
        <v>0.32482990622520447</v>
      </c>
      <c r="S183">
        <v>1.4639546871185303</v>
      </c>
      <c r="T183">
        <v>0.64715331792831421</v>
      </c>
      <c r="AE183">
        <v>0.27969512071509661</v>
      </c>
      <c r="AF183">
        <v>21.527654988828864</v>
      </c>
      <c r="AG183">
        <v>4334873.6354558887</v>
      </c>
      <c r="AH183">
        <v>0.4032037340924865</v>
      </c>
      <c r="AI183">
        <v>10.564981012229643</v>
      </c>
      <c r="AJ183">
        <v>3701505.1084326534</v>
      </c>
    </row>
    <row r="184" spans="1:36" x14ac:dyDescent="0.25">
      <c r="A184" t="s">
        <v>14</v>
      </c>
      <c r="B184" t="s">
        <v>47</v>
      </c>
      <c r="C184">
        <v>2018</v>
      </c>
      <c r="D184" t="str">
        <f t="shared" si="2"/>
        <v>IDN2018</v>
      </c>
      <c r="E184">
        <v>126675.011</v>
      </c>
      <c r="F184">
        <v>75048.210999999996</v>
      </c>
      <c r="G184">
        <v>0.59244686365127563</v>
      </c>
      <c r="H184">
        <v>2961655</v>
      </c>
      <c r="I184">
        <v>1954316.625</v>
      </c>
      <c r="J184">
        <v>16368868</v>
      </c>
      <c r="K184">
        <v>4.1793946176767349E-2</v>
      </c>
      <c r="L184">
        <v>0.10649909824132919</v>
      </c>
      <c r="M184">
        <v>5.0893180072307587E-2</v>
      </c>
      <c r="N184">
        <v>5.1697093993425369E-2</v>
      </c>
      <c r="O184">
        <v>0</v>
      </c>
      <c r="P184">
        <v>0</v>
      </c>
      <c r="Q184">
        <v>0.90825086832046509</v>
      </c>
      <c r="R184">
        <v>0.32482990622520447</v>
      </c>
      <c r="S184">
        <v>1.4639546871185303</v>
      </c>
      <c r="T184">
        <v>0.64715331792831421</v>
      </c>
      <c r="AE184">
        <v>0.11250325273913539</v>
      </c>
      <c r="AF184">
        <v>11.198276445850198</v>
      </c>
      <c r="AG184">
        <v>2254918.7708950508</v>
      </c>
      <c r="AH184">
        <v>0.18070444058826599</v>
      </c>
      <c r="AI184">
        <v>6.1233244454769959</v>
      </c>
      <c r="AJ184">
        <v>2145343.8192919474</v>
      </c>
    </row>
    <row r="185" spans="1:36" x14ac:dyDescent="0.25">
      <c r="A185" t="s">
        <v>14</v>
      </c>
      <c r="B185" t="s">
        <v>47</v>
      </c>
      <c r="C185">
        <v>2019</v>
      </c>
      <c r="D185" t="str">
        <f t="shared" si="2"/>
        <v>IDN2019</v>
      </c>
      <c r="E185">
        <v>131895.948</v>
      </c>
      <c r="F185">
        <v>72006.718999999997</v>
      </c>
      <c r="G185">
        <v>0.54593580961227417</v>
      </c>
      <c r="H185">
        <v>3110469.5</v>
      </c>
      <c r="I185">
        <v>2050129.5</v>
      </c>
      <c r="J185">
        <v>17365644</v>
      </c>
      <c r="K185">
        <v>4.1847970336675644E-2</v>
      </c>
      <c r="L185">
        <v>0.10638673603534698</v>
      </c>
      <c r="M185">
        <v>4.9026280641555786E-2</v>
      </c>
      <c r="N185">
        <v>5.0247073173522949E-2</v>
      </c>
      <c r="O185">
        <v>0</v>
      </c>
      <c r="P185">
        <v>0</v>
      </c>
      <c r="Q185">
        <v>0.90825086832046509</v>
      </c>
      <c r="R185">
        <v>0.32482990622520447</v>
      </c>
      <c r="S185">
        <v>1.4639546871185303</v>
      </c>
      <c r="T185">
        <v>0.64715331792831421</v>
      </c>
      <c r="AE185">
        <v>9.5674905136553259E-2</v>
      </c>
      <c r="AF185">
        <v>10.287324307182534</v>
      </c>
      <c r="AG185">
        <v>2071486.6966109844</v>
      </c>
      <c r="AH185">
        <v>0.15546149132709941</v>
      </c>
      <c r="AI185">
        <v>5.690619678063416</v>
      </c>
      <c r="AJ185">
        <v>1993743.0823696086</v>
      </c>
    </row>
    <row r="186" spans="1:36" x14ac:dyDescent="0.25">
      <c r="A186" t="s">
        <v>14</v>
      </c>
      <c r="B186" t="s">
        <v>47</v>
      </c>
      <c r="C186">
        <v>2020</v>
      </c>
      <c r="D186" t="str">
        <f t="shared" si="2"/>
        <v>IDN2020</v>
      </c>
      <c r="E186">
        <v>131187.15700000001</v>
      </c>
      <c r="F186">
        <v>73115.887000000104</v>
      </c>
      <c r="G186">
        <v>0.55734026432037354</v>
      </c>
      <c r="H186">
        <v>3176071.6335221734</v>
      </c>
      <c r="I186">
        <v>2093555.7644280586</v>
      </c>
      <c r="J186">
        <v>17691560.446164772</v>
      </c>
      <c r="K186">
        <v>4.3013956397771835E-2</v>
      </c>
      <c r="L186">
        <v>0.1020221289796321</v>
      </c>
      <c r="M186">
        <v>2.1182205528020859E-2</v>
      </c>
      <c r="N186">
        <v>2.1090749651193619E-2</v>
      </c>
      <c r="O186">
        <v>0</v>
      </c>
      <c r="P186">
        <v>1</v>
      </c>
      <c r="Q186">
        <v>0.90825086832046509</v>
      </c>
      <c r="R186">
        <v>0.32482990622520447</v>
      </c>
      <c r="S186">
        <v>1.4639546871185303</v>
      </c>
      <c r="T186">
        <v>0.64715331792831421</v>
      </c>
      <c r="AE186">
        <v>9.8466323470818337E-2</v>
      </c>
      <c r="AF186">
        <v>11.009999950071704</v>
      </c>
      <c r="AG186">
        <v>2217006.8469929942</v>
      </c>
      <c r="AH186">
        <v>0.15968922570672339</v>
      </c>
      <c r="AI186">
        <v>6.0786557724685402</v>
      </c>
      <c r="AJ186">
        <v>2129693.8790661851</v>
      </c>
    </row>
    <row r="187" spans="1:36" x14ac:dyDescent="0.25">
      <c r="A187" t="s">
        <v>14</v>
      </c>
      <c r="B187" t="s">
        <v>47</v>
      </c>
      <c r="C187">
        <v>2021</v>
      </c>
      <c r="D187" t="str">
        <f t="shared" si="2"/>
        <v>IDN2021</v>
      </c>
      <c r="E187">
        <v>130518.159</v>
      </c>
      <c r="F187">
        <v>74225.055000000168</v>
      </c>
      <c r="G187">
        <v>0.56869524717330933</v>
      </c>
      <c r="H187">
        <v>3568321.5582766249</v>
      </c>
      <c r="I187">
        <v>2277189.9803583999</v>
      </c>
      <c r="J187">
        <v>18019620.186524894</v>
      </c>
      <c r="K187">
        <v>4.3013956397771835E-2</v>
      </c>
      <c r="L187">
        <v>9.5075562872734304E-2</v>
      </c>
      <c r="M187">
        <v>8.7714031338691711E-2</v>
      </c>
      <c r="N187">
        <v>0.12350159883499146</v>
      </c>
      <c r="O187">
        <v>0</v>
      </c>
      <c r="P187">
        <v>1</v>
      </c>
      <c r="Q187">
        <v>0.90825086832046509</v>
      </c>
      <c r="R187">
        <v>0.32482990622520447</v>
      </c>
      <c r="S187">
        <v>1.4639546871185303</v>
      </c>
      <c r="T187">
        <v>0.64715331792831421</v>
      </c>
      <c r="AE187">
        <v>0.10134562928381038</v>
      </c>
      <c r="AF187">
        <v>11.458753313378734</v>
      </c>
      <c r="AG187">
        <v>2307369.1797427181</v>
      </c>
      <c r="AH187">
        <v>0.16403304854514456</v>
      </c>
      <c r="AI187">
        <v>6.313875928287267</v>
      </c>
      <c r="AJ187">
        <v>2212104.6858022772</v>
      </c>
    </row>
    <row r="188" spans="1:36" x14ac:dyDescent="0.25">
      <c r="A188" t="s">
        <v>14</v>
      </c>
      <c r="B188" t="s">
        <v>47</v>
      </c>
      <c r="C188">
        <v>2022</v>
      </c>
      <c r="D188" t="str">
        <f t="shared" si="2"/>
        <v>IDN2022</v>
      </c>
      <c r="E188">
        <v>135208.37400000001</v>
      </c>
      <c r="F188">
        <v>75334.222999999998</v>
      </c>
      <c r="G188">
        <v>0.5571712851524353</v>
      </c>
      <c r="H188">
        <v>3396845.2122825831</v>
      </c>
      <c r="I188">
        <v>2175146.626891362</v>
      </c>
      <c r="J188">
        <v>18254946.404517304</v>
      </c>
      <c r="K188">
        <v>4.3013956397771835E-2</v>
      </c>
      <c r="L188">
        <v>9.7017877271072694E-2</v>
      </c>
      <c r="M188">
        <v>-4.4811084866523743E-2</v>
      </c>
      <c r="N188">
        <v>-4.805518314242363E-2</v>
      </c>
      <c r="O188">
        <v>0</v>
      </c>
      <c r="P188">
        <v>0</v>
      </c>
      <c r="Q188">
        <v>0.90825086832046509</v>
      </c>
      <c r="R188">
        <v>0.32482990622520447</v>
      </c>
      <c r="S188">
        <v>1.4639546871185303</v>
      </c>
      <c r="T188">
        <v>0.64715331792831421</v>
      </c>
      <c r="AE188">
        <v>9.6826694769206079E-2</v>
      </c>
      <c r="AF188">
        <v>12.182385145891663</v>
      </c>
      <c r="AG188">
        <v>2453081.8713556551</v>
      </c>
      <c r="AH188">
        <v>0.1572079057710204</v>
      </c>
      <c r="AI188">
        <v>6.7335477096947214</v>
      </c>
      <c r="AJ188">
        <v>2359139.2371134954</v>
      </c>
    </row>
    <row r="189" spans="1:36" x14ac:dyDescent="0.25">
      <c r="A189" t="s">
        <v>14</v>
      </c>
      <c r="B189" t="s">
        <v>47</v>
      </c>
      <c r="C189">
        <v>2023</v>
      </c>
      <c r="D189" t="str">
        <f t="shared" si="2"/>
        <v>IDN2023</v>
      </c>
      <c r="E189">
        <v>139242.44399999999</v>
      </c>
      <c r="F189">
        <v>78296.36</v>
      </c>
      <c r="G189">
        <v>0.56230241060256958</v>
      </c>
      <c r="H189">
        <v>3225646.617665384</v>
      </c>
      <c r="I189">
        <v>2097182.8953623665</v>
      </c>
      <c r="J189">
        <v>18484158.435829736</v>
      </c>
      <c r="K189">
        <v>4.3013956397771835E-2</v>
      </c>
      <c r="L189">
        <v>0.10695071282415115</v>
      </c>
      <c r="M189">
        <v>-3.5842977464199066E-2</v>
      </c>
      <c r="N189">
        <v>-5.0399292260408401E-2</v>
      </c>
      <c r="O189">
        <v>0</v>
      </c>
      <c r="P189">
        <v>0</v>
      </c>
      <c r="Q189">
        <v>0.90825086832046509</v>
      </c>
      <c r="R189">
        <v>0.32482990622520447</v>
      </c>
      <c r="S189">
        <v>1.4639546871185303</v>
      </c>
      <c r="T189">
        <v>0.64715331792831421</v>
      </c>
      <c r="U189">
        <v>44727.42578125</v>
      </c>
      <c r="V189">
        <v>3750.4365234375</v>
      </c>
      <c r="W189">
        <v>24714.94921875</v>
      </c>
      <c r="X189">
        <v>3605.76611328125</v>
      </c>
      <c r="Y189">
        <v>2237</v>
      </c>
      <c r="Z189">
        <v>4896</v>
      </c>
      <c r="AA189">
        <v>865</v>
      </c>
      <c r="AB189">
        <v>3377</v>
      </c>
      <c r="AD189">
        <v>2023</v>
      </c>
      <c r="AE189">
        <v>9.7246274245745307E-2</v>
      </c>
      <c r="AF189">
        <v>11.360112306814489</v>
      </c>
      <c r="AG189">
        <v>2287506.5287037608</v>
      </c>
      <c r="AH189">
        <v>0.15784340799520463</v>
      </c>
      <c r="AI189">
        <v>6.277235809531323</v>
      </c>
      <c r="AJ189">
        <v>2199267.5982020521</v>
      </c>
    </row>
    <row r="190" spans="1:36" x14ac:dyDescent="0.25">
      <c r="A190" t="s">
        <v>15</v>
      </c>
      <c r="B190" t="s">
        <v>48</v>
      </c>
      <c r="C190">
        <v>2021</v>
      </c>
      <c r="D190" t="str">
        <f t="shared" si="2"/>
        <v>IRQ2021</v>
      </c>
      <c r="E190">
        <v>8674.9009999999998</v>
      </c>
      <c r="F190">
        <v>5103.1689999999999</v>
      </c>
      <c r="G190">
        <v>0.58826828002929688</v>
      </c>
      <c r="H190">
        <v>510508.12626843253</v>
      </c>
      <c r="I190">
        <v>324263.66170314228</v>
      </c>
      <c r="J190">
        <v>1229911.2011506055</v>
      </c>
      <c r="K190">
        <v>4.8908818513154984E-2</v>
      </c>
      <c r="L190">
        <v>0.14822711880173214</v>
      </c>
      <c r="M190">
        <v>7.2298549115657806E-2</v>
      </c>
      <c r="N190">
        <v>0.13683895766735077</v>
      </c>
      <c r="O190">
        <v>0</v>
      </c>
      <c r="P190">
        <v>0</v>
      </c>
      <c r="Q190">
        <v>0.40752607583999634</v>
      </c>
      <c r="R190">
        <v>8.3262786269187927E-2</v>
      </c>
      <c r="S190">
        <v>0.12359133362770081</v>
      </c>
      <c r="T190">
        <v>1.4376568794250488</v>
      </c>
      <c r="U190">
        <v>19988.404296875</v>
      </c>
      <c r="V190">
        <v>6009.72021484375</v>
      </c>
      <c r="W190">
        <v>41408.7890625</v>
      </c>
      <c r="X190">
        <v>5048.5927734375</v>
      </c>
      <c r="Y190">
        <v>780</v>
      </c>
      <c r="Z190">
        <v>1572</v>
      </c>
      <c r="AA190">
        <v>254</v>
      </c>
      <c r="AB190">
        <v>664</v>
      </c>
      <c r="AD190">
        <v>2022</v>
      </c>
      <c r="AE190">
        <v>0.30049054134191922</v>
      </c>
      <c r="AF190">
        <v>15015901.336935012</v>
      </c>
      <c r="AG190">
        <v>6.968221594257062</v>
      </c>
      <c r="AH190">
        <v>0.14835363565045043</v>
      </c>
      <c r="AI190">
        <v>31107550.248103835</v>
      </c>
      <c r="AJ190">
        <v>5.8538021616355724</v>
      </c>
    </row>
    <row r="191" spans="1:36" x14ac:dyDescent="0.25">
      <c r="A191" t="s">
        <v>16</v>
      </c>
      <c r="B191" t="s">
        <v>49</v>
      </c>
      <c r="C191">
        <v>2019</v>
      </c>
      <c r="D191" t="str">
        <f t="shared" si="2"/>
        <v>KEN2019</v>
      </c>
      <c r="E191">
        <v>18724.541000000001</v>
      </c>
      <c r="F191">
        <v>15618.078</v>
      </c>
      <c r="G191">
        <v>0.83409672975540161</v>
      </c>
      <c r="H191">
        <v>227564.0625</v>
      </c>
      <c r="I191">
        <v>212669.609375</v>
      </c>
      <c r="J191">
        <v>504208.96875</v>
      </c>
      <c r="K191">
        <v>5.6109461933374405E-2</v>
      </c>
      <c r="L191">
        <v>0.14766892790794373</v>
      </c>
      <c r="M191">
        <v>4.9972705543041229E-2</v>
      </c>
      <c r="N191">
        <v>5.3657297044992447E-2</v>
      </c>
      <c r="O191">
        <v>0</v>
      </c>
      <c r="P191">
        <v>0</v>
      </c>
      <c r="Q191">
        <v>0.93639200925827026</v>
      </c>
      <c r="R191">
        <v>0.33865487575531006</v>
      </c>
      <c r="S191">
        <v>1.1922358274459839</v>
      </c>
      <c r="T191">
        <v>0.96128749847412109</v>
      </c>
      <c r="U191">
        <v>146061.8125</v>
      </c>
      <c r="V191">
        <v>3591.941650390625</v>
      </c>
      <c r="W191">
        <v>105792.3125</v>
      </c>
      <c r="X191">
        <v>3461.68310546875</v>
      </c>
      <c r="Y191">
        <v>660</v>
      </c>
      <c r="Z191">
        <v>478</v>
      </c>
      <c r="AA191">
        <v>291</v>
      </c>
      <c r="AB191">
        <v>386</v>
      </c>
      <c r="AD191">
        <v>2013</v>
      </c>
      <c r="AE191">
        <v>0.11003411368464645</v>
      </c>
      <c r="AF191">
        <v>41.148173801365388</v>
      </c>
      <c r="AG191">
        <v>6820.443130289751</v>
      </c>
      <c r="AH191">
        <v>0.14127036048835023</v>
      </c>
      <c r="AI191">
        <v>29.803549518450346</v>
      </c>
      <c r="AJ191">
        <v>6573.1058725207322</v>
      </c>
    </row>
    <row r="192" spans="1:36" x14ac:dyDescent="0.25">
      <c r="A192" t="s">
        <v>17</v>
      </c>
      <c r="B192" t="s">
        <v>50</v>
      </c>
      <c r="C192">
        <v>2017</v>
      </c>
      <c r="D192" t="str">
        <f t="shared" si="2"/>
        <v>LAO2017</v>
      </c>
      <c r="E192">
        <v>3304.758916666673</v>
      </c>
      <c r="F192">
        <v>2719.2605624515963</v>
      </c>
      <c r="G192">
        <v>0.82283174991607666</v>
      </c>
      <c r="H192">
        <v>50523.75390625</v>
      </c>
      <c r="I192">
        <v>40745.75</v>
      </c>
      <c r="J192">
        <v>160719.46875</v>
      </c>
      <c r="K192">
        <v>5.1861286163330078E-2</v>
      </c>
      <c r="L192">
        <v>0.20855158567428589</v>
      </c>
      <c r="M192">
        <v>4.87469881772995E-2</v>
      </c>
      <c r="N192">
        <v>6.8923830986022949E-2</v>
      </c>
      <c r="O192">
        <v>1</v>
      </c>
      <c r="P192">
        <v>0</v>
      </c>
      <c r="Q192">
        <v>1.0236655473709106</v>
      </c>
      <c r="R192">
        <v>0.27816972136497498</v>
      </c>
      <c r="S192">
        <v>0.69832515716552734</v>
      </c>
      <c r="T192">
        <v>0.41450950503349304</v>
      </c>
      <c r="AE192">
        <v>0.34402321139293673</v>
      </c>
      <c r="AF192">
        <v>18.788704742301412</v>
      </c>
      <c r="AG192">
        <v>22266982.531252924</v>
      </c>
      <c r="AH192">
        <v>0.71818719343824555</v>
      </c>
      <c r="AI192">
        <v>4.3127550517501803</v>
      </c>
      <c r="AJ192">
        <v>24836876.486215986</v>
      </c>
    </row>
    <row r="193" spans="1:36" x14ac:dyDescent="0.25">
      <c r="A193" t="s">
        <v>17</v>
      </c>
      <c r="B193" t="s">
        <v>50</v>
      </c>
      <c r="C193">
        <v>2018</v>
      </c>
      <c r="D193" t="str">
        <f t="shared" si="2"/>
        <v>LAO2018</v>
      </c>
      <c r="E193">
        <v>3345.659333333344</v>
      </c>
      <c r="F193">
        <v>2764.4022499612765</v>
      </c>
      <c r="G193">
        <v>0.82626533508300781</v>
      </c>
      <c r="H193">
        <v>53680.47265625</v>
      </c>
      <c r="I193">
        <v>42537.9140625</v>
      </c>
      <c r="J193">
        <v>174755.765625</v>
      </c>
      <c r="K193">
        <v>5.1964521408081055E-2</v>
      </c>
      <c r="L193">
        <v>0.20745895802974701</v>
      </c>
      <c r="M193">
        <v>4.3984074145555496E-2</v>
      </c>
      <c r="N193">
        <v>6.2479894608259201E-2</v>
      </c>
      <c r="O193">
        <v>1</v>
      </c>
      <c r="P193">
        <v>1</v>
      </c>
      <c r="Q193">
        <v>1.0236655473709106</v>
      </c>
      <c r="R193">
        <v>0.27816972136497498</v>
      </c>
      <c r="S193">
        <v>0.69832515716552734</v>
      </c>
      <c r="T193">
        <v>0.41450950503349304</v>
      </c>
      <c r="U193">
        <v>36393.671875</v>
      </c>
      <c r="V193">
        <v>3977.16064453125</v>
      </c>
      <c r="W193">
        <v>8382.056640625</v>
      </c>
      <c r="X193">
        <v>4451.18359375</v>
      </c>
      <c r="Y193">
        <v>300</v>
      </c>
      <c r="Z193">
        <v>351</v>
      </c>
      <c r="AA193">
        <v>121</v>
      </c>
      <c r="AB193">
        <v>283</v>
      </c>
      <c r="AD193">
        <v>2018</v>
      </c>
      <c r="AE193">
        <v>0.34198964976380175</v>
      </c>
      <c r="AF193">
        <v>19.829186780765486</v>
      </c>
      <c r="AG193">
        <v>23500084.849498421</v>
      </c>
      <c r="AH193">
        <v>0.71635721375740136</v>
      </c>
      <c r="AI193">
        <v>4.5669853623119421</v>
      </c>
      <c r="AJ193">
        <v>26300972.347610287</v>
      </c>
    </row>
    <row r="194" spans="1:36" x14ac:dyDescent="0.25">
      <c r="A194" t="s">
        <v>17</v>
      </c>
      <c r="B194" t="s">
        <v>50</v>
      </c>
      <c r="C194">
        <v>2019</v>
      </c>
      <c r="D194" t="str">
        <f t="shared" si="2"/>
        <v>LAO2019</v>
      </c>
      <c r="E194">
        <v>3386.5597500000149</v>
      </c>
      <c r="F194">
        <v>2809.5439374709676</v>
      </c>
      <c r="G194">
        <v>0.82961595058441162</v>
      </c>
      <c r="H194">
        <v>56177.80078125</v>
      </c>
      <c r="I194">
        <v>44372.0546875</v>
      </c>
      <c r="J194">
        <v>189371.484375</v>
      </c>
      <c r="K194">
        <v>5.1534436643123627E-2</v>
      </c>
      <c r="L194">
        <v>0.19801110029220581</v>
      </c>
      <c r="M194">
        <v>4.3117783963680267E-2</v>
      </c>
      <c r="N194">
        <v>4.6522095799446106E-2</v>
      </c>
      <c r="O194">
        <v>1</v>
      </c>
      <c r="P194">
        <v>1</v>
      </c>
      <c r="Q194">
        <v>1.0236655473709106</v>
      </c>
      <c r="R194">
        <v>0.27816972136497498</v>
      </c>
      <c r="S194">
        <v>0.69832515716552734</v>
      </c>
      <c r="T194">
        <v>0.41450950503349304</v>
      </c>
      <c r="AE194">
        <v>0.34016203500637576</v>
      </c>
      <c r="AF194">
        <v>20.502663308382523</v>
      </c>
      <c r="AG194">
        <v>24298239.394015498</v>
      </c>
      <c r="AH194">
        <v>0.71470196675411923</v>
      </c>
      <c r="AI194">
        <v>4.7364990648416878</v>
      </c>
      <c r="AJ194">
        <v>27277190.760650903</v>
      </c>
    </row>
    <row r="195" spans="1:36" x14ac:dyDescent="0.25">
      <c r="A195" t="s">
        <v>18</v>
      </c>
      <c r="B195" t="s">
        <v>51</v>
      </c>
      <c r="C195">
        <v>2012</v>
      </c>
      <c r="D195" t="str">
        <f t="shared" ref="D195:D258" si="3">B195&amp;C195</f>
        <v>MDG2012</v>
      </c>
      <c r="E195">
        <v>10210.023999999999</v>
      </c>
      <c r="F195">
        <v>9306.1820000000007</v>
      </c>
      <c r="G195">
        <v>0.91147506237030029</v>
      </c>
      <c r="H195">
        <v>35414.328125</v>
      </c>
      <c r="I195">
        <v>34199.1015625</v>
      </c>
      <c r="J195">
        <v>69649.65625</v>
      </c>
      <c r="K195">
        <v>5.0027605146169662E-2</v>
      </c>
      <c r="L195">
        <v>0.14129666984081268</v>
      </c>
      <c r="M195">
        <v>2.5002537295222282E-2</v>
      </c>
      <c r="N195">
        <v>3.0111387372016907E-2</v>
      </c>
      <c r="O195">
        <v>0</v>
      </c>
      <c r="P195">
        <v>0</v>
      </c>
      <c r="Q195">
        <v>1.0980945825576782</v>
      </c>
      <c r="R195">
        <v>0.12925617396831512</v>
      </c>
      <c r="S195">
        <v>1.1324523687362671</v>
      </c>
      <c r="T195">
        <v>0.65970617532730103</v>
      </c>
      <c r="U195">
        <v>24789.5625</v>
      </c>
      <c r="V195">
        <v>2167.088134765625</v>
      </c>
      <c r="W195">
        <v>4964.25341796875</v>
      </c>
      <c r="X195">
        <v>2095.53173828125</v>
      </c>
      <c r="Y195">
        <v>355</v>
      </c>
      <c r="Z195">
        <v>123</v>
      </c>
      <c r="AA195">
        <v>149</v>
      </c>
      <c r="AB195">
        <v>120</v>
      </c>
      <c r="AD195">
        <v>2009</v>
      </c>
      <c r="AE195">
        <v>0.47370959862168066</v>
      </c>
      <c r="AF195">
        <v>256.14992393042218</v>
      </c>
      <c r="AG195">
        <v>509690.44900301751</v>
      </c>
      <c r="AH195">
        <v>0.81295462171849886</v>
      </c>
      <c r="AI195">
        <v>51.295505331489146</v>
      </c>
      <c r="AJ195">
        <v>492860.67116977612</v>
      </c>
    </row>
    <row r="196" spans="1:36" x14ac:dyDescent="0.25">
      <c r="A196" t="s">
        <v>18</v>
      </c>
      <c r="B196" t="s">
        <v>51</v>
      </c>
      <c r="C196">
        <v>2013</v>
      </c>
      <c r="D196" t="str">
        <f t="shared" si="3"/>
        <v>MDG2013</v>
      </c>
      <c r="E196">
        <v>10490.614666666603</v>
      </c>
      <c r="F196">
        <v>9521.7683333333116</v>
      </c>
      <c r="G196">
        <v>0.90764635801315308</v>
      </c>
      <c r="H196">
        <v>36228.99609375</v>
      </c>
      <c r="I196">
        <v>36254.078125</v>
      </c>
      <c r="J196">
        <v>72182.8828125</v>
      </c>
      <c r="K196">
        <v>4.7977335751056671E-2</v>
      </c>
      <c r="L196">
        <v>0.15145415067672729</v>
      </c>
      <c r="M196">
        <v>6.0088612139225006E-2</v>
      </c>
      <c r="N196">
        <v>2.300390787422657E-2</v>
      </c>
      <c r="O196">
        <v>1</v>
      </c>
      <c r="P196">
        <v>1</v>
      </c>
      <c r="Q196">
        <v>1.0980945825576782</v>
      </c>
      <c r="R196">
        <v>0.12925617396831512</v>
      </c>
      <c r="S196">
        <v>1.1324523687362671</v>
      </c>
      <c r="T196">
        <v>0.65970617532730103</v>
      </c>
      <c r="AE196">
        <v>0.45734585892612101</v>
      </c>
      <c r="AF196">
        <v>249.19688374377387</v>
      </c>
      <c r="AG196">
        <v>495855.19923877623</v>
      </c>
      <c r="AH196">
        <v>0.80274668742898536</v>
      </c>
      <c r="AI196">
        <v>51.039609129023162</v>
      </c>
      <c r="AJ196">
        <v>490401.95332925295</v>
      </c>
    </row>
    <row r="197" spans="1:36" x14ac:dyDescent="0.25">
      <c r="A197" t="s">
        <v>18</v>
      </c>
      <c r="B197" t="s">
        <v>51</v>
      </c>
      <c r="C197">
        <v>2014</v>
      </c>
      <c r="D197" t="str">
        <f t="shared" si="3"/>
        <v>MDG2014</v>
      </c>
      <c r="E197">
        <v>10771.20533333323</v>
      </c>
      <c r="F197">
        <v>9737.3546666666516</v>
      </c>
      <c r="G197">
        <v>0.90401715040206909</v>
      </c>
      <c r="H197">
        <v>37438.75390625</v>
      </c>
      <c r="I197">
        <v>35647.7109375</v>
      </c>
      <c r="J197">
        <v>74678.5859375</v>
      </c>
      <c r="K197">
        <v>4.644419252872467E-2</v>
      </c>
      <c r="L197">
        <v>0.16062790155410767</v>
      </c>
      <c r="M197">
        <v>-1.6725489869713783E-2</v>
      </c>
      <c r="N197">
        <v>3.3391978591680527E-2</v>
      </c>
      <c r="O197">
        <v>1</v>
      </c>
      <c r="P197">
        <v>1</v>
      </c>
      <c r="Q197">
        <v>1.0980945825576782</v>
      </c>
      <c r="R197">
        <v>0.12925617396831512</v>
      </c>
      <c r="S197">
        <v>1.1324523687362671</v>
      </c>
      <c r="T197">
        <v>0.65970617532730103</v>
      </c>
      <c r="AE197">
        <v>0.44226727332149646</v>
      </c>
      <c r="AF197">
        <v>245.37661640250937</v>
      </c>
      <c r="AG197">
        <v>488253.58161342971</v>
      </c>
      <c r="AH197">
        <v>0.79292001752111796</v>
      </c>
      <c r="AI197">
        <v>51.334426351949567</v>
      </c>
      <c r="AJ197">
        <v>493234.63454420376</v>
      </c>
    </row>
    <row r="198" spans="1:36" x14ac:dyDescent="0.25">
      <c r="A198" t="s">
        <v>18</v>
      </c>
      <c r="B198" t="s">
        <v>51</v>
      </c>
      <c r="C198">
        <v>2015</v>
      </c>
      <c r="D198" t="str">
        <f t="shared" si="3"/>
        <v>MDG2015</v>
      </c>
      <c r="E198">
        <v>11051.796</v>
      </c>
      <c r="F198">
        <v>9952.9410000000007</v>
      </c>
      <c r="G198">
        <v>0.90057224035263062</v>
      </c>
      <c r="H198">
        <v>38611.44921875</v>
      </c>
      <c r="I198">
        <v>36556.66796875</v>
      </c>
      <c r="J198">
        <v>77308.15625</v>
      </c>
      <c r="K198">
        <v>4.5439846813678741E-2</v>
      </c>
      <c r="L198">
        <v>0.15509301424026489</v>
      </c>
      <c r="M198">
        <v>2.5498328730463982E-2</v>
      </c>
      <c r="N198">
        <v>3.1323034316301346E-2</v>
      </c>
      <c r="O198">
        <v>0</v>
      </c>
      <c r="P198">
        <v>0</v>
      </c>
      <c r="Q198">
        <v>1.0980945825576782</v>
      </c>
      <c r="R198">
        <v>0.12925617396831512</v>
      </c>
      <c r="S198">
        <v>1.1324523687362671</v>
      </c>
      <c r="T198">
        <v>0.65970617532730103</v>
      </c>
      <c r="AE198">
        <v>0.42826047457592864</v>
      </c>
      <c r="AF198">
        <v>241.53328312723514</v>
      </c>
      <c r="AG198">
        <v>480606.06709269591</v>
      </c>
      <c r="AH198">
        <v>0.78340673950350059</v>
      </c>
      <c r="AI198">
        <v>51.556954555766403</v>
      </c>
      <c r="AJ198">
        <v>495372.74390054232</v>
      </c>
    </row>
    <row r="199" spans="1:36" x14ac:dyDescent="0.25">
      <c r="A199" t="s">
        <v>18</v>
      </c>
      <c r="B199" t="s">
        <v>51</v>
      </c>
      <c r="C199">
        <v>2016</v>
      </c>
      <c r="D199" t="str">
        <f t="shared" si="3"/>
        <v>MDG2016</v>
      </c>
      <c r="E199">
        <v>11170.121428571438</v>
      </c>
      <c r="F199">
        <v>10092.900428571447</v>
      </c>
      <c r="G199">
        <v>0.90356230735778809</v>
      </c>
      <c r="H199">
        <v>40153.2578125</v>
      </c>
      <c r="I199">
        <v>37671.51953125</v>
      </c>
      <c r="J199">
        <v>80576.5390625</v>
      </c>
      <c r="K199">
        <v>4.4536992907524109E-2</v>
      </c>
      <c r="L199">
        <v>0.15537129342556</v>
      </c>
      <c r="M199">
        <v>3.049653023481369E-2</v>
      </c>
      <c r="N199">
        <v>3.9931382983922958E-2</v>
      </c>
      <c r="O199">
        <v>1</v>
      </c>
      <c r="P199">
        <v>1</v>
      </c>
      <c r="Q199">
        <v>1.0980945825576782</v>
      </c>
      <c r="R199">
        <v>0.12925617396831512</v>
      </c>
      <c r="S199">
        <v>1.1324523687362671</v>
      </c>
      <c r="T199">
        <v>0.65970617532730103</v>
      </c>
      <c r="AE199">
        <v>0.43456317563202262</v>
      </c>
      <c r="AF199">
        <v>252.53743794932495</v>
      </c>
      <c r="AG199">
        <v>502502.27742962801</v>
      </c>
      <c r="AH199">
        <v>0.78773487233108719</v>
      </c>
      <c r="AI199">
        <v>53.417539722533931</v>
      </c>
      <c r="AJ199">
        <v>513249.73425545834</v>
      </c>
    </row>
    <row r="200" spans="1:36" x14ac:dyDescent="0.25">
      <c r="A200" t="s">
        <v>18</v>
      </c>
      <c r="B200" t="s">
        <v>51</v>
      </c>
      <c r="C200">
        <v>2017</v>
      </c>
      <c r="D200" t="str">
        <f t="shared" si="3"/>
        <v>MDG2017</v>
      </c>
      <c r="E200">
        <v>11288.446857142844</v>
      </c>
      <c r="F200">
        <v>10232.859857142903</v>
      </c>
      <c r="G200">
        <v>0.90648961067199707</v>
      </c>
      <c r="H200">
        <v>41732.61328125</v>
      </c>
      <c r="I200">
        <v>38917.02734375</v>
      </c>
      <c r="J200">
        <v>83711.390625</v>
      </c>
      <c r="K200">
        <v>4.3604504317045212E-2</v>
      </c>
      <c r="L200">
        <v>0.17825944721698761</v>
      </c>
      <c r="M200">
        <v>3.3062320202589035E-2</v>
      </c>
      <c r="N200">
        <v>3.9333183318376541E-2</v>
      </c>
      <c r="O200">
        <v>1</v>
      </c>
      <c r="P200">
        <v>1</v>
      </c>
      <c r="Q200">
        <v>1.0980945825576782</v>
      </c>
      <c r="R200">
        <v>0.12925617396831512</v>
      </c>
      <c r="S200">
        <v>1.1324523687362671</v>
      </c>
      <c r="T200">
        <v>0.65970617532730103</v>
      </c>
      <c r="AE200">
        <v>0.44106828902388995</v>
      </c>
      <c r="AF200">
        <v>263.99016602239328</v>
      </c>
      <c r="AG200">
        <v>525291.06465354015</v>
      </c>
      <c r="AH200">
        <v>0.79212053141376815</v>
      </c>
      <c r="AI200">
        <v>55.32279917801214</v>
      </c>
      <c r="AJ200">
        <v>531555.96689535992</v>
      </c>
    </row>
    <row r="201" spans="1:36" x14ac:dyDescent="0.25">
      <c r="A201" t="s">
        <v>18</v>
      </c>
      <c r="B201" t="s">
        <v>51</v>
      </c>
      <c r="C201">
        <v>2018</v>
      </c>
      <c r="D201" t="str">
        <f t="shared" si="3"/>
        <v>MDG2018</v>
      </c>
      <c r="E201">
        <v>11406.77228571428</v>
      </c>
      <c r="F201">
        <v>10372.8192857143</v>
      </c>
      <c r="G201">
        <v>0.90935623645782471</v>
      </c>
      <c r="H201">
        <v>43065.6953125</v>
      </c>
      <c r="I201">
        <v>37060.28515625</v>
      </c>
      <c r="J201">
        <v>87602.4140625</v>
      </c>
      <c r="K201">
        <v>4.2887240648269653E-2</v>
      </c>
      <c r="L201">
        <v>0.1169331893324852</v>
      </c>
      <c r="M201">
        <v>-4.7710277140140533E-2</v>
      </c>
      <c r="N201">
        <v>3.1943410634994507E-2</v>
      </c>
      <c r="O201">
        <v>1</v>
      </c>
      <c r="P201">
        <v>1</v>
      </c>
      <c r="Q201">
        <v>1.0980945825576782</v>
      </c>
      <c r="R201">
        <v>0.12925617396831512</v>
      </c>
      <c r="S201">
        <v>1.1324523687362671</v>
      </c>
      <c r="T201">
        <v>0.65970617532730103</v>
      </c>
      <c r="AE201">
        <v>0.44744503764739585</v>
      </c>
      <c r="AF201">
        <v>273.89579674331696</v>
      </c>
      <c r="AG201">
        <v>545001.41745136911</v>
      </c>
      <c r="AH201">
        <v>0.79634149685304956</v>
      </c>
      <c r="AI201">
        <v>56.882147012319955</v>
      </c>
      <c r="AJ201">
        <v>546538.5899387924</v>
      </c>
    </row>
    <row r="202" spans="1:36" x14ac:dyDescent="0.25">
      <c r="A202" t="s">
        <v>18</v>
      </c>
      <c r="B202" t="s">
        <v>51</v>
      </c>
      <c r="C202">
        <v>2019</v>
      </c>
      <c r="D202" t="str">
        <f t="shared" si="3"/>
        <v>MDG2019</v>
      </c>
      <c r="E202">
        <v>11525.097714285715</v>
      </c>
      <c r="F202">
        <v>10512.778714285756</v>
      </c>
      <c r="G202">
        <v>0.91216397285461426</v>
      </c>
      <c r="H202">
        <v>44965.421875</v>
      </c>
      <c r="I202">
        <v>37990.12890625</v>
      </c>
      <c r="J202">
        <v>92309.171875</v>
      </c>
      <c r="K202">
        <v>4.2221430689096451E-2</v>
      </c>
      <c r="L202">
        <v>0.11472014337778091</v>
      </c>
      <c r="M202">
        <v>2.5090031325817108E-2</v>
      </c>
      <c r="N202">
        <v>4.4112291187047958E-2</v>
      </c>
      <c r="O202">
        <v>1</v>
      </c>
      <c r="P202">
        <v>1</v>
      </c>
      <c r="Q202">
        <v>1.0980945825576782</v>
      </c>
      <c r="R202">
        <v>0.12925617396831512</v>
      </c>
      <c r="S202">
        <v>1.1324523687362671</v>
      </c>
      <c r="T202">
        <v>0.65970617532730103</v>
      </c>
      <c r="AE202">
        <v>0.45370742485064502</v>
      </c>
      <c r="AF202">
        <v>287.42782411885133</v>
      </c>
      <c r="AG202">
        <v>571927.62146160612</v>
      </c>
      <c r="AH202">
        <v>0.80041347544042796</v>
      </c>
      <c r="AI202">
        <v>59.169551049780921</v>
      </c>
      <c r="AJ202">
        <v>568516.56796735467</v>
      </c>
    </row>
    <row r="203" spans="1:36" x14ac:dyDescent="0.25">
      <c r="A203" t="s">
        <v>18</v>
      </c>
      <c r="B203" t="s">
        <v>51</v>
      </c>
      <c r="C203">
        <v>2020</v>
      </c>
      <c r="D203" t="str">
        <f t="shared" si="3"/>
        <v>MDG2020</v>
      </c>
      <c r="E203">
        <v>11643.423142857151</v>
      </c>
      <c r="F203">
        <v>10652.738142857153</v>
      </c>
      <c r="G203">
        <v>0.91491460800170898</v>
      </c>
      <c r="H203">
        <v>47663.580300072499</v>
      </c>
      <c r="I203">
        <v>35005.580425246269</v>
      </c>
      <c r="J203">
        <v>98097.101632705366</v>
      </c>
      <c r="K203">
        <v>4.8796813935041428E-2</v>
      </c>
      <c r="L203">
        <v>0.18442149211815381</v>
      </c>
      <c r="M203">
        <v>-7.8561156988143921E-2</v>
      </c>
      <c r="N203">
        <v>6.0005184262990952E-2</v>
      </c>
      <c r="O203">
        <v>1</v>
      </c>
      <c r="P203">
        <v>1</v>
      </c>
      <c r="Q203">
        <v>1.0980945825576782</v>
      </c>
      <c r="R203">
        <v>0.12925617396831512</v>
      </c>
      <c r="S203">
        <v>1.1324523687362671</v>
      </c>
      <c r="T203">
        <v>0.65970617532730103</v>
      </c>
      <c r="AE203">
        <v>0.45980780852886993</v>
      </c>
      <c r="AF203">
        <v>306.08925123344841</v>
      </c>
      <c r="AG203">
        <v>609060.37176318211</v>
      </c>
      <c r="AH203">
        <v>0.80431209922391644</v>
      </c>
      <c r="AI203">
        <v>62.478026109586892</v>
      </c>
      <c r="AJ203">
        <v>600305.26422810555</v>
      </c>
    </row>
    <row r="204" spans="1:36" x14ac:dyDescent="0.25">
      <c r="A204" t="s">
        <v>18</v>
      </c>
      <c r="B204" t="s">
        <v>51</v>
      </c>
      <c r="C204">
        <v>2021</v>
      </c>
      <c r="D204" t="str">
        <f t="shared" si="3"/>
        <v>MDG2021</v>
      </c>
      <c r="E204">
        <v>11761.748571428587</v>
      </c>
      <c r="F204">
        <v>10792.697571428609</v>
      </c>
      <c r="G204">
        <v>0.91760993003845215</v>
      </c>
      <c r="H204">
        <v>45918.670789133277</v>
      </c>
      <c r="I204">
        <v>38921.877641250176</v>
      </c>
      <c r="J204">
        <v>102853.50510895489</v>
      </c>
      <c r="K204">
        <v>4.8796813935041428E-2</v>
      </c>
      <c r="L204">
        <v>0.18787638771598833</v>
      </c>
      <c r="M204">
        <v>0.11187636852264404</v>
      </c>
      <c r="N204">
        <v>-3.660886362195015E-2</v>
      </c>
      <c r="O204">
        <v>1</v>
      </c>
      <c r="P204">
        <v>1</v>
      </c>
      <c r="Q204">
        <v>1.0980945825576782</v>
      </c>
      <c r="R204">
        <v>0.12925617396831512</v>
      </c>
      <c r="S204">
        <v>1.1324523687362671</v>
      </c>
      <c r="T204">
        <v>0.65970617532730103</v>
      </c>
      <c r="AE204">
        <v>0.46645542884363722</v>
      </c>
      <c r="AF204">
        <v>296.58202198465455</v>
      </c>
      <c r="AG204">
        <v>590142.7633944652</v>
      </c>
      <c r="AH204">
        <v>0.8084860203836709</v>
      </c>
      <c r="AI204">
        <v>59.984376130776006</v>
      </c>
      <c r="AJ204">
        <v>576345.62109218421</v>
      </c>
    </row>
    <row r="205" spans="1:36" x14ac:dyDescent="0.25">
      <c r="A205" t="s">
        <v>18</v>
      </c>
      <c r="B205" t="s">
        <v>51</v>
      </c>
      <c r="C205">
        <v>2022</v>
      </c>
      <c r="D205" t="str">
        <f t="shared" si="3"/>
        <v>MDG2022</v>
      </c>
      <c r="E205">
        <v>11880.074000000001</v>
      </c>
      <c r="F205">
        <v>10932.656999999999</v>
      </c>
      <c r="G205">
        <v>0.92025160789489746</v>
      </c>
      <c r="H205">
        <v>44152.568000681851</v>
      </c>
      <c r="I205">
        <v>40693.229314779703</v>
      </c>
      <c r="J205">
        <v>104500.65207008639</v>
      </c>
      <c r="K205">
        <v>4.8796813935041428E-2</v>
      </c>
      <c r="L205">
        <v>0.14540698992635948</v>
      </c>
      <c r="M205">
        <v>4.5510437339544296E-2</v>
      </c>
      <c r="N205">
        <v>-3.8461539894342422E-2</v>
      </c>
      <c r="O205">
        <v>0</v>
      </c>
      <c r="P205">
        <v>0</v>
      </c>
      <c r="Q205">
        <v>1.0980945825576782</v>
      </c>
      <c r="R205">
        <v>0.12925617396831512</v>
      </c>
      <c r="S205">
        <v>1.1324523687362671</v>
      </c>
      <c r="T205">
        <v>0.65970617532730103</v>
      </c>
      <c r="AE205">
        <v>0.4742375901791519</v>
      </c>
      <c r="AF205">
        <v>287.47876933955513</v>
      </c>
      <c r="AG205">
        <v>572028.99292413332</v>
      </c>
      <c r="AH205">
        <v>0.81327642518561016</v>
      </c>
      <c r="AI205">
        <v>57.527956455360844</v>
      </c>
      <c r="AJ205">
        <v>552743.6964776204</v>
      </c>
    </row>
    <row r="206" spans="1:36" x14ac:dyDescent="0.25">
      <c r="A206" t="s">
        <v>19</v>
      </c>
      <c r="B206" t="s">
        <v>52</v>
      </c>
      <c r="C206">
        <v>2013</v>
      </c>
      <c r="D206" t="str">
        <f t="shared" si="3"/>
        <v>MLI2013</v>
      </c>
      <c r="E206">
        <v>5585.652</v>
      </c>
      <c r="F206">
        <v>5095.5309999999999</v>
      </c>
      <c r="G206">
        <v>0.91225355863571167</v>
      </c>
      <c r="H206">
        <v>30794.42578125</v>
      </c>
      <c r="I206">
        <v>27849.189453125</v>
      </c>
      <c r="J206">
        <v>42065.48046875</v>
      </c>
      <c r="K206">
        <v>6.6433757543563843E-2</v>
      </c>
      <c r="L206">
        <v>0.1692509651184082</v>
      </c>
      <c r="M206">
        <v>6.3833668828010559E-2</v>
      </c>
      <c r="N206">
        <v>7.0144928991794586E-2</v>
      </c>
      <c r="O206">
        <v>0</v>
      </c>
      <c r="P206">
        <v>0</v>
      </c>
      <c r="Q206">
        <v>1.0654449462890625</v>
      </c>
      <c r="R206">
        <v>0.48866817355155945</v>
      </c>
      <c r="S206">
        <v>1.1084229946136475</v>
      </c>
      <c r="T206">
        <v>0.53113365173339844</v>
      </c>
      <c r="U206">
        <v>168177.46875</v>
      </c>
      <c r="V206">
        <v>3596.1103515625</v>
      </c>
      <c r="W206">
        <v>7987.4765625</v>
      </c>
      <c r="X206">
        <v>2917.42431640625</v>
      </c>
      <c r="Y206">
        <v>248</v>
      </c>
      <c r="Z206">
        <v>85</v>
      </c>
      <c r="AA206">
        <v>40</v>
      </c>
      <c r="AB206">
        <v>65</v>
      </c>
      <c r="AD206">
        <v>2010</v>
      </c>
      <c r="AE206">
        <v>0.18187431246996658</v>
      </c>
      <c r="AF206">
        <v>0.45897789955996871</v>
      </c>
      <c r="AG206">
        <v>5018898.7432443202</v>
      </c>
      <c r="AH206">
        <v>0.79154988031444506</v>
      </c>
      <c r="AI206">
        <v>2.1798848815416775E-2</v>
      </c>
      <c r="AJ206">
        <v>4071692.9692548863</v>
      </c>
    </row>
    <row r="207" spans="1:36" x14ac:dyDescent="0.25">
      <c r="A207" t="s">
        <v>19</v>
      </c>
      <c r="B207" t="s">
        <v>52</v>
      </c>
      <c r="C207">
        <v>2014</v>
      </c>
      <c r="D207" t="str">
        <f t="shared" si="3"/>
        <v>MLI2014</v>
      </c>
      <c r="E207">
        <v>5729.5069999999996</v>
      </c>
      <c r="F207">
        <v>5154.5230000000001</v>
      </c>
      <c r="G207">
        <v>0.89964509010314941</v>
      </c>
      <c r="H207">
        <v>33192.91796875</v>
      </c>
      <c r="I207">
        <v>30701.248046875</v>
      </c>
      <c r="J207">
        <v>45364</v>
      </c>
      <c r="K207">
        <v>6.267712265253067E-2</v>
      </c>
      <c r="L207">
        <v>0.15954691171646118</v>
      </c>
      <c r="M207">
        <v>0.10241083055734634</v>
      </c>
      <c r="N207">
        <v>7.7887222170829773E-2</v>
      </c>
      <c r="O207">
        <v>0</v>
      </c>
      <c r="P207">
        <v>0</v>
      </c>
      <c r="Q207">
        <v>1.0654449462890625</v>
      </c>
      <c r="R207">
        <v>0.48866817355155945</v>
      </c>
      <c r="S207">
        <v>1.1084229946136475</v>
      </c>
      <c r="T207">
        <v>0.53113365173339844</v>
      </c>
      <c r="AE207">
        <v>0.15386316200646027</v>
      </c>
      <c r="AF207">
        <v>0.41598074787396372</v>
      </c>
      <c r="AG207">
        <v>4548727.1930087507</v>
      </c>
      <c r="AH207">
        <v>0.75646135167123751</v>
      </c>
      <c r="AI207">
        <v>2.2318252399988209E-2</v>
      </c>
      <c r="AJ207">
        <v>4168709.6485030861</v>
      </c>
    </row>
    <row r="208" spans="1:36" x14ac:dyDescent="0.25">
      <c r="A208" t="s">
        <v>19</v>
      </c>
      <c r="B208" t="s">
        <v>52</v>
      </c>
      <c r="C208">
        <v>2015</v>
      </c>
      <c r="D208" t="str">
        <f t="shared" si="3"/>
        <v>MLI2015</v>
      </c>
      <c r="E208">
        <v>5823.8789999999999</v>
      </c>
      <c r="F208">
        <v>5340.77</v>
      </c>
      <c r="G208">
        <v>0.91704684495925903</v>
      </c>
      <c r="H208">
        <v>35683.921875</v>
      </c>
      <c r="I208">
        <v>35401.1875</v>
      </c>
      <c r="J208">
        <v>49747.5234375</v>
      </c>
      <c r="K208">
        <v>5.9645991772413254E-2</v>
      </c>
      <c r="L208">
        <v>0.16617783904075623</v>
      </c>
      <c r="M208">
        <v>0.15308625996112823</v>
      </c>
      <c r="N208">
        <v>7.5046248733997345E-2</v>
      </c>
      <c r="O208">
        <v>0</v>
      </c>
      <c r="P208">
        <v>0</v>
      </c>
      <c r="Q208">
        <v>1.0654449462890625</v>
      </c>
      <c r="R208">
        <v>0.48866817355155945</v>
      </c>
      <c r="S208">
        <v>1.1084229946136475</v>
      </c>
      <c r="T208">
        <v>0.53113365173339844</v>
      </c>
      <c r="AE208">
        <v>0.17575939465715568</v>
      </c>
      <c r="AF208">
        <v>0.50129877114247179</v>
      </c>
      <c r="AG208">
        <v>5481675.2067778911</v>
      </c>
      <c r="AH208">
        <v>0.78459484012651459</v>
      </c>
      <c r="AI208">
        <v>2.4420716492698846E-2</v>
      </c>
      <c r="AJ208">
        <v>4561417.9211686794</v>
      </c>
    </row>
    <row r="209" spans="1:36" x14ac:dyDescent="0.25">
      <c r="A209" t="s">
        <v>19</v>
      </c>
      <c r="B209" t="s">
        <v>52</v>
      </c>
      <c r="C209">
        <v>2016</v>
      </c>
      <c r="D209" t="str">
        <f t="shared" si="3"/>
        <v>MLI2016</v>
      </c>
      <c r="E209">
        <v>5457.7790000000005</v>
      </c>
      <c r="F209">
        <v>4903.1859999999997</v>
      </c>
      <c r="G209">
        <v>0.89838486909866333</v>
      </c>
      <c r="H209">
        <v>38861.421875</v>
      </c>
      <c r="I209">
        <v>38900.9375</v>
      </c>
      <c r="J209">
        <v>54774.69921875</v>
      </c>
      <c r="K209">
        <v>5.7262755930423737E-2</v>
      </c>
      <c r="L209">
        <v>0.15942005813121796</v>
      </c>
      <c r="M209">
        <v>9.8859675228595734E-2</v>
      </c>
      <c r="N209">
        <v>8.9045703411102295E-2</v>
      </c>
      <c r="O209">
        <v>0</v>
      </c>
      <c r="P209">
        <v>0</v>
      </c>
      <c r="Q209">
        <v>1.0654449462890625</v>
      </c>
      <c r="R209">
        <v>0.48866817355155945</v>
      </c>
      <c r="S209">
        <v>1.1084229946136475</v>
      </c>
      <c r="T209">
        <v>0.53113365173339844</v>
      </c>
      <c r="AE209">
        <v>0.14370943206095999</v>
      </c>
      <c r="AF209">
        <v>0.46711958572822893</v>
      </c>
      <c r="AG209">
        <v>5107927.645326416</v>
      </c>
      <c r="AH209">
        <v>0.74138448423305447</v>
      </c>
      <c r="AI209">
        <v>2.6297905420173701E-2</v>
      </c>
      <c r="AJ209">
        <v>4912048.2238366306</v>
      </c>
    </row>
    <row r="210" spans="1:36" x14ac:dyDescent="0.25">
      <c r="A210" t="s">
        <v>19</v>
      </c>
      <c r="B210" t="s">
        <v>52</v>
      </c>
      <c r="C210">
        <v>2017</v>
      </c>
      <c r="D210" t="str">
        <f t="shared" si="3"/>
        <v>MLI2017</v>
      </c>
      <c r="E210">
        <v>6011.6409999999996</v>
      </c>
      <c r="F210">
        <v>5442.4170000000004</v>
      </c>
      <c r="G210">
        <v>0.90531301498413086</v>
      </c>
      <c r="H210">
        <v>41476.1171875</v>
      </c>
      <c r="I210">
        <v>39424.1796875</v>
      </c>
      <c r="J210">
        <v>59412.07421875</v>
      </c>
      <c r="K210">
        <v>5.5296581238508224E-2</v>
      </c>
      <c r="L210">
        <v>0.15449397265911102</v>
      </c>
      <c r="M210">
        <v>1.3450631871819496E-2</v>
      </c>
      <c r="N210">
        <v>6.7282542586326599E-2</v>
      </c>
      <c r="O210">
        <v>0</v>
      </c>
      <c r="P210">
        <v>0</v>
      </c>
      <c r="Q210">
        <v>1.0654449462890625</v>
      </c>
      <c r="R210">
        <v>0.48866817355155945</v>
      </c>
      <c r="S210">
        <v>1.1084229946136475</v>
      </c>
      <c r="T210">
        <v>0.53113365173339844</v>
      </c>
      <c r="AE210">
        <v>0.14223419259220121</v>
      </c>
      <c r="AF210">
        <v>0.46682996560492962</v>
      </c>
      <c r="AG210">
        <v>5104760.6647937177</v>
      </c>
      <c r="AH210">
        <v>0.73906934498754528</v>
      </c>
      <c r="AI210">
        <v>2.647126921981751E-2</v>
      </c>
      <c r="AJ210">
        <v>4944429.9413351156</v>
      </c>
    </row>
    <row r="211" spans="1:36" x14ac:dyDescent="0.25">
      <c r="A211" t="s">
        <v>19</v>
      </c>
      <c r="B211" t="s">
        <v>52</v>
      </c>
      <c r="C211">
        <v>2018</v>
      </c>
      <c r="D211" t="str">
        <f t="shared" si="3"/>
        <v>MLI2018</v>
      </c>
      <c r="E211">
        <v>5948.9369999999999</v>
      </c>
      <c r="F211">
        <v>5306.6779999999999</v>
      </c>
      <c r="G211">
        <v>0.89203804731369019</v>
      </c>
      <c r="H211">
        <v>44285.1171875</v>
      </c>
      <c r="I211">
        <v>41584.76171875</v>
      </c>
      <c r="J211">
        <v>64555.82421875</v>
      </c>
      <c r="K211">
        <v>5.3604375571012497E-2</v>
      </c>
      <c r="L211">
        <v>0.14799337089061737</v>
      </c>
      <c r="M211">
        <v>5.4803475737571716E-2</v>
      </c>
      <c r="N211">
        <v>6.7725725471973419E-2</v>
      </c>
      <c r="O211">
        <v>0</v>
      </c>
      <c r="P211">
        <v>0</v>
      </c>
      <c r="Q211">
        <v>1.0654449462890625</v>
      </c>
      <c r="R211">
        <v>0.48866817355155945</v>
      </c>
      <c r="S211">
        <v>1.1084229946136475</v>
      </c>
      <c r="T211">
        <v>0.53113365173339844</v>
      </c>
      <c r="AE211">
        <v>0.12137591997046189</v>
      </c>
      <c r="AF211">
        <v>0.4310950156683454</v>
      </c>
      <c r="AG211">
        <v>4714000.9016361283</v>
      </c>
      <c r="AH211">
        <v>0.70235314630417756</v>
      </c>
      <c r="AI211">
        <v>2.7222678952953609E-2</v>
      </c>
      <c r="AJ211">
        <v>5084781.8357560802</v>
      </c>
    </row>
    <row r="212" spans="1:36" x14ac:dyDescent="0.25">
      <c r="A212" t="s">
        <v>19</v>
      </c>
      <c r="B212" t="s">
        <v>52</v>
      </c>
      <c r="C212">
        <v>2019</v>
      </c>
      <c r="D212" t="str">
        <f t="shared" si="3"/>
        <v>MLI2019</v>
      </c>
      <c r="E212">
        <v>6092.5794999999925</v>
      </c>
      <c r="F212">
        <v>5461.2470000000321</v>
      </c>
      <c r="G212">
        <v>0.89637678861618042</v>
      </c>
      <c r="H212">
        <v>47226.65625</v>
      </c>
      <c r="I212">
        <v>43982.38671875</v>
      </c>
      <c r="J212">
        <v>70910.953125</v>
      </c>
      <c r="K212">
        <v>5.2524194121360779E-2</v>
      </c>
      <c r="L212">
        <v>0.14938794076442719</v>
      </c>
      <c r="M212">
        <v>5.7656336575746536E-2</v>
      </c>
      <c r="N212">
        <v>6.6422745585441589E-2</v>
      </c>
      <c r="O212">
        <v>1</v>
      </c>
      <c r="P212">
        <v>1</v>
      </c>
      <c r="Q212">
        <v>1.0654449462890625</v>
      </c>
      <c r="R212">
        <v>0.48866817355155945</v>
      </c>
      <c r="S212">
        <v>1.1084229946136475</v>
      </c>
      <c r="T212">
        <v>0.53113365173339844</v>
      </c>
      <c r="AE212">
        <v>0.12006481580245965</v>
      </c>
      <c r="AF212">
        <v>0.44788124396741008</v>
      </c>
      <c r="AG212">
        <v>4897557.4088116558</v>
      </c>
      <c r="AH212">
        <v>0.69976450697963621</v>
      </c>
      <c r="AI212">
        <v>2.8486158720631136E-2</v>
      </c>
      <c r="AJ212">
        <v>5320780.613967251</v>
      </c>
    </row>
    <row r="213" spans="1:36" x14ac:dyDescent="0.25">
      <c r="A213" t="s">
        <v>19</v>
      </c>
      <c r="B213" t="s">
        <v>52</v>
      </c>
      <c r="C213">
        <v>2020</v>
      </c>
      <c r="D213" t="str">
        <f t="shared" si="3"/>
        <v>MLI2020</v>
      </c>
      <c r="E213">
        <v>6236.2219999999998</v>
      </c>
      <c r="F213">
        <v>5615.8159999999998</v>
      </c>
      <c r="G213">
        <v>0.90051573514938354</v>
      </c>
      <c r="H213">
        <v>47817.416759205982</v>
      </c>
      <c r="I213">
        <v>42994.503619190284</v>
      </c>
      <c r="J213">
        <v>76666.418020108482</v>
      </c>
      <c r="K213">
        <v>7.0773318409919739E-2</v>
      </c>
      <c r="L213">
        <v>0.14118882297712748</v>
      </c>
      <c r="M213">
        <v>-2.2460879758000374E-2</v>
      </c>
      <c r="N213">
        <v>1.2509047985076904E-2</v>
      </c>
      <c r="O213">
        <v>0</v>
      </c>
      <c r="P213">
        <v>0</v>
      </c>
      <c r="Q213">
        <v>1.0654449462890625</v>
      </c>
      <c r="R213">
        <v>0.48866817355155945</v>
      </c>
      <c r="S213">
        <v>1.1084229946136475</v>
      </c>
      <c r="T213">
        <v>0.53113365173339844</v>
      </c>
      <c r="AE213">
        <v>0.11956808011100545</v>
      </c>
      <c r="AF213">
        <v>0.44496247546825229</v>
      </c>
      <c r="AG213">
        <v>4865640.8316381397</v>
      </c>
      <c r="AH213">
        <v>0.69877399850569843</v>
      </c>
      <c r="AI213">
        <v>2.8377865791559938E-2</v>
      </c>
      <c r="AJ213">
        <v>5300553.1440832736</v>
      </c>
    </row>
    <row r="214" spans="1:36" x14ac:dyDescent="0.25">
      <c r="A214" t="s">
        <v>19</v>
      </c>
      <c r="B214" t="s">
        <v>52</v>
      </c>
      <c r="C214">
        <v>2021</v>
      </c>
      <c r="D214" t="str">
        <f t="shared" si="3"/>
        <v>MLI2021</v>
      </c>
      <c r="E214">
        <v>6391.0109999999986</v>
      </c>
      <c r="F214">
        <v>5903.1404999999795</v>
      </c>
      <c r="G214">
        <v>0.92366302013397217</v>
      </c>
      <c r="H214">
        <v>52704.632930006373</v>
      </c>
      <c r="I214">
        <v>49776.774899242788</v>
      </c>
      <c r="J214">
        <v>81211.13159684834</v>
      </c>
      <c r="K214">
        <v>7.0773318409919739E-2</v>
      </c>
      <c r="L214">
        <v>0.16351273586497378</v>
      </c>
      <c r="M214">
        <v>0.15774740278720856</v>
      </c>
      <c r="N214">
        <v>0.10220577567815781</v>
      </c>
      <c r="O214">
        <v>1</v>
      </c>
      <c r="P214">
        <v>1</v>
      </c>
      <c r="Q214">
        <v>1.0654449462890625</v>
      </c>
      <c r="R214">
        <v>0.48866817355155945</v>
      </c>
      <c r="S214">
        <v>1.1084229946136475</v>
      </c>
      <c r="T214">
        <v>0.53113365173339844</v>
      </c>
      <c r="AE214">
        <v>0.14904461767126576</v>
      </c>
      <c r="AF214">
        <v>0.59535679189398683</v>
      </c>
      <c r="AG214">
        <v>6510194.6248030458</v>
      </c>
      <c r="AH214">
        <v>0.74948720505555955</v>
      </c>
      <c r="AI214">
        <v>3.2670824938082162E-2</v>
      </c>
      <c r="AJ214">
        <v>6102412.5322648594</v>
      </c>
    </row>
    <row r="215" spans="1:36" x14ac:dyDescent="0.25">
      <c r="A215" t="s">
        <v>19</v>
      </c>
      <c r="B215" t="s">
        <v>52</v>
      </c>
      <c r="C215">
        <v>2022</v>
      </c>
      <c r="D215" t="str">
        <f t="shared" si="3"/>
        <v>MLI2022</v>
      </c>
      <c r="E215">
        <v>6545.8</v>
      </c>
      <c r="F215">
        <v>6190.4650000000001</v>
      </c>
      <c r="G215">
        <v>0.94571554660797119</v>
      </c>
      <c r="H215">
        <v>50359.503692889106</v>
      </c>
      <c r="I215">
        <v>47575.812035949944</v>
      </c>
      <c r="J215">
        <v>85149.143095352192</v>
      </c>
      <c r="K215">
        <v>7.0773318409919739E-2</v>
      </c>
      <c r="L215">
        <v>0.15948476250496099</v>
      </c>
      <c r="M215">
        <v>-4.4216662645339966E-2</v>
      </c>
      <c r="N215">
        <v>-4.449569433927536E-2</v>
      </c>
      <c r="O215">
        <v>0</v>
      </c>
      <c r="P215">
        <v>0</v>
      </c>
      <c r="Q215">
        <v>1.0654449462890625</v>
      </c>
      <c r="R215">
        <v>0.48866817355155945</v>
      </c>
      <c r="S215">
        <v>1.1084229946136475</v>
      </c>
      <c r="T215">
        <v>0.53113365173339844</v>
      </c>
      <c r="AE215">
        <v>0.19745509998514901</v>
      </c>
      <c r="AF215">
        <v>0.73485108436616631</v>
      </c>
      <c r="AG215">
        <v>8035557.2399738077</v>
      </c>
      <c r="AH215">
        <v>0.8077904738342867</v>
      </c>
      <c r="AI215">
        <v>3.2806853062803135E-2</v>
      </c>
      <c r="AJ215">
        <v>6127820.5142980944</v>
      </c>
    </row>
    <row r="216" spans="1:36" x14ac:dyDescent="0.25">
      <c r="A216" t="s">
        <v>20</v>
      </c>
      <c r="B216" t="s">
        <v>53</v>
      </c>
      <c r="C216">
        <v>2012</v>
      </c>
      <c r="D216" t="str">
        <f t="shared" si="3"/>
        <v>MUS2012</v>
      </c>
      <c r="E216">
        <v>511.69099999999997</v>
      </c>
      <c r="F216">
        <v>196.315</v>
      </c>
      <c r="G216">
        <v>0.38365927338600159</v>
      </c>
      <c r="H216">
        <v>23522.80078125</v>
      </c>
      <c r="I216">
        <v>22680.27734375</v>
      </c>
      <c r="J216">
        <v>74073.890625</v>
      </c>
      <c r="K216">
        <v>4.3610058724880219E-2</v>
      </c>
      <c r="L216">
        <v>0.1689913272857666</v>
      </c>
      <c r="M216">
        <v>2.7456948533654213E-2</v>
      </c>
      <c r="N216">
        <v>3.4961134195327759E-2</v>
      </c>
      <c r="O216">
        <v>0</v>
      </c>
      <c r="P216">
        <v>0</v>
      </c>
      <c r="Q216">
        <v>0.59207278490066528</v>
      </c>
      <c r="R216">
        <v>0.18798030912876129</v>
      </c>
      <c r="S216">
        <v>0.8084443211555481</v>
      </c>
      <c r="T216">
        <v>1.5314213037490845</v>
      </c>
      <c r="U216">
        <v>131114.84375</v>
      </c>
      <c r="V216">
        <v>12222.0576171875</v>
      </c>
      <c r="W216">
        <v>32162.3515625</v>
      </c>
      <c r="X216">
        <v>10289.1865234375</v>
      </c>
      <c r="Y216">
        <v>383</v>
      </c>
      <c r="Z216">
        <v>122</v>
      </c>
      <c r="AA216">
        <v>138</v>
      </c>
      <c r="AB216">
        <v>120</v>
      </c>
      <c r="AD216">
        <v>2009</v>
      </c>
      <c r="AE216">
        <v>5.4843007224873806E-2</v>
      </c>
      <c r="AF216">
        <v>207725.92390799592</v>
      </c>
      <c r="AG216">
        <v>18.808583323419295</v>
      </c>
      <c r="AH216">
        <v>0.16606888422373048</v>
      </c>
      <c r="AI216">
        <v>50954.979636881035</v>
      </c>
      <c r="AJ216">
        <v>15.834078689346784</v>
      </c>
    </row>
    <row r="217" spans="1:36" x14ac:dyDescent="0.25">
      <c r="A217" t="s">
        <v>20</v>
      </c>
      <c r="B217" t="s">
        <v>53</v>
      </c>
      <c r="C217">
        <v>2013</v>
      </c>
      <c r="D217" t="str">
        <f t="shared" si="3"/>
        <v>MUS2013</v>
      </c>
      <c r="E217">
        <v>525.67600000000004</v>
      </c>
      <c r="F217">
        <v>204.02500000000001</v>
      </c>
      <c r="G217">
        <v>0.38811931014060974</v>
      </c>
      <c r="H217">
        <v>24313.25</v>
      </c>
      <c r="I217">
        <v>23246.65234375</v>
      </c>
      <c r="J217">
        <v>77077.2578125</v>
      </c>
      <c r="K217">
        <v>4.3134041130542755E-2</v>
      </c>
      <c r="L217">
        <v>0.19121094048023224</v>
      </c>
      <c r="M217">
        <v>2.4972137063741684E-2</v>
      </c>
      <c r="N217">
        <v>3.360353410243988E-2</v>
      </c>
      <c r="O217">
        <v>0</v>
      </c>
      <c r="P217">
        <v>0</v>
      </c>
      <c r="Q217">
        <v>0.59207278490066528</v>
      </c>
      <c r="R217">
        <v>0.18798030912876129</v>
      </c>
      <c r="S217">
        <v>0.8084443211555481</v>
      </c>
      <c r="T217">
        <v>1.5314213037490845</v>
      </c>
      <c r="AE217">
        <v>5.6946061384157948E-2</v>
      </c>
      <c r="AF217">
        <v>210167.99815719391</v>
      </c>
      <c r="AG217">
        <v>19.029701401191623</v>
      </c>
      <c r="AH217">
        <v>0.17166244399658467</v>
      </c>
      <c r="AI217">
        <v>51322.418413668544</v>
      </c>
      <c r="AJ217">
        <v>15.948258982355078</v>
      </c>
    </row>
    <row r="218" spans="1:36" x14ac:dyDescent="0.25">
      <c r="A218" t="s">
        <v>20</v>
      </c>
      <c r="B218" t="s">
        <v>53</v>
      </c>
      <c r="C218">
        <v>2014</v>
      </c>
      <c r="D218" t="str">
        <f t="shared" si="3"/>
        <v>MUS2014</v>
      </c>
      <c r="E218">
        <v>530.92700000000002</v>
      </c>
      <c r="F218">
        <v>221.80799999999999</v>
      </c>
      <c r="G218">
        <v>0.41777494549751282</v>
      </c>
      <c r="H218">
        <v>25223.734375</v>
      </c>
      <c r="I218">
        <v>23931.55078125</v>
      </c>
      <c r="J218">
        <v>79626.3671875</v>
      </c>
      <c r="K218">
        <v>4.2813919484615326E-2</v>
      </c>
      <c r="L218">
        <v>0.19544918835163116</v>
      </c>
      <c r="M218">
        <v>2.9462238773703575E-2</v>
      </c>
      <c r="N218">
        <v>3.7448074668645859E-2</v>
      </c>
      <c r="O218">
        <v>0</v>
      </c>
      <c r="P218">
        <v>0</v>
      </c>
      <c r="Q218">
        <v>0.59207278490066528</v>
      </c>
      <c r="R218">
        <v>0.18798030912876129</v>
      </c>
      <c r="S218">
        <v>0.8084443211555481</v>
      </c>
      <c r="T218">
        <v>1.5314213037490845</v>
      </c>
      <c r="AE218">
        <v>6.5276080050372748E-2</v>
      </c>
      <c r="AF218">
        <v>219908.5945261009</v>
      </c>
      <c r="AG218">
        <v>19.91166555365594</v>
      </c>
      <c r="AH218">
        <v>0.19333292487446416</v>
      </c>
      <c r="AI218">
        <v>52762.198539018573</v>
      </c>
      <c r="AJ218">
        <v>16.39566553540665</v>
      </c>
    </row>
    <row r="219" spans="1:36" x14ac:dyDescent="0.25">
      <c r="A219" t="s">
        <v>20</v>
      </c>
      <c r="B219" t="s">
        <v>53</v>
      </c>
      <c r="C219">
        <v>2015</v>
      </c>
      <c r="D219" t="str">
        <f t="shared" si="3"/>
        <v>MUS2015</v>
      </c>
      <c r="E219">
        <v>538.41099999999994</v>
      </c>
      <c r="F219">
        <v>218.30799999999999</v>
      </c>
      <c r="G219">
        <v>0.40546721220016479</v>
      </c>
      <c r="H219">
        <v>26119.947265625</v>
      </c>
      <c r="I219">
        <v>24626.25390625</v>
      </c>
      <c r="J219">
        <v>81805.765625</v>
      </c>
      <c r="K219">
        <v>4.2319044470787048E-2</v>
      </c>
      <c r="L219">
        <v>0.20344071090221405</v>
      </c>
      <c r="M219">
        <v>2.9028754681348801E-2</v>
      </c>
      <c r="N219">
        <v>3.5530541092157364E-2</v>
      </c>
      <c r="O219">
        <v>0</v>
      </c>
      <c r="P219">
        <v>0</v>
      </c>
      <c r="Q219">
        <v>0.59207278490066528</v>
      </c>
      <c r="R219">
        <v>0.18798030912876129</v>
      </c>
      <c r="S219">
        <v>0.8084443211555481</v>
      </c>
      <c r="T219">
        <v>1.5314213037490845</v>
      </c>
      <c r="AE219">
        <v>6.2284604887106673E-2</v>
      </c>
      <c r="AF219">
        <v>222643.56087299425</v>
      </c>
      <c r="AG219">
        <v>20.159303602169686</v>
      </c>
      <c r="AH219">
        <v>0.18563837157389881</v>
      </c>
      <c r="AI219">
        <v>53755.895571651803</v>
      </c>
      <c r="AJ219">
        <v>16.704453353991049</v>
      </c>
    </row>
    <row r="220" spans="1:36" x14ac:dyDescent="0.25">
      <c r="A220" t="s">
        <v>20</v>
      </c>
      <c r="B220" t="s">
        <v>53</v>
      </c>
      <c r="C220">
        <v>2016</v>
      </c>
      <c r="D220" t="str">
        <f t="shared" si="3"/>
        <v>MUS2016</v>
      </c>
      <c r="E220">
        <v>538.62</v>
      </c>
      <c r="F220">
        <v>219.85599999999999</v>
      </c>
      <c r="G220">
        <v>0.40818387269973755</v>
      </c>
      <c r="H220">
        <v>27122.41796875</v>
      </c>
      <c r="I220">
        <v>25350.021484375</v>
      </c>
      <c r="J220">
        <v>84142.6796875</v>
      </c>
      <c r="K220">
        <v>4.18362095952034E-2</v>
      </c>
      <c r="L220">
        <v>0.20620451867580414</v>
      </c>
      <c r="M220">
        <v>2.9390079900622368E-2</v>
      </c>
      <c r="N220">
        <v>3.8379509001970291E-2</v>
      </c>
      <c r="O220">
        <v>0</v>
      </c>
      <c r="P220">
        <v>0</v>
      </c>
      <c r="Q220">
        <v>0.59207278490066528</v>
      </c>
      <c r="R220">
        <v>0.18798030912876129</v>
      </c>
      <c r="S220">
        <v>0.8084443211555481</v>
      </c>
      <c r="T220">
        <v>1.5314213037490845</v>
      </c>
      <c r="AE220">
        <v>6.2753956387349055E-2</v>
      </c>
      <c r="AF220">
        <v>230423.73808942406</v>
      </c>
      <c r="AG220">
        <v>20.863761229283195</v>
      </c>
      <c r="AH220">
        <v>0.18685204321988419</v>
      </c>
      <c r="AI220">
        <v>55579.275766309322</v>
      </c>
      <c r="AJ220">
        <v>17.271062264220237</v>
      </c>
    </row>
    <row r="221" spans="1:36" x14ac:dyDescent="0.25">
      <c r="A221" t="s">
        <v>20</v>
      </c>
      <c r="B221" t="s">
        <v>53</v>
      </c>
      <c r="C221">
        <v>2017</v>
      </c>
      <c r="D221" t="str">
        <f t="shared" si="3"/>
        <v>MUS2017</v>
      </c>
      <c r="E221">
        <v>545.13400000000001</v>
      </c>
      <c r="F221">
        <v>212.578</v>
      </c>
      <c r="G221">
        <v>0.38995549082756042</v>
      </c>
      <c r="H221">
        <v>28156.85546875</v>
      </c>
      <c r="I221">
        <v>26095.955078125</v>
      </c>
      <c r="J221">
        <v>86684.1328125</v>
      </c>
      <c r="K221">
        <v>4.1481912136077881E-2</v>
      </c>
      <c r="L221">
        <v>0.2051292359828949</v>
      </c>
      <c r="M221">
        <v>2.942536398768425E-2</v>
      </c>
      <c r="N221">
        <v>3.8139574229717255E-2</v>
      </c>
      <c r="O221">
        <v>0</v>
      </c>
      <c r="P221">
        <v>0</v>
      </c>
      <c r="Q221">
        <v>0.59207278490066528</v>
      </c>
      <c r="R221">
        <v>0.18798030912876129</v>
      </c>
      <c r="S221">
        <v>0.8084443211555481</v>
      </c>
      <c r="T221">
        <v>1.5314213037490845</v>
      </c>
      <c r="AE221">
        <v>5.8088152057795828E-2</v>
      </c>
      <c r="AF221">
        <v>233141.07869363902</v>
      </c>
      <c r="AG221">
        <v>21.109803351570854</v>
      </c>
      <c r="AH221">
        <v>0.17467909293065267</v>
      </c>
      <c r="AI221">
        <v>56793.821861243443</v>
      </c>
      <c r="AJ221">
        <v>17.648478143415414</v>
      </c>
    </row>
    <row r="222" spans="1:36" x14ac:dyDescent="0.25">
      <c r="A222" t="s">
        <v>20</v>
      </c>
      <c r="B222" t="s">
        <v>53</v>
      </c>
      <c r="C222">
        <v>2018</v>
      </c>
      <c r="D222" t="str">
        <f t="shared" si="3"/>
        <v>MUS2018</v>
      </c>
      <c r="E222">
        <v>543.98599999999999</v>
      </c>
      <c r="F222">
        <v>207.88200000000001</v>
      </c>
      <c r="G222">
        <v>0.38214585185050964</v>
      </c>
      <c r="H222">
        <v>29215.560546875</v>
      </c>
      <c r="I222">
        <v>26978.78515625</v>
      </c>
      <c r="J222">
        <v>89805.5625</v>
      </c>
      <c r="K222">
        <v>4.1233919560909271E-2</v>
      </c>
      <c r="L222">
        <v>0.21038141846656799</v>
      </c>
      <c r="M222">
        <v>3.3830150961875916E-2</v>
      </c>
      <c r="N222">
        <v>3.7600260227918625E-2</v>
      </c>
      <c r="O222">
        <v>0</v>
      </c>
      <c r="P222">
        <v>0</v>
      </c>
      <c r="Q222">
        <v>0.59207278490066528</v>
      </c>
      <c r="R222">
        <v>0.18798030912876129</v>
      </c>
      <c r="S222">
        <v>0.8084443211555481</v>
      </c>
      <c r="T222">
        <v>1.5314213037490845</v>
      </c>
      <c r="AE222">
        <v>5.5561884802553127E-2</v>
      </c>
      <c r="AF222">
        <v>239439.20379155982</v>
      </c>
      <c r="AG222">
        <v>21.68006828748722</v>
      </c>
      <c r="AH222">
        <v>0.16798657585362911</v>
      </c>
      <c r="AI222">
        <v>58643.758100596315</v>
      </c>
      <c r="AJ222">
        <v>18.223339250081153</v>
      </c>
    </row>
    <row r="223" spans="1:36" x14ac:dyDescent="0.25">
      <c r="A223" t="s">
        <v>20</v>
      </c>
      <c r="B223" t="s">
        <v>53</v>
      </c>
      <c r="C223">
        <v>2019</v>
      </c>
      <c r="D223" t="str">
        <f t="shared" si="3"/>
        <v>MUS2019</v>
      </c>
      <c r="E223">
        <v>551.37900000000002</v>
      </c>
      <c r="F223">
        <v>212.30699999999999</v>
      </c>
      <c r="G223">
        <v>0.3850473165512085</v>
      </c>
      <c r="H223">
        <v>30252.94140625</v>
      </c>
      <c r="I223">
        <v>27834.11328125</v>
      </c>
      <c r="J223">
        <v>93353.8671875</v>
      </c>
      <c r="K223">
        <v>4.1246801614761353E-2</v>
      </c>
      <c r="L223">
        <v>0.20838454365730286</v>
      </c>
      <c r="M223">
        <v>3.1703729182481766E-2</v>
      </c>
      <c r="N223">
        <v>3.5507820546627045E-2</v>
      </c>
      <c r="O223">
        <v>0</v>
      </c>
      <c r="P223">
        <v>0</v>
      </c>
      <c r="Q223">
        <v>0.59207278490066528</v>
      </c>
      <c r="R223">
        <v>0.18798030912876129</v>
      </c>
      <c r="S223">
        <v>0.8084443211555481</v>
      </c>
      <c r="T223">
        <v>1.5314213037490845</v>
      </c>
      <c r="AE223">
        <v>5.6608269491028908E-2</v>
      </c>
      <c r="AF223">
        <v>244592.41614603152</v>
      </c>
      <c r="AG223">
        <v>22.146666881099847</v>
      </c>
      <c r="AH223">
        <v>0.17076739847256345</v>
      </c>
      <c r="AI223">
        <v>59771.891109804637</v>
      </c>
      <c r="AJ223">
        <v>18.573902570234559</v>
      </c>
    </row>
    <row r="224" spans="1:36" x14ac:dyDescent="0.25">
      <c r="A224" t="s">
        <v>20</v>
      </c>
      <c r="B224" t="s">
        <v>53</v>
      </c>
      <c r="C224">
        <v>2020</v>
      </c>
      <c r="D224" t="str">
        <f t="shared" si="3"/>
        <v>MUS2020</v>
      </c>
      <c r="E224">
        <v>503.952</v>
      </c>
      <c r="F224">
        <v>185.05800000000454</v>
      </c>
      <c r="G224">
        <v>0.36721354722976685</v>
      </c>
      <c r="H224">
        <v>29257.088981647583</v>
      </c>
      <c r="I224">
        <v>27277.330707845591</v>
      </c>
      <c r="J224">
        <v>94497.717669052654</v>
      </c>
      <c r="K224">
        <v>4.4832661747932434E-2</v>
      </c>
      <c r="L224">
        <v>0.22029664328245446</v>
      </c>
      <c r="M224">
        <v>-2.0003603771328926E-2</v>
      </c>
      <c r="N224">
        <v>-3.2917540520429611E-2</v>
      </c>
      <c r="O224">
        <v>0</v>
      </c>
      <c r="P224">
        <v>1</v>
      </c>
      <c r="Q224">
        <v>0.59207278490066528</v>
      </c>
      <c r="R224">
        <v>0.18798030912876129</v>
      </c>
      <c r="S224">
        <v>0.8084443211555481</v>
      </c>
      <c r="T224">
        <v>1.5314213037490845</v>
      </c>
      <c r="AE224">
        <v>4.7895547923494569E-2</v>
      </c>
      <c r="AF224">
        <v>246990.88032381059</v>
      </c>
      <c r="AG224">
        <v>22.363836276653839</v>
      </c>
      <c r="AH224">
        <v>0.14722622211819819</v>
      </c>
      <c r="AI224">
        <v>61503.50496822998</v>
      </c>
      <c r="AJ224">
        <v>19.111995417867156</v>
      </c>
    </row>
    <row r="225" spans="1:36" x14ac:dyDescent="0.25">
      <c r="A225" t="s">
        <v>20</v>
      </c>
      <c r="B225" t="s">
        <v>53</v>
      </c>
      <c r="C225">
        <v>2021</v>
      </c>
      <c r="D225" t="str">
        <f t="shared" si="3"/>
        <v>MUS2021</v>
      </c>
      <c r="E225">
        <v>483.60599999999999</v>
      </c>
      <c r="F225">
        <v>157.809</v>
      </c>
      <c r="G225">
        <v>0.32631728053092957</v>
      </c>
      <c r="H225">
        <v>34237.453084128218</v>
      </c>
      <c r="I225">
        <v>31301.112787517879</v>
      </c>
      <c r="J225">
        <v>96915.50406231315</v>
      </c>
      <c r="K225">
        <v>4.4832661747932434E-2</v>
      </c>
      <c r="L225">
        <v>0.18911110593647021</v>
      </c>
      <c r="M225">
        <v>0.14751377701759338</v>
      </c>
      <c r="N225">
        <v>0.17022760212421417</v>
      </c>
      <c r="O225">
        <v>0</v>
      </c>
      <c r="P225">
        <v>0</v>
      </c>
      <c r="Q225">
        <v>0.59207278490066528</v>
      </c>
      <c r="R225">
        <v>0.18798030912876129</v>
      </c>
      <c r="S225">
        <v>0.8084443211555481</v>
      </c>
      <c r="T225">
        <v>1.5314213037490845</v>
      </c>
      <c r="AE225">
        <v>3.729055238711923E-2</v>
      </c>
      <c r="AF225">
        <v>287205.44822968601</v>
      </c>
      <c r="AG225">
        <v>26.005071983026099</v>
      </c>
      <c r="AH225">
        <v>0.11733802662532071</v>
      </c>
      <c r="AI225">
        <v>73208.509263585482</v>
      </c>
      <c r="AJ225">
        <v>22.749283871175734</v>
      </c>
    </row>
    <row r="226" spans="1:36" x14ac:dyDescent="0.25">
      <c r="A226" t="s">
        <v>20</v>
      </c>
      <c r="B226" t="s">
        <v>53</v>
      </c>
      <c r="C226">
        <v>2022</v>
      </c>
      <c r="D226" t="str">
        <f t="shared" si="3"/>
        <v>MUS2022</v>
      </c>
      <c r="E226">
        <v>519.61099999999999</v>
      </c>
      <c r="F226">
        <v>175.17</v>
      </c>
      <c r="G226">
        <v>0.33711758255958557</v>
      </c>
      <c r="H226">
        <v>35231.383656513921</v>
      </c>
      <c r="I226">
        <v>29331.351162747756</v>
      </c>
      <c r="J226">
        <v>100908.6519802446</v>
      </c>
      <c r="K226">
        <v>4.4832661747932434E-2</v>
      </c>
      <c r="L226">
        <v>0.18328806294940289</v>
      </c>
      <c r="M226">
        <v>-6.2929444015026093E-2</v>
      </c>
      <c r="N226">
        <v>2.9030505567789078E-2</v>
      </c>
      <c r="O226">
        <v>0</v>
      </c>
      <c r="P226">
        <v>0</v>
      </c>
      <c r="Q226">
        <v>0.59207278490066528</v>
      </c>
      <c r="R226">
        <v>0.18798030912876129</v>
      </c>
      <c r="S226">
        <v>0.8084443211555481</v>
      </c>
      <c r="T226">
        <v>1.5314213037490845</v>
      </c>
      <c r="AE226">
        <v>4.181792657756081E-2</v>
      </c>
      <c r="AF226">
        <v>282467.44129928347</v>
      </c>
      <c r="AG226">
        <v>25.576068243575243</v>
      </c>
      <c r="AH226">
        <v>0.13026876662073889</v>
      </c>
      <c r="AI226">
        <v>71281.220528119433</v>
      </c>
      <c r="AJ226">
        <v>22.150385751464327</v>
      </c>
    </row>
    <row r="227" spans="1:36" x14ac:dyDescent="0.25">
      <c r="A227" t="s">
        <v>20</v>
      </c>
      <c r="B227" t="s">
        <v>53</v>
      </c>
      <c r="C227">
        <v>2023</v>
      </c>
      <c r="D227" t="str">
        <f t="shared" si="3"/>
        <v>MUS2023</v>
      </c>
      <c r="E227">
        <v>555.29999999999995</v>
      </c>
      <c r="F227">
        <v>189.49600000000001</v>
      </c>
      <c r="G227">
        <v>0.34124976396560669</v>
      </c>
      <c r="H227">
        <v>32939.36774602325</v>
      </c>
      <c r="I227">
        <v>28908.571871203807</v>
      </c>
      <c r="J227">
        <v>103112.3199052932</v>
      </c>
      <c r="K227">
        <v>4.4832661747932434E-2</v>
      </c>
      <c r="L227">
        <v>0.20361933892814299</v>
      </c>
      <c r="M227">
        <v>-1.4413904398679733E-2</v>
      </c>
      <c r="N227">
        <v>-6.5056085586547852E-2</v>
      </c>
      <c r="O227">
        <v>0</v>
      </c>
      <c r="P227">
        <v>0</v>
      </c>
      <c r="Q227">
        <v>0.59207278490066528</v>
      </c>
      <c r="R227">
        <v>0.18798030912876129</v>
      </c>
      <c r="S227">
        <v>0.8084443211555481</v>
      </c>
      <c r="T227">
        <v>1.5314213037490845</v>
      </c>
      <c r="AE227">
        <v>4.5173671606096366E-2</v>
      </c>
      <c r="AF227">
        <v>252926.09613122648</v>
      </c>
      <c r="AG227">
        <v>22.901241521777219</v>
      </c>
      <c r="AH227">
        <v>0.13968763096947767</v>
      </c>
      <c r="AI227">
        <v>63357.076362396394</v>
      </c>
      <c r="AJ227">
        <v>19.68798613596196</v>
      </c>
    </row>
    <row r="228" spans="1:36" x14ac:dyDescent="0.25">
      <c r="A228" t="s">
        <v>21</v>
      </c>
      <c r="B228" t="s">
        <v>54</v>
      </c>
      <c r="C228">
        <v>2015</v>
      </c>
      <c r="D228" t="str">
        <f t="shared" si="3"/>
        <v>MOZ2015</v>
      </c>
      <c r="E228">
        <v>9830.616</v>
      </c>
      <c r="F228">
        <v>9051.2070000000003</v>
      </c>
      <c r="G228">
        <v>0.92071616649627686</v>
      </c>
      <c r="H228">
        <v>33689.96484375</v>
      </c>
      <c r="I228">
        <v>28614.6875</v>
      </c>
      <c r="J228">
        <v>77919.46875</v>
      </c>
      <c r="K228">
        <v>5.4626874625682831E-2</v>
      </c>
      <c r="L228">
        <v>0.22293905913829803</v>
      </c>
      <c r="M228">
        <v>3.5333085805177689E-2</v>
      </c>
      <c r="N228">
        <v>6.7232787609100342E-2</v>
      </c>
      <c r="O228">
        <v>0</v>
      </c>
      <c r="P228">
        <v>0</v>
      </c>
      <c r="Q228">
        <v>0.89988386631011963</v>
      </c>
      <c r="R228">
        <v>0.18139529228210449</v>
      </c>
      <c r="S228">
        <v>1.1400411128997803</v>
      </c>
      <c r="T228">
        <v>0.49971505999565125</v>
      </c>
      <c r="U228">
        <v>29452.484375</v>
      </c>
      <c r="V228">
        <v>692.79864501953125</v>
      </c>
      <c r="W228">
        <v>17203.533203125</v>
      </c>
      <c r="X228">
        <v>648.5506591796875</v>
      </c>
      <c r="Y228">
        <v>601</v>
      </c>
      <c r="Z228">
        <v>474</v>
      </c>
      <c r="AA228">
        <v>252</v>
      </c>
      <c r="AB228">
        <v>438</v>
      </c>
      <c r="AD228">
        <v>2018</v>
      </c>
      <c r="AE228">
        <v>0.21455628666415427</v>
      </c>
      <c r="AF228">
        <v>1211.405111583894</v>
      </c>
      <c r="AG228">
        <v>2093835.3237261493</v>
      </c>
      <c r="AH228">
        <v>0.30448886890336729</v>
      </c>
      <c r="AI228">
        <v>707.59559004328878</v>
      </c>
      <c r="AJ228">
        <v>1960105.2761557077</v>
      </c>
    </row>
    <row r="229" spans="1:36" x14ac:dyDescent="0.25">
      <c r="A229" t="s">
        <v>22</v>
      </c>
      <c r="B229" t="s">
        <v>55</v>
      </c>
      <c r="C229">
        <v>2015</v>
      </c>
      <c r="D229" t="str">
        <f t="shared" si="3"/>
        <v>MMR2015</v>
      </c>
      <c r="E229">
        <v>21791.334999999999</v>
      </c>
      <c r="F229">
        <v>15326.612999999999</v>
      </c>
      <c r="G229">
        <v>0.7033352255821228</v>
      </c>
      <c r="H229">
        <v>225959.34375</v>
      </c>
      <c r="I229">
        <v>177138.359375</v>
      </c>
      <c r="J229">
        <v>529216.1875</v>
      </c>
      <c r="K229">
        <v>7.4392624199390411E-2</v>
      </c>
      <c r="L229">
        <v>0.26776623725891113</v>
      </c>
      <c r="M229">
        <v>3.3757347613573074E-2</v>
      </c>
      <c r="N229">
        <v>6.4085610210895538E-2</v>
      </c>
      <c r="O229">
        <v>0</v>
      </c>
      <c r="P229">
        <v>0</v>
      </c>
      <c r="Q229">
        <v>0.74002093076705933</v>
      </c>
      <c r="R229">
        <v>0.23368352651596069</v>
      </c>
      <c r="S229">
        <v>0.96021586656570435</v>
      </c>
      <c r="T229">
        <v>1.0805881023406982</v>
      </c>
      <c r="U229">
        <v>9610.083984375</v>
      </c>
      <c r="V229">
        <v>7310.11181640625</v>
      </c>
      <c r="W229">
        <v>4782.47607421875</v>
      </c>
      <c r="X229">
        <v>7321.947265625</v>
      </c>
      <c r="Y229">
        <v>540</v>
      </c>
      <c r="Z229">
        <v>276</v>
      </c>
      <c r="AA229">
        <v>266</v>
      </c>
      <c r="AB229">
        <v>270</v>
      </c>
      <c r="AD229">
        <v>2014</v>
      </c>
      <c r="AE229">
        <v>0.64329087649650374</v>
      </c>
      <c r="AF229">
        <v>1032.0664585720112</v>
      </c>
      <c r="AG229">
        <v>1926.9149533699472</v>
      </c>
      <c r="AH229">
        <v>0.78400304798910958</v>
      </c>
      <c r="AI229">
        <v>513.60978251069116</v>
      </c>
      <c r="AJ229">
        <v>1930.0347283682279</v>
      </c>
    </row>
    <row r="230" spans="1:36" x14ac:dyDescent="0.25">
      <c r="A230" t="s">
        <v>22</v>
      </c>
      <c r="B230" t="s">
        <v>55</v>
      </c>
      <c r="C230">
        <v>2016</v>
      </c>
      <c r="D230" t="str">
        <f t="shared" si="3"/>
        <v>MMR2016</v>
      </c>
      <c r="E230">
        <v>22028.86950000003</v>
      </c>
      <c r="F230">
        <v>14488.206499999855</v>
      </c>
      <c r="G230">
        <v>0.65769177675247192</v>
      </c>
      <c r="H230">
        <v>238952.140625</v>
      </c>
      <c r="I230">
        <v>184289.703125</v>
      </c>
      <c r="J230">
        <v>600242.1875</v>
      </c>
      <c r="K230">
        <v>7.3738440871238708E-2</v>
      </c>
      <c r="L230">
        <v>0.24285852909088135</v>
      </c>
      <c r="M230">
        <v>4.0371514856815338E-2</v>
      </c>
      <c r="N230">
        <v>5.7500597089529037E-2</v>
      </c>
      <c r="O230">
        <v>1</v>
      </c>
      <c r="P230">
        <v>1</v>
      </c>
      <c r="Q230">
        <v>0.74002093076705933</v>
      </c>
      <c r="R230">
        <v>0.23368352651596069</v>
      </c>
      <c r="S230">
        <v>0.96021586656570435</v>
      </c>
      <c r="T230">
        <v>1.0805881023406982</v>
      </c>
      <c r="AE230">
        <v>0.59520654150474328</v>
      </c>
      <c r="AF230">
        <v>1073.1218715266559</v>
      </c>
      <c r="AG230">
        <v>2003.5672740436971</v>
      </c>
      <c r="AH230">
        <v>0.74743973775769823</v>
      </c>
      <c r="AI230">
        <v>550.26615057232141</v>
      </c>
      <c r="AJ230">
        <v>2067.7814492911721</v>
      </c>
    </row>
    <row r="231" spans="1:36" x14ac:dyDescent="0.25">
      <c r="A231" t="s">
        <v>22</v>
      </c>
      <c r="B231" t="s">
        <v>55</v>
      </c>
      <c r="C231">
        <v>2017</v>
      </c>
      <c r="D231" t="str">
        <f t="shared" si="3"/>
        <v>MMR2017</v>
      </c>
      <c r="E231">
        <v>22266.403999999999</v>
      </c>
      <c r="F231">
        <v>13649.8</v>
      </c>
      <c r="G231">
        <v>0.61302220821380615</v>
      </c>
      <c r="H231">
        <v>254256.984375</v>
      </c>
      <c r="I231">
        <v>192564.09375</v>
      </c>
      <c r="J231">
        <v>669409.6875</v>
      </c>
      <c r="K231">
        <v>7.2837457060813904E-2</v>
      </c>
      <c r="L231">
        <v>0.22287605702877045</v>
      </c>
      <c r="M231">
        <v>4.4898822903633118E-2</v>
      </c>
      <c r="N231">
        <v>6.404983252286911E-2</v>
      </c>
      <c r="O231">
        <v>0</v>
      </c>
      <c r="P231">
        <v>0</v>
      </c>
      <c r="Q231">
        <v>0.74002093076705933</v>
      </c>
      <c r="R231">
        <v>0.23368352651596069</v>
      </c>
      <c r="S231">
        <v>0.96021586656570435</v>
      </c>
      <c r="T231">
        <v>1.0805881023406982</v>
      </c>
      <c r="AE231">
        <v>0.54907317145545986</v>
      </c>
      <c r="AF231">
        <v>1123.435579264177</v>
      </c>
      <c r="AG231">
        <v>2097.5052515776797</v>
      </c>
      <c r="AH231">
        <v>0.71020891686534338</v>
      </c>
      <c r="AI231">
        <v>593.36145986357928</v>
      </c>
      <c r="AJ231">
        <v>2229.7243218651893</v>
      </c>
    </row>
    <row r="232" spans="1:36" x14ac:dyDescent="0.25">
      <c r="A232" t="s">
        <v>22</v>
      </c>
      <c r="B232" t="s">
        <v>55</v>
      </c>
      <c r="C232">
        <v>2018</v>
      </c>
      <c r="D232" t="str">
        <f t="shared" si="3"/>
        <v>MMR2018</v>
      </c>
      <c r="E232">
        <v>22883.293000000001</v>
      </c>
      <c r="F232">
        <v>13742.963</v>
      </c>
      <c r="G232">
        <v>0.6005675196647644</v>
      </c>
      <c r="H232">
        <v>271420.5</v>
      </c>
      <c r="I232">
        <v>195293.640625</v>
      </c>
      <c r="J232">
        <v>737753.25</v>
      </c>
      <c r="K232">
        <v>7.1289025247097015E-2</v>
      </c>
      <c r="L232">
        <v>0.22635927796363831</v>
      </c>
      <c r="M232">
        <v>1.4174744486808777E-2</v>
      </c>
      <c r="N232">
        <v>6.7504599690437317E-2</v>
      </c>
      <c r="O232">
        <v>0</v>
      </c>
      <c r="P232">
        <v>0</v>
      </c>
      <c r="Q232">
        <v>0.74002093076705933</v>
      </c>
      <c r="R232">
        <v>0.23368352651596069</v>
      </c>
      <c r="S232">
        <v>0.96021586656570435</v>
      </c>
      <c r="T232">
        <v>1.0805881023406982</v>
      </c>
      <c r="AE232">
        <v>0.53441909114542341</v>
      </c>
      <c r="AF232">
        <v>1158.7173646981203</v>
      </c>
      <c r="AG232">
        <v>2163.377947439069</v>
      </c>
      <c r="AH232">
        <v>0.69791033111763845</v>
      </c>
      <c r="AI232">
        <v>617.88896961402895</v>
      </c>
      <c r="AJ232">
        <v>2321.8934105989556</v>
      </c>
    </row>
    <row r="233" spans="1:36" x14ac:dyDescent="0.25">
      <c r="A233" t="s">
        <v>22</v>
      </c>
      <c r="B233" t="s">
        <v>55</v>
      </c>
      <c r="C233">
        <v>2019</v>
      </c>
      <c r="D233" t="str">
        <f t="shared" si="3"/>
        <v>MMR2019</v>
      </c>
      <c r="E233">
        <v>22436.305</v>
      </c>
      <c r="F233">
        <v>13779.931</v>
      </c>
      <c r="G233">
        <v>0.61418002843856812</v>
      </c>
      <c r="H233">
        <v>279259</v>
      </c>
      <c r="I233">
        <v>201940.5625</v>
      </c>
      <c r="J233">
        <v>806089.375</v>
      </c>
      <c r="K233">
        <v>6.9257840514183044E-2</v>
      </c>
      <c r="L233">
        <v>0.22197440266609192</v>
      </c>
      <c r="M233">
        <v>3.4035526216030121E-2</v>
      </c>
      <c r="N233">
        <v>2.8879543766379356E-2</v>
      </c>
      <c r="O233">
        <v>0</v>
      </c>
      <c r="P233">
        <v>0</v>
      </c>
      <c r="Q233">
        <v>0.74002093076705933</v>
      </c>
      <c r="R233">
        <v>0.23368352651596069</v>
      </c>
      <c r="S233">
        <v>0.96021586656570435</v>
      </c>
      <c r="T233">
        <v>1.0805881023406982</v>
      </c>
      <c r="AE233">
        <v>0.54000280434866377</v>
      </c>
      <c r="AF233">
        <v>1201.1449344179316</v>
      </c>
      <c r="AG233">
        <v>2242.5921471150932</v>
      </c>
      <c r="AH233">
        <v>0.7026243464638785</v>
      </c>
      <c r="AI233">
        <v>638.1721640401779</v>
      </c>
      <c r="AJ233">
        <v>2398.1132782450659</v>
      </c>
    </row>
    <row r="234" spans="1:36" x14ac:dyDescent="0.25">
      <c r="A234" t="s">
        <v>23</v>
      </c>
      <c r="B234" t="s">
        <v>56</v>
      </c>
      <c r="C234">
        <v>2008</v>
      </c>
      <c r="D234" t="str">
        <f t="shared" si="3"/>
        <v>NPL2008</v>
      </c>
      <c r="E234">
        <v>12233.367</v>
      </c>
      <c r="F234">
        <v>11124.53</v>
      </c>
      <c r="G234">
        <v>0.9093596339225769</v>
      </c>
      <c r="H234">
        <v>61457.578125</v>
      </c>
      <c r="I234">
        <v>49981.0078125</v>
      </c>
      <c r="J234">
        <v>179112.875</v>
      </c>
      <c r="K234">
        <v>3.375624492764473E-2</v>
      </c>
      <c r="L234">
        <v>9.9590271711349487E-2</v>
      </c>
      <c r="M234">
        <v>1.4815673232078552E-2</v>
      </c>
      <c r="N234">
        <v>6.1046414077281952E-2</v>
      </c>
      <c r="O234">
        <v>0</v>
      </c>
      <c r="P234">
        <v>0</v>
      </c>
      <c r="Q234">
        <v>2.1453700065612793</v>
      </c>
      <c r="R234">
        <v>0.26009202003479004</v>
      </c>
      <c r="S234">
        <v>2.021841287612915</v>
      </c>
      <c r="T234">
        <v>0.76224261522293091</v>
      </c>
      <c r="AE234">
        <v>0.68262516209243118</v>
      </c>
      <c r="AF234">
        <v>2.7854114313740219E-6</v>
      </c>
      <c r="AG234">
        <v>200377.68028468546</v>
      </c>
      <c r="AH234">
        <v>0.90811673794363523</v>
      </c>
      <c r="AI234">
        <v>5.3271647407747889E-7</v>
      </c>
      <c r="AJ234">
        <v>176096.85227435143</v>
      </c>
    </row>
    <row r="235" spans="1:36" x14ac:dyDescent="0.25">
      <c r="A235" t="s">
        <v>23</v>
      </c>
      <c r="B235" t="s">
        <v>56</v>
      </c>
      <c r="C235">
        <v>2009</v>
      </c>
      <c r="D235" t="str">
        <f t="shared" si="3"/>
        <v>NPL2009</v>
      </c>
      <c r="E235">
        <v>11696.043666666839</v>
      </c>
      <c r="F235">
        <v>10374.861000000034</v>
      </c>
      <c r="G235">
        <v>0.88704019784927368</v>
      </c>
      <c r="H235">
        <v>64243.5</v>
      </c>
      <c r="I235">
        <v>53042.0546875</v>
      </c>
      <c r="J235">
        <v>187334</v>
      </c>
      <c r="K235">
        <v>3.4475937485694885E-2</v>
      </c>
      <c r="L235">
        <v>9.2167928814888E-2</v>
      </c>
      <c r="M235">
        <v>6.124420091509819E-2</v>
      </c>
      <c r="N235">
        <v>4.533081129193306E-2</v>
      </c>
      <c r="O235">
        <v>1</v>
      </c>
      <c r="P235">
        <v>1</v>
      </c>
      <c r="Q235">
        <v>2.1453700065612793</v>
      </c>
      <c r="R235">
        <v>0.26009202003479004</v>
      </c>
      <c r="S235">
        <v>2.021841287612915</v>
      </c>
      <c r="T235">
        <v>0.76224261522293091</v>
      </c>
      <c r="U235">
        <v>23231.40625</v>
      </c>
      <c r="V235">
        <v>4094.95361328125</v>
      </c>
      <c r="W235">
        <v>4971.10302734375</v>
      </c>
      <c r="X235">
        <v>4026.444580078125</v>
      </c>
      <c r="Y235">
        <v>363</v>
      </c>
      <c r="Z235">
        <v>120</v>
      </c>
      <c r="AA235">
        <v>240</v>
      </c>
      <c r="AB235">
        <v>120</v>
      </c>
      <c r="AD235">
        <v>2009</v>
      </c>
      <c r="AE235">
        <v>0.5805687700796256</v>
      </c>
      <c r="AF235">
        <v>2.6508832178003622E-6</v>
      </c>
      <c r="AG235">
        <v>190699.95330148164</v>
      </c>
      <c r="AH235">
        <v>0.86413888704941488</v>
      </c>
      <c r="AI235">
        <v>5.672413218266597E-7</v>
      </c>
      <c r="AJ235">
        <v>187509.52169556729</v>
      </c>
    </row>
    <row r="236" spans="1:36" x14ac:dyDescent="0.25">
      <c r="A236" t="s">
        <v>23</v>
      </c>
      <c r="B236" t="s">
        <v>56</v>
      </c>
      <c r="C236">
        <v>2010</v>
      </c>
      <c r="D236" t="str">
        <f t="shared" si="3"/>
        <v>NPL2010</v>
      </c>
      <c r="E236">
        <v>11158.72033333336</v>
      </c>
      <c r="F236">
        <v>9625.1920000000391</v>
      </c>
      <c r="G236">
        <v>0.86257129907608032</v>
      </c>
      <c r="H236">
        <v>67337.734375</v>
      </c>
      <c r="I236">
        <v>56039.45703125</v>
      </c>
      <c r="J236">
        <v>197311.9375</v>
      </c>
      <c r="K236">
        <v>3.6154136061668396E-2</v>
      </c>
      <c r="L236">
        <v>8.1679686903953552E-2</v>
      </c>
      <c r="M236">
        <v>5.6509923189878464E-2</v>
      </c>
      <c r="N236">
        <v>4.8164162784814835E-2</v>
      </c>
      <c r="O236">
        <v>1</v>
      </c>
      <c r="P236">
        <v>1</v>
      </c>
      <c r="Q236">
        <v>2.1453700065612793</v>
      </c>
      <c r="R236">
        <v>0.26009202003479004</v>
      </c>
      <c r="S236">
        <v>2.021841287612915</v>
      </c>
      <c r="T236">
        <v>0.76224261522293091</v>
      </c>
      <c r="AE236">
        <v>0.48367777650406107</v>
      </c>
      <c r="AF236">
        <v>2.4510423022574784E-6</v>
      </c>
      <c r="AG236">
        <v>176323.74351379595</v>
      </c>
      <c r="AH236">
        <v>0.81148366346157663</v>
      </c>
      <c r="AI236">
        <v>5.911828686944919E-7</v>
      </c>
      <c r="AJ236">
        <v>195423.73356465794</v>
      </c>
    </row>
    <row r="237" spans="1:36" x14ac:dyDescent="0.25">
      <c r="A237" t="s">
        <v>23</v>
      </c>
      <c r="B237" t="s">
        <v>56</v>
      </c>
      <c r="C237">
        <v>2011</v>
      </c>
      <c r="D237" t="str">
        <f t="shared" si="3"/>
        <v>NPL2011</v>
      </c>
      <c r="E237">
        <v>10621.397000000114</v>
      </c>
      <c r="F237">
        <v>8875.5230000000447</v>
      </c>
      <c r="G237">
        <v>0.83562672138214111</v>
      </c>
      <c r="H237">
        <v>69641.9140625</v>
      </c>
      <c r="I237">
        <v>57108.421875</v>
      </c>
      <c r="J237">
        <v>206584.21875</v>
      </c>
      <c r="K237">
        <v>3.7244219332933426E-2</v>
      </c>
      <c r="L237">
        <v>8.3067797124385834E-2</v>
      </c>
      <c r="M237">
        <v>1.9075218588113785E-2</v>
      </c>
      <c r="N237">
        <v>3.4218255430459976E-2</v>
      </c>
      <c r="O237">
        <v>1</v>
      </c>
      <c r="P237">
        <v>1</v>
      </c>
      <c r="Q237">
        <v>2.1453700065612793</v>
      </c>
      <c r="R237">
        <v>0.26009202003479004</v>
      </c>
      <c r="S237">
        <v>2.021841287612915</v>
      </c>
      <c r="T237">
        <v>0.76224261522293091</v>
      </c>
      <c r="AE237">
        <v>0.3971668125179712</v>
      </c>
      <c r="AF237">
        <v>2.2142290240382238E-6</v>
      </c>
      <c r="AG237">
        <v>159287.805908421</v>
      </c>
      <c r="AH237">
        <v>0.7517014793134974</v>
      </c>
      <c r="AI237">
        <v>6.0247964496788593E-7</v>
      </c>
      <c r="AJ237">
        <v>199158.04034771217</v>
      </c>
    </row>
    <row r="238" spans="1:36" x14ac:dyDescent="0.25">
      <c r="A238" t="s">
        <v>23</v>
      </c>
      <c r="B238" t="s">
        <v>56</v>
      </c>
      <c r="C238">
        <v>2012</v>
      </c>
      <c r="D238" t="str">
        <f t="shared" si="3"/>
        <v>NPL2012</v>
      </c>
      <c r="E238">
        <v>10084.073666666634</v>
      </c>
      <c r="F238">
        <v>8125.8540000000503</v>
      </c>
      <c r="G238">
        <v>0.80581063032150269</v>
      </c>
      <c r="H238">
        <v>72971.6328125</v>
      </c>
      <c r="I238">
        <v>66185.5546875</v>
      </c>
      <c r="J238">
        <v>214616.453125</v>
      </c>
      <c r="K238">
        <v>3.7439744919538498E-2</v>
      </c>
      <c r="L238">
        <v>0.10084599256515503</v>
      </c>
      <c r="M238">
        <v>0.15894560515880585</v>
      </c>
      <c r="N238">
        <v>4.7811992466449738E-2</v>
      </c>
      <c r="O238">
        <v>1</v>
      </c>
      <c r="P238">
        <v>1</v>
      </c>
      <c r="Q238">
        <v>2.1453700065612793</v>
      </c>
      <c r="R238">
        <v>0.26009202003479004</v>
      </c>
      <c r="S238">
        <v>2.021841287612915</v>
      </c>
      <c r="T238">
        <v>0.76224261522293091</v>
      </c>
      <c r="AE238">
        <v>0.32284740171035009</v>
      </c>
      <c r="AF238">
        <v>2.0171730146351998E-6</v>
      </c>
      <c r="AG238">
        <v>145111.9374512225</v>
      </c>
      <c r="AH238">
        <v>0.68660070059707901</v>
      </c>
      <c r="AI238">
        <v>6.167334191510831E-7</v>
      </c>
      <c r="AJ238">
        <v>203869.82398653647</v>
      </c>
    </row>
    <row r="239" spans="1:36" x14ac:dyDescent="0.25">
      <c r="A239" t="s">
        <v>23</v>
      </c>
      <c r="B239" t="s">
        <v>56</v>
      </c>
      <c r="C239">
        <v>2013</v>
      </c>
      <c r="D239" t="str">
        <f t="shared" si="3"/>
        <v>NPL2013</v>
      </c>
      <c r="E239">
        <v>9546.750333333388</v>
      </c>
      <c r="F239">
        <v>7376.1850000000559</v>
      </c>
      <c r="G239">
        <v>0.77263832092285156</v>
      </c>
      <c r="H239">
        <v>75984.5390625</v>
      </c>
      <c r="I239">
        <v>67200.2890625</v>
      </c>
      <c r="J239">
        <v>224883.796875</v>
      </c>
      <c r="K239">
        <v>3.7628296762704849E-2</v>
      </c>
      <c r="L239">
        <v>8.9705228805541992E-2</v>
      </c>
      <c r="M239">
        <v>1.5331659466028214E-2</v>
      </c>
      <c r="N239">
        <v>4.128873348236084E-2</v>
      </c>
      <c r="O239">
        <v>1</v>
      </c>
      <c r="P239">
        <v>1</v>
      </c>
      <c r="Q239">
        <v>2.1453700065612793</v>
      </c>
      <c r="R239">
        <v>0.26009202003479004</v>
      </c>
      <c r="S239">
        <v>2.021841287612915</v>
      </c>
      <c r="T239">
        <v>0.76224261522293091</v>
      </c>
      <c r="AE239">
        <v>0.2597012258915784</v>
      </c>
      <c r="AF239">
        <v>1.8190036871957705E-6</v>
      </c>
      <c r="AG239">
        <v>130855.97882025604</v>
      </c>
      <c r="AH239">
        <v>0.61715019705934715</v>
      </c>
      <c r="AI239">
        <v>6.2143804514852568E-7</v>
      </c>
      <c r="AJ239">
        <v>205425.00365450603</v>
      </c>
    </row>
    <row r="240" spans="1:36" x14ac:dyDescent="0.25">
      <c r="A240" t="s">
        <v>23</v>
      </c>
      <c r="B240" t="s">
        <v>56</v>
      </c>
      <c r="C240">
        <v>2014</v>
      </c>
      <c r="D240" t="str">
        <f t="shared" si="3"/>
        <v>NPL2014</v>
      </c>
      <c r="E240">
        <v>9009.4270000001416</v>
      </c>
      <c r="F240">
        <v>6626.5160000000615</v>
      </c>
      <c r="G240">
        <v>0.73550915718078613</v>
      </c>
      <c r="H240">
        <v>80535.1953125</v>
      </c>
      <c r="I240">
        <v>70456.96875</v>
      </c>
      <c r="J240">
        <v>236824.0625</v>
      </c>
      <c r="K240">
        <v>3.7953682243824005E-2</v>
      </c>
      <c r="L240">
        <v>8.8857695460319519E-2</v>
      </c>
      <c r="M240">
        <v>4.8462286591529846E-2</v>
      </c>
      <c r="N240">
        <v>5.9889238327741623E-2</v>
      </c>
      <c r="O240">
        <v>1</v>
      </c>
      <c r="P240">
        <v>1</v>
      </c>
      <c r="Q240">
        <v>2.1453700065612793</v>
      </c>
      <c r="R240">
        <v>0.26009202003479004</v>
      </c>
      <c r="S240">
        <v>2.021841287612915</v>
      </c>
      <c r="T240">
        <v>0.76224261522293091</v>
      </c>
      <c r="AE240">
        <v>0.20703171422332292</v>
      </c>
      <c r="AF240">
        <v>1.667772099291095E-6</v>
      </c>
      <c r="AG240">
        <v>119976.63998047827</v>
      </c>
      <c r="AH240">
        <v>0.54539476608437265</v>
      </c>
      <c r="AI240">
        <v>6.3162335171317063E-7</v>
      </c>
      <c r="AJ240">
        <v>208791.8986404163</v>
      </c>
    </row>
    <row r="241" spans="1:36" x14ac:dyDescent="0.25">
      <c r="A241" t="s">
        <v>23</v>
      </c>
      <c r="B241" t="s">
        <v>56</v>
      </c>
      <c r="C241">
        <v>2015</v>
      </c>
      <c r="D241" t="str">
        <f t="shared" si="3"/>
        <v>NPL2015</v>
      </c>
      <c r="E241">
        <v>8472.1036666666623</v>
      </c>
      <c r="F241">
        <v>5876.8470000000671</v>
      </c>
      <c r="G241">
        <v>0.69367033243179321</v>
      </c>
      <c r="H241">
        <v>83211.3515625</v>
      </c>
      <c r="I241">
        <v>72846.5703125</v>
      </c>
      <c r="J241">
        <v>252279.4375</v>
      </c>
      <c r="K241">
        <v>3.8464941084384918E-2</v>
      </c>
      <c r="L241">
        <v>9.5581300556659698E-2</v>
      </c>
      <c r="M241">
        <v>3.391575813293457E-2</v>
      </c>
      <c r="N241">
        <v>3.3229649066925049E-2</v>
      </c>
      <c r="O241">
        <v>1</v>
      </c>
      <c r="P241">
        <v>1</v>
      </c>
      <c r="Q241">
        <v>2.1453700065612793</v>
      </c>
      <c r="R241">
        <v>0.26009202003479004</v>
      </c>
      <c r="S241">
        <v>2.021841287612915</v>
      </c>
      <c r="T241">
        <v>0.76224261522293091</v>
      </c>
      <c r="AE241">
        <v>0.16328280567376238</v>
      </c>
      <c r="AF241">
        <v>1.4892963693229869E-6</v>
      </c>
      <c r="AG241">
        <v>107137.40468643626</v>
      </c>
      <c r="AH241">
        <v>0.47277426956576357</v>
      </c>
      <c r="AI241">
        <v>6.1992891714474338E-7</v>
      </c>
      <c r="AJ241">
        <v>204926.14036779173</v>
      </c>
    </row>
    <row r="242" spans="1:36" x14ac:dyDescent="0.25">
      <c r="A242" t="s">
        <v>23</v>
      </c>
      <c r="B242" t="s">
        <v>56</v>
      </c>
      <c r="C242">
        <v>2016</v>
      </c>
      <c r="D242" t="str">
        <f t="shared" si="3"/>
        <v>NPL2016</v>
      </c>
      <c r="E242">
        <v>7934.7803333334159</v>
      </c>
      <c r="F242">
        <v>5127.1780000000726</v>
      </c>
      <c r="G242">
        <v>0.64616507291793823</v>
      </c>
      <c r="H242">
        <v>83701.171875</v>
      </c>
      <c r="I242">
        <v>72333.8984375</v>
      </c>
      <c r="J242">
        <v>264224.6875</v>
      </c>
      <c r="K242">
        <v>3.8856483995914459E-2</v>
      </c>
      <c r="L242">
        <v>8.9833162724971771E-2</v>
      </c>
      <c r="M242">
        <v>-7.0376941002905369E-3</v>
      </c>
      <c r="N242">
        <v>5.8864601887762547E-3</v>
      </c>
      <c r="O242">
        <v>1</v>
      </c>
      <c r="P242">
        <v>1</v>
      </c>
      <c r="Q242">
        <v>2.1453700065612793</v>
      </c>
      <c r="R242">
        <v>0.26009202003479004</v>
      </c>
      <c r="S242">
        <v>2.021841287612915</v>
      </c>
      <c r="T242">
        <v>0.76224261522293091</v>
      </c>
      <c r="AE242">
        <v>0.12799790602770061</v>
      </c>
      <c r="AF242">
        <v>1.3030694600606442E-6</v>
      </c>
      <c r="AG242">
        <v>93740.56296163323</v>
      </c>
      <c r="AH242">
        <v>0.40280617529906748</v>
      </c>
      <c r="AI242">
        <v>5.8953311818432453E-7</v>
      </c>
      <c r="AJ242">
        <v>194878.38554931528</v>
      </c>
    </row>
    <row r="243" spans="1:36" x14ac:dyDescent="0.25">
      <c r="A243" t="s">
        <v>23</v>
      </c>
      <c r="B243" t="s">
        <v>56</v>
      </c>
      <c r="C243">
        <v>2017</v>
      </c>
      <c r="D243" t="str">
        <f t="shared" si="3"/>
        <v>NPL2017</v>
      </c>
      <c r="E243">
        <v>7397.4570000000003</v>
      </c>
      <c r="F243">
        <v>4377.509</v>
      </c>
      <c r="G243">
        <v>0.5917586088180542</v>
      </c>
      <c r="H243">
        <v>90584.3203125</v>
      </c>
      <c r="I243">
        <v>74909.8203125</v>
      </c>
      <c r="J243">
        <v>284916.90625</v>
      </c>
      <c r="K243">
        <v>3.9368011057376862E-2</v>
      </c>
      <c r="L243">
        <v>8.8446371257305145E-2</v>
      </c>
      <c r="M243">
        <v>3.561154380440712E-2</v>
      </c>
      <c r="N243">
        <v>8.2234792411327362E-2</v>
      </c>
      <c r="O243">
        <v>0</v>
      </c>
      <c r="P243">
        <v>0</v>
      </c>
      <c r="Q243">
        <v>2.1453700065612793</v>
      </c>
      <c r="R243">
        <v>0.26009202003479004</v>
      </c>
      <c r="S243">
        <v>2.021841287612915</v>
      </c>
      <c r="T243">
        <v>0.76224261522293091</v>
      </c>
      <c r="AE243">
        <v>9.8385246541259325E-2</v>
      </c>
      <c r="AF243">
        <v>1.2227710674843944E-6</v>
      </c>
      <c r="AG243">
        <v>87964.035496503639</v>
      </c>
      <c r="AH243">
        <v>0.33396527688302974</v>
      </c>
      <c r="AI243">
        <v>5.9671077004252522E-7</v>
      </c>
      <c r="AJ243">
        <v>197251.05836957888</v>
      </c>
    </row>
    <row r="244" spans="1:36" x14ac:dyDescent="0.25">
      <c r="A244" t="s">
        <v>24</v>
      </c>
      <c r="B244" t="s">
        <v>57</v>
      </c>
      <c r="C244">
        <v>2011</v>
      </c>
      <c r="D244" t="str">
        <f t="shared" si="3"/>
        <v>NER2011</v>
      </c>
      <c r="E244">
        <v>6174.4229999999998</v>
      </c>
      <c r="F244">
        <v>5791.8059999999996</v>
      </c>
      <c r="G244">
        <v>0.93803197145462036</v>
      </c>
      <c r="H244">
        <v>16627.841796875</v>
      </c>
      <c r="I244">
        <v>15742.79296875</v>
      </c>
      <c r="J244">
        <v>86113.2578125</v>
      </c>
      <c r="K244">
        <v>3.8243111222982407E-2</v>
      </c>
      <c r="L244">
        <v>0.15529832243919373</v>
      </c>
      <c r="M244">
        <v>5.4401353001594543E-2</v>
      </c>
      <c r="N244">
        <v>2.2782823070883751E-2</v>
      </c>
      <c r="O244">
        <v>0</v>
      </c>
      <c r="P244">
        <v>0</v>
      </c>
      <c r="Q244">
        <v>1.0236655473709106</v>
      </c>
      <c r="R244">
        <v>0.27816972136497498</v>
      </c>
      <c r="S244">
        <v>4.2042951583862305</v>
      </c>
      <c r="T244">
        <v>0.44443684816360474</v>
      </c>
      <c r="U244">
        <v>184014.5625</v>
      </c>
      <c r="V244">
        <v>1953.2288818359375</v>
      </c>
      <c r="W244">
        <v>14754.251953125</v>
      </c>
      <c r="X244">
        <v>1435.6986083984375</v>
      </c>
      <c r="Y244">
        <v>137</v>
      </c>
      <c r="Z244">
        <v>108</v>
      </c>
      <c r="AA244">
        <v>35</v>
      </c>
      <c r="AB244">
        <v>93</v>
      </c>
      <c r="AD244">
        <v>2009</v>
      </c>
      <c r="AE244">
        <v>0.13843303123864423</v>
      </c>
      <c r="AF244">
        <v>123.28993990143761</v>
      </c>
      <c r="AG244">
        <v>11166662.806075137</v>
      </c>
      <c r="AH244">
        <v>0.59562899763315358</v>
      </c>
      <c r="AI244">
        <v>9.8853634836180415</v>
      </c>
      <c r="AJ244">
        <v>8207928.1134054409</v>
      </c>
    </row>
    <row r="245" spans="1:36" x14ac:dyDescent="0.25">
      <c r="A245" t="s">
        <v>24</v>
      </c>
      <c r="B245" t="s">
        <v>57</v>
      </c>
      <c r="C245">
        <v>2012</v>
      </c>
      <c r="D245" t="str">
        <f t="shared" si="3"/>
        <v>NER2012</v>
      </c>
      <c r="E245">
        <v>6189.0730000000003</v>
      </c>
      <c r="F245">
        <v>5732.5202923384904</v>
      </c>
      <c r="G245">
        <v>0.92623245716094971</v>
      </c>
      <c r="H245">
        <v>18598.2109375</v>
      </c>
      <c r="I245">
        <v>16388.125</v>
      </c>
      <c r="J245">
        <v>89770.0703125</v>
      </c>
      <c r="K245">
        <v>4.0133114904165268E-2</v>
      </c>
      <c r="L245">
        <v>0.13022021949291229</v>
      </c>
      <c r="M245">
        <v>4.0992219001054764E-2</v>
      </c>
      <c r="N245">
        <v>0.11849819123744965</v>
      </c>
      <c r="O245">
        <v>1</v>
      </c>
      <c r="P245">
        <v>0</v>
      </c>
      <c r="Q245">
        <v>1.0236655473709106</v>
      </c>
      <c r="R245">
        <v>0.27816972136497498</v>
      </c>
      <c r="S245">
        <v>4.2042951583862305</v>
      </c>
      <c r="T245">
        <v>0.44443684816360474</v>
      </c>
      <c r="AE245">
        <v>0.11656608673266038</v>
      </c>
      <c r="AF245">
        <v>116.64908577920158</v>
      </c>
      <c r="AG245">
        <v>10565184.868892048</v>
      </c>
      <c r="AH245">
        <v>0.5474302614045381</v>
      </c>
      <c r="AI245">
        <v>10.208614906138592</v>
      </c>
      <c r="AJ245">
        <v>8476327.3931083716</v>
      </c>
    </row>
    <row r="246" spans="1:36" x14ac:dyDescent="0.25">
      <c r="A246" t="s">
        <v>24</v>
      </c>
      <c r="B246" t="s">
        <v>57</v>
      </c>
      <c r="C246">
        <v>2013</v>
      </c>
      <c r="D246" t="str">
        <f t="shared" si="3"/>
        <v>NER2013</v>
      </c>
      <c r="E246">
        <v>6203.7230000000018</v>
      </c>
      <c r="F246">
        <v>5630.9042649075272</v>
      </c>
      <c r="G246">
        <v>0.90766531229019165</v>
      </c>
      <c r="H246">
        <v>19578.037109375</v>
      </c>
      <c r="I246">
        <v>17065.51171875</v>
      </c>
      <c r="J246">
        <v>93624.9609375</v>
      </c>
      <c r="K246">
        <v>4.1623197495937347E-2</v>
      </c>
      <c r="L246">
        <v>0.12927287817001343</v>
      </c>
      <c r="M246">
        <v>4.1333995759487152E-2</v>
      </c>
      <c r="N246">
        <v>5.2683893591165543E-2</v>
      </c>
      <c r="O246">
        <v>1</v>
      </c>
      <c r="P246">
        <v>1</v>
      </c>
      <c r="Q246">
        <v>1.0236655473709106</v>
      </c>
      <c r="R246">
        <v>0.27816972136497498</v>
      </c>
      <c r="S246">
        <v>4.2042951583862305</v>
      </c>
      <c r="T246">
        <v>0.44443684816360474</v>
      </c>
      <c r="AE246">
        <v>9.3025829759829287E-2</v>
      </c>
      <c r="AF246">
        <v>98.778584239423594</v>
      </c>
      <c r="AG246">
        <v>8946611.0823391639</v>
      </c>
      <c r="AH246">
        <v>0.48460849878206308</v>
      </c>
      <c r="AI246">
        <v>9.5891291725730063</v>
      </c>
      <c r="AJ246">
        <v>7961961.4442170747</v>
      </c>
    </row>
    <row r="247" spans="1:36" x14ac:dyDescent="0.25">
      <c r="A247" t="s">
        <v>24</v>
      </c>
      <c r="B247" t="s">
        <v>57</v>
      </c>
      <c r="C247">
        <v>2014</v>
      </c>
      <c r="D247" t="str">
        <f t="shared" si="3"/>
        <v>NER2014</v>
      </c>
      <c r="E247">
        <v>6218.3729999999996</v>
      </c>
      <c r="F247">
        <v>5529.2882374765759</v>
      </c>
      <c r="G247">
        <v>0.88918566703796387</v>
      </c>
      <c r="H247">
        <v>21052.078125</v>
      </c>
      <c r="I247">
        <v>18334.564453125</v>
      </c>
      <c r="J247">
        <v>97996.3046875</v>
      </c>
      <c r="K247">
        <v>4.2896870523691177E-2</v>
      </c>
      <c r="L247">
        <v>0.14768193662166595</v>
      </c>
      <c r="M247">
        <v>7.4363589286804199E-2</v>
      </c>
      <c r="N247">
        <v>7.5290538370609283E-2</v>
      </c>
      <c r="O247">
        <v>0</v>
      </c>
      <c r="P247">
        <v>1</v>
      </c>
      <c r="Q247">
        <v>1.0236655473709106</v>
      </c>
      <c r="R247">
        <v>0.27816972136497498</v>
      </c>
      <c r="S247">
        <v>4.2042951583862305</v>
      </c>
      <c r="T247">
        <v>0.44443684816360474</v>
      </c>
      <c r="AE247">
        <v>7.676094061791805E-2</v>
      </c>
      <c r="AF247">
        <v>88.356879553000724</v>
      </c>
      <c r="AG247">
        <v>8002692.5258793905</v>
      </c>
      <c r="AH247">
        <v>0.43252882995216191</v>
      </c>
      <c r="AI247">
        <v>9.2777793606682746</v>
      </c>
      <c r="AJ247">
        <v>7703444.2052231459</v>
      </c>
    </row>
    <row r="248" spans="1:36" x14ac:dyDescent="0.25">
      <c r="A248" t="s">
        <v>24</v>
      </c>
      <c r="B248" t="s">
        <v>57</v>
      </c>
      <c r="C248">
        <v>2015</v>
      </c>
      <c r="D248" t="str">
        <f t="shared" si="3"/>
        <v>NER2015</v>
      </c>
      <c r="E248">
        <v>6474.0720000000438</v>
      </c>
      <c r="F248">
        <v>5427.6722100456245</v>
      </c>
      <c r="G248">
        <v>0.838370680809021</v>
      </c>
      <c r="H248">
        <v>21965.23828125</v>
      </c>
      <c r="I248">
        <v>19555.271484375</v>
      </c>
      <c r="J248">
        <v>103251.1484375</v>
      </c>
      <c r="K248">
        <v>4.3633315712213516E-2</v>
      </c>
      <c r="L248">
        <v>0.14185163378715515</v>
      </c>
      <c r="M248">
        <v>6.6579550504684448E-2</v>
      </c>
      <c r="N248">
        <v>4.3376248329877853E-2</v>
      </c>
      <c r="O248">
        <v>1</v>
      </c>
      <c r="P248">
        <v>1</v>
      </c>
      <c r="Q248">
        <v>1.0236655473709106</v>
      </c>
      <c r="R248">
        <v>0.27816972136497498</v>
      </c>
      <c r="S248">
        <v>4.2042951583862305</v>
      </c>
      <c r="T248">
        <v>0.44443684816360474</v>
      </c>
      <c r="AE248">
        <v>5.0325910513323691E-2</v>
      </c>
      <c r="AF248">
        <v>60.941463931804051</v>
      </c>
      <c r="AG248">
        <v>5519613.1913039461</v>
      </c>
      <c r="AH248">
        <v>0.32696427815897239</v>
      </c>
      <c r="AI248">
        <v>7.37820039538859</v>
      </c>
      <c r="AJ248">
        <v>6126202.4964492554</v>
      </c>
    </row>
    <row r="249" spans="1:36" x14ac:dyDescent="0.25">
      <c r="A249" t="s">
        <v>24</v>
      </c>
      <c r="B249" t="s">
        <v>57</v>
      </c>
      <c r="C249">
        <v>2016</v>
      </c>
      <c r="D249" t="str">
        <f t="shared" si="3"/>
        <v>NER2016</v>
      </c>
      <c r="E249">
        <v>6729.7710000000079</v>
      </c>
      <c r="F249">
        <v>5326.0561826146441</v>
      </c>
      <c r="G249">
        <v>0.79141712188720703</v>
      </c>
      <c r="H249">
        <v>23214.7421875</v>
      </c>
      <c r="I249">
        <v>20966.333984375</v>
      </c>
      <c r="J249">
        <v>106934.03125</v>
      </c>
      <c r="K249">
        <v>4.4257428497076035E-2</v>
      </c>
      <c r="L249">
        <v>0.12917982041835785</v>
      </c>
      <c r="M249">
        <v>7.215765118598938E-2</v>
      </c>
      <c r="N249">
        <v>5.6885514408349991E-2</v>
      </c>
      <c r="O249">
        <v>1</v>
      </c>
      <c r="P249">
        <v>1</v>
      </c>
      <c r="Q249">
        <v>1.0236655473709106</v>
      </c>
      <c r="R249">
        <v>0.27816972136497498</v>
      </c>
      <c r="S249">
        <v>4.2042951583862305</v>
      </c>
      <c r="T249">
        <v>0.44443684816360474</v>
      </c>
      <c r="AE249">
        <v>3.7095220755061442E-2</v>
      </c>
      <c r="AF249">
        <v>47.875687791593364</v>
      </c>
      <c r="AG249">
        <v>4336214.8006969495</v>
      </c>
      <c r="AH249">
        <v>0.26099275587434767</v>
      </c>
      <c r="AI249">
        <v>6.2770330790596995</v>
      </c>
      <c r="AJ249">
        <v>5211890.9298349032</v>
      </c>
    </row>
    <row r="250" spans="1:36" x14ac:dyDescent="0.25">
      <c r="A250" t="s">
        <v>24</v>
      </c>
      <c r="B250" t="s">
        <v>57</v>
      </c>
      <c r="C250">
        <v>2017</v>
      </c>
      <c r="D250" t="str">
        <f t="shared" si="3"/>
        <v>NER2017</v>
      </c>
      <c r="E250">
        <v>6985.4700000000303</v>
      </c>
      <c r="F250">
        <v>5224.4401551836954</v>
      </c>
      <c r="G250">
        <v>0.74790102243423462</v>
      </c>
      <c r="H250">
        <v>24374.998046875</v>
      </c>
      <c r="I250">
        <v>22168.703125</v>
      </c>
      <c r="J250">
        <v>111134.2265625</v>
      </c>
      <c r="K250">
        <v>4.5050553977489471E-2</v>
      </c>
      <c r="L250">
        <v>0.13052709400653839</v>
      </c>
      <c r="M250">
        <v>5.7347610592842102E-2</v>
      </c>
      <c r="N250">
        <v>4.9979269504547119E-2</v>
      </c>
      <c r="O250">
        <v>1</v>
      </c>
      <c r="P250">
        <v>0</v>
      </c>
      <c r="Q250">
        <v>1.0236655473709106</v>
      </c>
      <c r="R250">
        <v>0.27816972136497498</v>
      </c>
      <c r="S250">
        <v>4.2042951583862305</v>
      </c>
      <c r="T250">
        <v>0.44443684816360474</v>
      </c>
      <c r="AE250">
        <v>2.9088622143002653E-2</v>
      </c>
      <c r="AF250">
        <v>39.757502313456897</v>
      </c>
      <c r="AG250">
        <v>3600931.4523232132</v>
      </c>
      <c r="AH250">
        <v>0.21547445424292566</v>
      </c>
      <c r="AI250">
        <v>5.4880824819525644</v>
      </c>
      <c r="AJ250">
        <v>4556816.4050776633</v>
      </c>
    </row>
    <row r="251" spans="1:36" x14ac:dyDescent="0.25">
      <c r="A251" t="s">
        <v>24</v>
      </c>
      <c r="B251" t="s">
        <v>57</v>
      </c>
      <c r="C251">
        <v>2018</v>
      </c>
      <c r="D251" t="str">
        <f t="shared" si="3"/>
        <v>NER2018</v>
      </c>
      <c r="E251">
        <v>7241.1689999999944</v>
      </c>
      <c r="F251">
        <v>5996.3489241469651</v>
      </c>
      <c r="G251">
        <v>0.82809126377105713</v>
      </c>
      <c r="H251">
        <v>26082.36328125</v>
      </c>
      <c r="I251">
        <v>23534.587890625</v>
      </c>
      <c r="J251">
        <v>116115.0078125</v>
      </c>
      <c r="K251">
        <v>4.581635445356369E-2</v>
      </c>
      <c r="L251">
        <v>0.12910012900829315</v>
      </c>
      <c r="M251">
        <v>6.1613202095031738E-2</v>
      </c>
      <c r="N251">
        <v>7.004576176404953E-2</v>
      </c>
      <c r="O251">
        <v>1</v>
      </c>
      <c r="P251">
        <v>1</v>
      </c>
      <c r="Q251">
        <v>1.0236655473709106</v>
      </c>
      <c r="R251">
        <v>0.27816972136497498</v>
      </c>
      <c r="S251">
        <v>4.2042951583862305</v>
      </c>
      <c r="T251">
        <v>0.44443684816360474</v>
      </c>
      <c r="AE251">
        <v>4.2954011557123375E-2</v>
      </c>
      <c r="AF251">
        <v>59.088606811501336</v>
      </c>
      <c r="AG251">
        <v>5351795.5193446912</v>
      </c>
      <c r="AH251">
        <v>0.29150825457551294</v>
      </c>
      <c r="AI251">
        <v>7.4727383407663783</v>
      </c>
      <c r="AJ251">
        <v>6204698.4122479875</v>
      </c>
    </row>
    <row r="252" spans="1:36" x14ac:dyDescent="0.25">
      <c r="A252" t="s">
        <v>24</v>
      </c>
      <c r="B252" t="s">
        <v>57</v>
      </c>
      <c r="C252">
        <v>2019</v>
      </c>
      <c r="D252" t="str">
        <f t="shared" si="3"/>
        <v>NER2019</v>
      </c>
      <c r="E252">
        <v>7496.8680000000004</v>
      </c>
      <c r="F252">
        <v>6768.2576931102667</v>
      </c>
      <c r="G252">
        <v>0.90281134843826294</v>
      </c>
      <c r="H252">
        <v>27602.59765625</v>
      </c>
      <c r="I252">
        <v>24821.65234375</v>
      </c>
      <c r="J252">
        <v>121908.5703125</v>
      </c>
      <c r="K252">
        <v>4.6975944191217422E-2</v>
      </c>
      <c r="L252">
        <v>0.12325295805931091</v>
      </c>
      <c r="M252">
        <v>5.4688207805156708E-2</v>
      </c>
      <c r="N252">
        <v>5.8285914361476898E-2</v>
      </c>
      <c r="O252">
        <v>0</v>
      </c>
      <c r="P252">
        <v>1</v>
      </c>
      <c r="Q252">
        <v>1.0236655473709106</v>
      </c>
      <c r="R252">
        <v>0.27816972136497498</v>
      </c>
      <c r="S252">
        <v>4.2042951583862305</v>
      </c>
      <c r="T252">
        <v>0.44443684816360474</v>
      </c>
      <c r="AE252">
        <v>7.4801893105029549E-2</v>
      </c>
      <c r="AF252">
        <v>103.19120801458362</v>
      </c>
      <c r="AG252">
        <v>9346272.9024898931</v>
      </c>
      <c r="AH252">
        <v>0.42567644688399958</v>
      </c>
      <c r="AI252">
        <v>10.943056110847058</v>
      </c>
      <c r="AJ252">
        <v>9086142.1583175566</v>
      </c>
    </row>
    <row r="253" spans="1:36" x14ac:dyDescent="0.25">
      <c r="A253" t="s">
        <v>24</v>
      </c>
      <c r="B253" t="s">
        <v>57</v>
      </c>
      <c r="C253">
        <v>2020</v>
      </c>
      <c r="D253" t="str">
        <f t="shared" si="3"/>
        <v>NER2020</v>
      </c>
      <c r="E253">
        <v>8098.9186666668393</v>
      </c>
      <c r="F253">
        <v>7540.1664620735683</v>
      </c>
      <c r="G253">
        <v>0.93100905418395996</v>
      </c>
      <c r="H253">
        <v>26656.133969355869</v>
      </c>
      <c r="I253">
        <v>23576.658594966255</v>
      </c>
      <c r="J253">
        <v>125697.84680727139</v>
      </c>
      <c r="K253">
        <v>3.5984169691801071E-2</v>
      </c>
      <c r="L253">
        <v>0.12117305787836563</v>
      </c>
      <c r="M253">
        <v>-5.0157569348812103E-2</v>
      </c>
      <c r="N253">
        <v>-3.4288935363292694E-2</v>
      </c>
      <c r="O253">
        <v>1</v>
      </c>
      <c r="P253">
        <v>1</v>
      </c>
      <c r="Q253">
        <v>1.0236655473709106</v>
      </c>
      <c r="R253">
        <v>0.27816972136497498</v>
      </c>
      <c r="S253">
        <v>4.2042951583862305</v>
      </c>
      <c r="T253">
        <v>0.44443684816360474</v>
      </c>
      <c r="AE253">
        <v>9.9394961170550328E-2</v>
      </c>
      <c r="AF253">
        <v>126.21058965135464</v>
      </c>
      <c r="AG253">
        <v>11431192.993680419</v>
      </c>
      <c r="AH253">
        <v>0.50292144980162889</v>
      </c>
      <c r="AI253">
        <v>11.900370537522322</v>
      </c>
      <c r="AJ253">
        <v>9881011.0580902379</v>
      </c>
    </row>
    <row r="254" spans="1:36" x14ac:dyDescent="0.25">
      <c r="A254" t="s">
        <v>25</v>
      </c>
      <c r="B254" t="s">
        <v>58</v>
      </c>
      <c r="C254">
        <v>2003</v>
      </c>
      <c r="D254" t="str">
        <f t="shared" si="3"/>
        <v>PER2003</v>
      </c>
      <c r="E254">
        <v>13762.567999999999</v>
      </c>
      <c r="F254">
        <v>10709.102000000001</v>
      </c>
      <c r="G254">
        <v>0.77813255786895752</v>
      </c>
      <c r="H254">
        <v>179565.03125</v>
      </c>
      <c r="I254">
        <v>135726.40625</v>
      </c>
      <c r="J254">
        <v>567408.8125</v>
      </c>
      <c r="K254">
        <v>3.5410895943641663E-2</v>
      </c>
      <c r="L254">
        <v>0.1169179230928421</v>
      </c>
      <c r="M254">
        <v>2.7034088969230652E-2</v>
      </c>
      <c r="N254">
        <v>4.1650287806987762E-2</v>
      </c>
      <c r="O254">
        <v>0</v>
      </c>
      <c r="P254">
        <v>0</v>
      </c>
      <c r="Q254">
        <v>1.200324535369873</v>
      </c>
      <c r="R254">
        <v>0.11752843111753464</v>
      </c>
      <c r="S254">
        <v>1.3578891754150391</v>
      </c>
      <c r="T254">
        <v>1.3346331119537354</v>
      </c>
      <c r="AE254">
        <v>0.14402425104188951</v>
      </c>
      <c r="AF254">
        <v>206.24963896092029</v>
      </c>
      <c r="AG254">
        <v>21.061989020105731</v>
      </c>
      <c r="AH254">
        <v>0.27698975619088168</v>
      </c>
      <c r="AI254">
        <v>77.808061628762687</v>
      </c>
      <c r="AJ254">
        <v>18.091554045182139</v>
      </c>
    </row>
    <row r="255" spans="1:36" x14ac:dyDescent="0.25">
      <c r="A255" t="s">
        <v>25</v>
      </c>
      <c r="B255" t="s">
        <v>58</v>
      </c>
      <c r="C255">
        <v>2004</v>
      </c>
      <c r="D255" t="str">
        <f t="shared" si="3"/>
        <v>PER2004</v>
      </c>
      <c r="E255">
        <v>13770.263000000001</v>
      </c>
      <c r="F255">
        <v>10381.434999999999</v>
      </c>
      <c r="G255">
        <v>0.75390243530273438</v>
      </c>
      <c r="H255">
        <v>188468.21875</v>
      </c>
      <c r="I255">
        <v>140471.296875</v>
      </c>
      <c r="J255">
        <v>585970.4375</v>
      </c>
      <c r="K255">
        <v>3.4897074103355408E-2</v>
      </c>
      <c r="L255">
        <v>0.10884980857372284</v>
      </c>
      <c r="M255">
        <v>3.4959230571985245E-2</v>
      </c>
      <c r="N255">
        <v>4.9581967294216156E-2</v>
      </c>
      <c r="O255">
        <v>0</v>
      </c>
      <c r="P255">
        <v>0</v>
      </c>
      <c r="Q255">
        <v>1.200324535369873</v>
      </c>
      <c r="R255">
        <v>0.11752843111753464</v>
      </c>
      <c r="S255">
        <v>1.3578891754150391</v>
      </c>
      <c r="T255">
        <v>1.3346331119537354</v>
      </c>
      <c r="AE255">
        <v>0.12427022911822781</v>
      </c>
      <c r="AF255">
        <v>193.22280009497652</v>
      </c>
      <c r="AG255">
        <v>19.731702390061344</v>
      </c>
      <c r="AH255">
        <v>0.244201404835477</v>
      </c>
      <c r="AI255">
        <v>74.480528055192295</v>
      </c>
      <c r="AJ255">
        <v>17.317852037662227</v>
      </c>
    </row>
    <row r="256" spans="1:36" x14ac:dyDescent="0.25">
      <c r="A256" t="s">
        <v>25</v>
      </c>
      <c r="B256" t="s">
        <v>58</v>
      </c>
      <c r="C256">
        <v>2005</v>
      </c>
      <c r="D256" t="str">
        <f t="shared" si="3"/>
        <v>PER2005</v>
      </c>
      <c r="E256">
        <v>13740.419</v>
      </c>
      <c r="F256">
        <v>10116.115</v>
      </c>
      <c r="G256">
        <v>0.73623043298721313</v>
      </c>
      <c r="H256">
        <v>200313.5625</v>
      </c>
      <c r="I256">
        <v>146703.765625</v>
      </c>
      <c r="J256">
        <v>608555.875</v>
      </c>
      <c r="K256">
        <v>3.4726422280073166E-2</v>
      </c>
      <c r="L256">
        <v>0.10506319254636765</v>
      </c>
      <c r="M256">
        <v>4.436827078461647E-2</v>
      </c>
      <c r="N256">
        <v>6.2850616872310638E-2</v>
      </c>
      <c r="O256">
        <v>0</v>
      </c>
      <c r="P256">
        <v>0</v>
      </c>
      <c r="Q256">
        <v>1.200324535369873</v>
      </c>
      <c r="R256">
        <v>0.11752843111753464</v>
      </c>
      <c r="S256">
        <v>1.3578891754150391</v>
      </c>
      <c r="T256">
        <v>1.3346331119537354</v>
      </c>
      <c r="AE256">
        <v>0.11182512496059706</v>
      </c>
      <c r="AF256">
        <v>188.90921692320313</v>
      </c>
      <c r="AG256">
        <v>19.291203963693587</v>
      </c>
      <c r="AH256">
        <v>0.22280143803980196</v>
      </c>
      <c r="AI256">
        <v>73.830372891665235</v>
      </c>
      <c r="AJ256">
        <v>17.166681104567601</v>
      </c>
    </row>
    <row r="257" spans="1:36" x14ac:dyDescent="0.25">
      <c r="A257" t="s">
        <v>25</v>
      </c>
      <c r="B257" t="s">
        <v>58</v>
      </c>
      <c r="C257">
        <v>2006</v>
      </c>
      <c r="D257" t="str">
        <f t="shared" si="3"/>
        <v>PER2006</v>
      </c>
      <c r="E257">
        <v>14310.817999999999</v>
      </c>
      <c r="F257">
        <v>10401.147999999999</v>
      </c>
      <c r="G257">
        <v>0.72680318355560303</v>
      </c>
      <c r="H257">
        <v>215394.984375</v>
      </c>
      <c r="I257">
        <v>156123.46875</v>
      </c>
      <c r="J257">
        <v>638563</v>
      </c>
      <c r="K257">
        <v>3.4975983202457428E-2</v>
      </c>
      <c r="L257">
        <v>0.10166127234697342</v>
      </c>
      <c r="M257">
        <v>6.4209006726741791E-2</v>
      </c>
      <c r="N257">
        <v>7.5289070606231689E-2</v>
      </c>
      <c r="O257">
        <v>0</v>
      </c>
      <c r="P257">
        <v>0</v>
      </c>
      <c r="Q257">
        <v>1.200324535369873</v>
      </c>
      <c r="R257">
        <v>0.11752843111753464</v>
      </c>
      <c r="S257">
        <v>1.3578891754150391</v>
      </c>
      <c r="T257">
        <v>1.3346331119537354</v>
      </c>
      <c r="AE257">
        <v>0.10604632848853497</v>
      </c>
      <c r="AF257">
        <v>183.47458417276633</v>
      </c>
      <c r="AG257">
        <v>18.736225172483703</v>
      </c>
      <c r="AH257">
        <v>0.21266085730543058</v>
      </c>
      <c r="AI257">
        <v>72.172400762916396</v>
      </c>
      <c r="AJ257">
        <v>16.781177446659008</v>
      </c>
    </row>
    <row r="258" spans="1:36" x14ac:dyDescent="0.25">
      <c r="A258" t="s">
        <v>25</v>
      </c>
      <c r="B258" t="s">
        <v>58</v>
      </c>
      <c r="C258">
        <v>2007</v>
      </c>
      <c r="D258" t="str">
        <f t="shared" si="3"/>
        <v>PER2007</v>
      </c>
      <c r="E258">
        <v>14897.453</v>
      </c>
      <c r="F258">
        <v>10464.456</v>
      </c>
      <c r="G258">
        <v>0.70243257284164429</v>
      </c>
      <c r="H258">
        <v>233743.15625</v>
      </c>
      <c r="I258">
        <v>168585.203125</v>
      </c>
      <c r="J258">
        <v>678814.6875</v>
      </c>
      <c r="K258">
        <v>3.5817604511976242E-2</v>
      </c>
      <c r="L258">
        <v>9.830552339553833E-2</v>
      </c>
      <c r="M258">
        <v>7.9819738864898682E-2</v>
      </c>
      <c r="N258">
        <v>8.518383651971817E-2</v>
      </c>
      <c r="O258">
        <v>0</v>
      </c>
      <c r="P258">
        <v>0</v>
      </c>
      <c r="Q258">
        <v>1.200324535369873</v>
      </c>
      <c r="R258">
        <v>0.11752843111753464</v>
      </c>
      <c r="S258">
        <v>1.3578891754150391</v>
      </c>
      <c r="T258">
        <v>1.3346331119537354</v>
      </c>
      <c r="AE258">
        <v>9.2654010464410783E-2</v>
      </c>
      <c r="AF258">
        <v>170.98281512074132</v>
      </c>
      <c r="AG258">
        <v>17.460579290430552</v>
      </c>
      <c r="AH258">
        <v>0.18864570800208164</v>
      </c>
      <c r="AI258">
        <v>68.287071196350595</v>
      </c>
      <c r="AJ258">
        <v>15.877779413531742</v>
      </c>
    </row>
    <row r="259" spans="1:36" x14ac:dyDescent="0.25">
      <c r="A259" t="s">
        <v>25</v>
      </c>
      <c r="B259" t="s">
        <v>58</v>
      </c>
      <c r="C259">
        <v>2008</v>
      </c>
      <c r="D259" t="str">
        <f t="shared" ref="D259:D320" si="4">B259&amp;C259</f>
        <v>PER2008</v>
      </c>
      <c r="E259">
        <v>15313.359</v>
      </c>
      <c r="F259">
        <v>10616.064</v>
      </c>
      <c r="G259">
        <v>0.69325506687164307</v>
      </c>
      <c r="H259">
        <v>255075.875</v>
      </c>
      <c r="I259">
        <v>182576.84375</v>
      </c>
      <c r="J259">
        <v>733581.4375</v>
      </c>
      <c r="K259">
        <v>3.7568062543869019E-2</v>
      </c>
      <c r="L259">
        <v>9.6201196312904358E-2</v>
      </c>
      <c r="M259">
        <v>8.2994475960731506E-2</v>
      </c>
      <c r="N259">
        <v>9.1265641152858734E-2</v>
      </c>
      <c r="O259">
        <v>0</v>
      </c>
      <c r="P259">
        <v>0</v>
      </c>
      <c r="Q259">
        <v>1.200324535369873</v>
      </c>
      <c r="R259">
        <v>0.11752843111753464</v>
      </c>
      <c r="S259">
        <v>1.3578891754150391</v>
      </c>
      <c r="T259">
        <v>1.3346331119537354</v>
      </c>
      <c r="AE259">
        <v>8.7776973588610085E-2</v>
      </c>
      <c r="AF259">
        <v>172.43875494091208</v>
      </c>
      <c r="AG259">
        <v>17.609258282844117</v>
      </c>
      <c r="AH259">
        <v>0.17971673381684428</v>
      </c>
      <c r="AI259">
        <v>69.254198794925784</v>
      </c>
      <c r="AJ259">
        <v>16.102651243673087</v>
      </c>
    </row>
    <row r="260" spans="1:36" x14ac:dyDescent="0.25">
      <c r="A260" t="s">
        <v>25</v>
      </c>
      <c r="B260" t="s">
        <v>58</v>
      </c>
      <c r="C260">
        <v>2009</v>
      </c>
      <c r="D260" t="str">
        <f t="shared" si="4"/>
        <v>PER2009</v>
      </c>
      <c r="E260">
        <v>15615.26</v>
      </c>
      <c r="F260">
        <v>10725.035</v>
      </c>
      <c r="G260">
        <v>0.68683040142059326</v>
      </c>
      <c r="H260">
        <v>257871.0625</v>
      </c>
      <c r="I260">
        <v>190521.71875</v>
      </c>
      <c r="J260">
        <v>781913.8125</v>
      </c>
      <c r="K260">
        <v>3.8962271064519882E-2</v>
      </c>
      <c r="L260">
        <v>0.10947255790233612</v>
      </c>
      <c r="M260">
        <v>4.3515238910913467E-2</v>
      </c>
      <c r="N260">
        <v>1.0958258993923664E-2</v>
      </c>
      <c r="O260">
        <v>0</v>
      </c>
      <c r="P260">
        <v>0</v>
      </c>
      <c r="Q260">
        <v>1.200324535369873</v>
      </c>
      <c r="R260">
        <v>0.11752843111753464</v>
      </c>
      <c r="S260">
        <v>1.3578891754150391</v>
      </c>
      <c r="T260">
        <v>1.3346331119537354</v>
      </c>
      <c r="AE260">
        <v>8.4457420500124988E-2</v>
      </c>
      <c r="AF260">
        <v>178.60895047498141</v>
      </c>
      <c r="AG260">
        <v>18.239351946257017</v>
      </c>
      <c r="AH260">
        <v>0.17358181456361207</v>
      </c>
      <c r="AI260">
        <v>72.006706316417777</v>
      </c>
      <c r="AJ260">
        <v>16.742650975608765</v>
      </c>
    </row>
    <row r="261" spans="1:36" x14ac:dyDescent="0.25">
      <c r="A261" t="s">
        <v>25</v>
      </c>
      <c r="B261" t="s">
        <v>58</v>
      </c>
      <c r="C261">
        <v>2010</v>
      </c>
      <c r="D261" t="str">
        <f t="shared" si="4"/>
        <v>PER2010</v>
      </c>
      <c r="E261">
        <v>16061.267</v>
      </c>
      <c r="F261">
        <v>10954.5</v>
      </c>
      <c r="G261">
        <v>0.68204456567764282</v>
      </c>
      <c r="H261">
        <v>279358.0625</v>
      </c>
      <c r="I261">
        <v>206353.59375</v>
      </c>
      <c r="J261">
        <v>844331.75</v>
      </c>
      <c r="K261">
        <v>3.993210569024086E-2</v>
      </c>
      <c r="L261">
        <v>0.10300341248512268</v>
      </c>
      <c r="M261">
        <v>8.3097480237483978E-2</v>
      </c>
      <c r="N261">
        <v>8.332458883523941E-2</v>
      </c>
      <c r="O261">
        <v>0</v>
      </c>
      <c r="P261">
        <v>0</v>
      </c>
      <c r="Q261">
        <v>1.200324535369873</v>
      </c>
      <c r="R261">
        <v>0.11752843111753464</v>
      </c>
      <c r="S261">
        <v>1.3578891754150391</v>
      </c>
      <c r="T261">
        <v>1.3346331119537354</v>
      </c>
      <c r="Y261">
        <v>916</v>
      </c>
      <c r="Z261">
        <v>480</v>
      </c>
      <c r="AA261">
        <v>612</v>
      </c>
      <c r="AB261">
        <v>480</v>
      </c>
      <c r="AD261">
        <v>2010</v>
      </c>
      <c r="AE261">
        <v>8.1956969181233713E-2</v>
      </c>
      <c r="AF261">
        <v>170.33900818616934</v>
      </c>
      <c r="AG261">
        <v>17.394834425831824</v>
      </c>
      <c r="AH261">
        <v>0.16892960156699241</v>
      </c>
      <c r="AI261">
        <v>68.871144330962451</v>
      </c>
      <c r="AJ261">
        <v>16.013585272975792</v>
      </c>
    </row>
    <row r="262" spans="1:36" x14ac:dyDescent="0.25">
      <c r="A262" t="s">
        <v>25</v>
      </c>
      <c r="B262" t="s">
        <v>58</v>
      </c>
      <c r="C262">
        <v>2011</v>
      </c>
      <c r="D262" t="str">
        <f t="shared" si="4"/>
        <v>PER2011</v>
      </c>
      <c r="E262">
        <v>16234.737999999999</v>
      </c>
      <c r="F262">
        <v>10938.278</v>
      </c>
      <c r="G262">
        <v>0.67375761270523071</v>
      </c>
      <c r="H262">
        <v>297033.5625</v>
      </c>
      <c r="I262">
        <v>221269.046875</v>
      </c>
      <c r="J262">
        <v>911820.0625</v>
      </c>
      <c r="K262">
        <v>4.1351992636919022E-2</v>
      </c>
      <c r="L262">
        <v>0.10485304147005081</v>
      </c>
      <c r="M262">
        <v>7.2281040251255035E-2</v>
      </c>
      <c r="N262">
        <v>6.3271842896938324E-2</v>
      </c>
      <c r="O262">
        <v>0</v>
      </c>
      <c r="P262">
        <v>0</v>
      </c>
      <c r="Q262">
        <v>1.200324535369873</v>
      </c>
      <c r="R262">
        <v>0.11752843111753464</v>
      </c>
      <c r="S262">
        <v>1.3578891754150391</v>
      </c>
      <c r="T262">
        <v>1.3346331119537354</v>
      </c>
      <c r="AE262">
        <v>7.7927582229779968E-2</v>
      </c>
      <c r="AF262">
        <v>175.80733918429092</v>
      </c>
      <c r="AG262">
        <v>17.953254445478809</v>
      </c>
      <c r="AH262">
        <v>0.16137587667406272</v>
      </c>
      <c r="AI262">
        <v>71.414718753067177</v>
      </c>
      <c r="AJ262">
        <v>16.605004891485343</v>
      </c>
    </row>
    <row r="263" spans="1:36" x14ac:dyDescent="0.25">
      <c r="A263" t="s">
        <v>25</v>
      </c>
      <c r="B263" t="s">
        <v>58</v>
      </c>
      <c r="C263">
        <v>2012</v>
      </c>
      <c r="D263" t="str">
        <f t="shared" si="4"/>
        <v>PER2012</v>
      </c>
      <c r="E263">
        <v>16657.437999999998</v>
      </c>
      <c r="F263">
        <v>9657.6759999999995</v>
      </c>
      <c r="G263">
        <v>0.57978159189224243</v>
      </c>
      <c r="H263">
        <v>315270.65625</v>
      </c>
      <c r="I263">
        <v>237993.8125</v>
      </c>
      <c r="J263">
        <v>989987</v>
      </c>
      <c r="K263">
        <v>4.282684251666069E-2</v>
      </c>
      <c r="L263">
        <v>0.10166018456220627</v>
      </c>
      <c r="M263">
        <v>7.5585655868053436E-2</v>
      </c>
      <c r="N263">
        <v>6.139741837978363E-2</v>
      </c>
      <c r="O263">
        <v>0</v>
      </c>
      <c r="P263">
        <v>0</v>
      </c>
      <c r="Q263">
        <v>1.200324535369873</v>
      </c>
      <c r="R263">
        <v>0.11752843111753464</v>
      </c>
      <c r="S263">
        <v>1.3578891754150391</v>
      </c>
      <c r="T263">
        <v>1.3346331119537354</v>
      </c>
      <c r="AE263">
        <v>4.8273811156515044E-2</v>
      </c>
      <c r="AF263">
        <v>136.73312950951404</v>
      </c>
      <c r="AG263">
        <v>13.963038611474868</v>
      </c>
      <c r="AH263">
        <v>0.10353303604284496</v>
      </c>
      <c r="AI263">
        <v>57.523384813709782</v>
      </c>
      <c r="AJ263">
        <v>13.375059131846276</v>
      </c>
    </row>
    <row r="264" spans="1:36" x14ac:dyDescent="0.25">
      <c r="A264" t="s">
        <v>25</v>
      </c>
      <c r="B264" t="s">
        <v>58</v>
      </c>
      <c r="C264">
        <v>2013</v>
      </c>
      <c r="D264" t="str">
        <f t="shared" si="4"/>
        <v>PER2013</v>
      </c>
      <c r="E264">
        <v>16781.663</v>
      </c>
      <c r="F264">
        <v>9583.5130000000008</v>
      </c>
      <c r="G264">
        <v>0.57107049226760864</v>
      </c>
      <c r="H264">
        <v>333721.875</v>
      </c>
      <c r="I264">
        <v>252283.5625</v>
      </c>
      <c r="J264">
        <v>1070167.75</v>
      </c>
      <c r="K264">
        <v>4.3935701251029968E-2</v>
      </c>
      <c r="L264">
        <v>0.11305181682109833</v>
      </c>
      <c r="M264">
        <v>6.0042526572942734E-2</v>
      </c>
      <c r="N264">
        <v>5.8525010943412781E-2</v>
      </c>
      <c r="O264">
        <v>0</v>
      </c>
      <c r="P264">
        <v>0</v>
      </c>
      <c r="Q264">
        <v>1.200324535369873</v>
      </c>
      <c r="R264">
        <v>0.11752843111753464</v>
      </c>
      <c r="S264">
        <v>1.3578891754150391</v>
      </c>
      <c r="T264">
        <v>1.3346331119537354</v>
      </c>
      <c r="AE264">
        <v>4.5896813071201102E-2</v>
      </c>
      <c r="AF264">
        <v>139.40903979457033</v>
      </c>
      <c r="AG264">
        <v>14.236299662144258</v>
      </c>
      <c r="AH264">
        <v>9.8717308827703076E-2</v>
      </c>
      <c r="AI264">
        <v>58.817292555232704</v>
      </c>
      <c r="AJ264">
        <v>13.675912299824287</v>
      </c>
    </row>
    <row r="265" spans="1:36" x14ac:dyDescent="0.25">
      <c r="A265" t="s">
        <v>25</v>
      </c>
      <c r="B265" t="s">
        <v>58</v>
      </c>
      <c r="C265">
        <v>2014</v>
      </c>
      <c r="D265" t="str">
        <f t="shared" si="4"/>
        <v>PER2014</v>
      </c>
      <c r="E265">
        <v>16889.903999999999</v>
      </c>
      <c r="F265">
        <v>9540.0939999999991</v>
      </c>
      <c r="G265">
        <v>0.56484001874923706</v>
      </c>
      <c r="H265">
        <v>341671.6875</v>
      </c>
      <c r="I265">
        <v>263840.59375</v>
      </c>
      <c r="J265">
        <v>1144217.125</v>
      </c>
      <c r="K265">
        <v>4.4366054236888885E-2</v>
      </c>
      <c r="L265">
        <v>0.12447286397218704</v>
      </c>
      <c r="M265">
        <v>4.5809686183929443E-2</v>
      </c>
      <c r="N265">
        <v>2.3821670562028885E-2</v>
      </c>
      <c r="O265">
        <v>0</v>
      </c>
      <c r="P265">
        <v>0</v>
      </c>
      <c r="Q265">
        <v>1.200324535369873</v>
      </c>
      <c r="R265">
        <v>0.11752843111753464</v>
      </c>
      <c r="S265">
        <v>1.3578891754150391</v>
      </c>
      <c r="T265">
        <v>1.3346331119537354</v>
      </c>
      <c r="AE265">
        <v>4.4220992718185831E-2</v>
      </c>
      <c r="AF265">
        <v>143.04412441921482</v>
      </c>
      <c r="AG265">
        <v>14.607510554134835</v>
      </c>
      <c r="AH265">
        <v>9.530551568028868E-2</v>
      </c>
      <c r="AI265">
        <v>60.47319134141528</v>
      </c>
      <c r="AJ265">
        <v>14.060933874150452</v>
      </c>
    </row>
    <row r="266" spans="1:36" x14ac:dyDescent="0.25">
      <c r="A266" t="s">
        <v>25</v>
      </c>
      <c r="B266" t="s">
        <v>58</v>
      </c>
      <c r="C266">
        <v>2015</v>
      </c>
      <c r="D266" t="str">
        <f t="shared" si="4"/>
        <v>PER2015</v>
      </c>
      <c r="E266">
        <v>16927.856</v>
      </c>
      <c r="F266">
        <v>9574.8029999999999</v>
      </c>
      <c r="G266">
        <v>0.56562405824661255</v>
      </c>
      <c r="H266">
        <v>352783.6875</v>
      </c>
      <c r="I266">
        <v>276149.46875</v>
      </c>
      <c r="J266">
        <v>1206857.625</v>
      </c>
      <c r="K266">
        <v>4.4311922043561935E-2</v>
      </c>
      <c r="L266">
        <v>0.13839887082576752</v>
      </c>
      <c r="M266">
        <v>4.6652697026729584E-2</v>
      </c>
      <c r="N266">
        <v>3.2522447407245636E-2</v>
      </c>
      <c r="O266">
        <v>0</v>
      </c>
      <c r="P266">
        <v>0</v>
      </c>
      <c r="Q266">
        <v>1.200324535369873</v>
      </c>
      <c r="R266">
        <v>0.11752843111753464</v>
      </c>
      <c r="S266">
        <v>1.3578891754150391</v>
      </c>
      <c r="T266">
        <v>1.3346331119537354</v>
      </c>
      <c r="AE266">
        <v>4.4138782764524431E-2</v>
      </c>
      <c r="AF266">
        <v>145.47261022427091</v>
      </c>
      <c r="AG266">
        <v>14.855504885757714</v>
      </c>
      <c r="AH266">
        <v>9.5137789227798072E-2</v>
      </c>
      <c r="AI266">
        <v>61.505967038423925</v>
      </c>
      <c r="AJ266">
        <v>14.301069882526164</v>
      </c>
    </row>
    <row r="267" spans="1:36" x14ac:dyDescent="0.25">
      <c r="A267" t="s">
        <v>25</v>
      </c>
      <c r="B267" t="s">
        <v>58</v>
      </c>
      <c r="C267">
        <v>2016</v>
      </c>
      <c r="D267" t="str">
        <f t="shared" si="4"/>
        <v>PER2016</v>
      </c>
      <c r="E267">
        <v>17304.332999999999</v>
      </c>
      <c r="F267">
        <v>9679.39</v>
      </c>
      <c r="G267">
        <v>0.55936223268508911</v>
      </c>
      <c r="H267">
        <v>366730.34375</v>
      </c>
      <c r="I267">
        <v>287141.0625</v>
      </c>
      <c r="J267">
        <v>1262165.125</v>
      </c>
      <c r="K267">
        <v>4.3959036469459534E-2</v>
      </c>
      <c r="L267">
        <v>0.14682899415493011</v>
      </c>
      <c r="M267">
        <v>3.9803057909011841E-2</v>
      </c>
      <c r="N267">
        <v>3.9533168077468872E-2</v>
      </c>
      <c r="O267">
        <v>0</v>
      </c>
      <c r="P267">
        <v>0</v>
      </c>
      <c r="Q267">
        <v>1.200324535369873</v>
      </c>
      <c r="R267">
        <v>0.11752843111753464</v>
      </c>
      <c r="S267">
        <v>1.3578891754150391</v>
      </c>
      <c r="T267">
        <v>1.3346331119537354</v>
      </c>
      <c r="AE267">
        <v>4.2712026641909727E-2</v>
      </c>
      <c r="AF267">
        <v>143.25624792736301</v>
      </c>
      <c r="AG267">
        <v>14.629172376293806</v>
      </c>
      <c r="AH267">
        <v>9.2221573131695878E-2</v>
      </c>
      <c r="AI267">
        <v>60.673526276316153</v>
      </c>
      <c r="AJ267">
        <v>14.107514783969149</v>
      </c>
    </row>
    <row r="268" spans="1:36" x14ac:dyDescent="0.25">
      <c r="A268" t="s">
        <v>25</v>
      </c>
      <c r="B268" t="s">
        <v>58</v>
      </c>
      <c r="C268">
        <v>2017</v>
      </c>
      <c r="D268" t="str">
        <f t="shared" si="4"/>
        <v>PER2017</v>
      </c>
      <c r="E268">
        <v>17479.816999999999</v>
      </c>
      <c r="F268">
        <v>9920.7639999999992</v>
      </c>
      <c r="G268">
        <v>0.56755536794662476</v>
      </c>
      <c r="H268">
        <v>375967.6875</v>
      </c>
      <c r="I268">
        <v>295030.5</v>
      </c>
      <c r="J268">
        <v>1316895</v>
      </c>
      <c r="K268">
        <v>4.342186450958252E-2</v>
      </c>
      <c r="L268">
        <v>0.15474432706832886</v>
      </c>
      <c r="M268">
        <v>2.7475824579596519E-2</v>
      </c>
      <c r="N268">
        <v>2.5188380852341652E-2</v>
      </c>
      <c r="O268">
        <v>0</v>
      </c>
      <c r="P268">
        <v>0</v>
      </c>
      <c r="Q268">
        <v>1.200324535369873</v>
      </c>
      <c r="R268">
        <v>0.11752843111753464</v>
      </c>
      <c r="S268">
        <v>1.3578891754150391</v>
      </c>
      <c r="T268">
        <v>1.3346331119537354</v>
      </c>
      <c r="AE268">
        <v>4.430583220793418E-2</v>
      </c>
      <c r="AF268">
        <v>149.48096712707292</v>
      </c>
      <c r="AG268">
        <v>15.264833937196578</v>
      </c>
      <c r="AH268">
        <v>9.5478572022320796E-2</v>
      </c>
      <c r="AI268">
        <v>63.187945130554887</v>
      </c>
      <c r="AJ268">
        <v>14.692155290896638</v>
      </c>
    </row>
    <row r="269" spans="1:36" x14ac:dyDescent="0.25">
      <c r="A269" t="s">
        <v>25</v>
      </c>
      <c r="B269" t="s">
        <v>58</v>
      </c>
      <c r="C269">
        <v>2018</v>
      </c>
      <c r="D269" t="str">
        <f t="shared" si="4"/>
        <v>PER2018</v>
      </c>
      <c r="E269">
        <v>17792.098999999998</v>
      </c>
      <c r="F269">
        <v>10213.772999999999</v>
      </c>
      <c r="G269">
        <v>0.5740622878074646</v>
      </c>
      <c r="H269">
        <v>390919.65625</v>
      </c>
      <c r="I269">
        <v>305431.875</v>
      </c>
      <c r="J269">
        <v>1375363.125</v>
      </c>
      <c r="K269">
        <v>4.2909093201160431E-2</v>
      </c>
      <c r="L269">
        <v>0.15459637343883514</v>
      </c>
      <c r="M269">
        <v>3.5255253314971924E-2</v>
      </c>
      <c r="N269">
        <v>3.9769291877746582E-2</v>
      </c>
      <c r="O269">
        <v>0</v>
      </c>
      <c r="P269">
        <v>0</v>
      </c>
      <c r="Q269">
        <v>1.200324535369873</v>
      </c>
      <c r="R269">
        <v>0.11752843111753464</v>
      </c>
      <c r="S269">
        <v>1.3578891754150391</v>
      </c>
      <c r="T269">
        <v>1.3346331119537354</v>
      </c>
      <c r="AE269">
        <v>4.562345585469104E-2</v>
      </c>
      <c r="AF269">
        <v>151.79086888072248</v>
      </c>
      <c r="AG269">
        <v>15.500718594343098</v>
      </c>
      <c r="AH269">
        <v>9.8161724192177308E-2</v>
      </c>
      <c r="AI269">
        <v>64.06236431620782</v>
      </c>
      <c r="AJ269">
        <v>14.895471009399722</v>
      </c>
    </row>
    <row r="270" spans="1:36" x14ac:dyDescent="0.25">
      <c r="A270" t="s">
        <v>25</v>
      </c>
      <c r="B270" t="s">
        <v>58</v>
      </c>
      <c r="C270">
        <v>2019</v>
      </c>
      <c r="D270" t="str">
        <f t="shared" si="4"/>
        <v>PER2019</v>
      </c>
      <c r="E270">
        <v>18049.074000000001</v>
      </c>
      <c r="F270">
        <v>10408.39</v>
      </c>
      <c r="G270">
        <v>0.57667165994644165</v>
      </c>
      <c r="H270">
        <v>399324.96875</v>
      </c>
      <c r="I270">
        <v>315246</v>
      </c>
      <c r="J270">
        <v>1435428.25</v>
      </c>
      <c r="K270">
        <v>4.251871258020401E-2</v>
      </c>
      <c r="L270">
        <v>0.1588483601808548</v>
      </c>
      <c r="M270">
        <v>3.2131962478160858E-2</v>
      </c>
      <c r="N270">
        <v>2.1501380950212479E-2</v>
      </c>
      <c r="O270">
        <v>0</v>
      </c>
      <c r="P270">
        <v>0</v>
      </c>
      <c r="Q270">
        <v>1.200324535369873</v>
      </c>
      <c r="R270">
        <v>0.11752843111753464</v>
      </c>
      <c r="S270">
        <v>1.3578891754150391</v>
      </c>
      <c r="T270">
        <v>1.3346331119537354</v>
      </c>
      <c r="AE270">
        <v>4.6075410701779451E-2</v>
      </c>
      <c r="AF270">
        <v>155.42583470813736</v>
      </c>
      <c r="AG270">
        <v>15.871917354889673</v>
      </c>
      <c r="AH270">
        <v>9.9080101582353683E-2</v>
      </c>
      <c r="AI270">
        <v>65.560725852654528</v>
      </c>
      <c r="AJ270">
        <v>15.243862784601422</v>
      </c>
    </row>
    <row r="271" spans="1:36" x14ac:dyDescent="0.25">
      <c r="A271" t="s">
        <v>25</v>
      </c>
      <c r="B271" t="s">
        <v>58</v>
      </c>
      <c r="C271">
        <v>2020</v>
      </c>
      <c r="D271" t="str">
        <f t="shared" si="4"/>
        <v>PER2020</v>
      </c>
      <c r="E271">
        <v>15736.87</v>
      </c>
      <c r="F271">
        <v>9777.473</v>
      </c>
      <c r="G271">
        <v>0.62130987644195557</v>
      </c>
      <c r="H271">
        <v>352277.49974603509</v>
      </c>
      <c r="I271">
        <v>283642.48100169003</v>
      </c>
      <c r="J271">
        <v>1442245.5269320561</v>
      </c>
      <c r="K271">
        <v>3.9895016700029373E-2</v>
      </c>
      <c r="L271">
        <v>0.1714104691818357</v>
      </c>
      <c r="M271">
        <v>-0.10025034099817276</v>
      </c>
      <c r="N271">
        <v>-0.11781749874353409</v>
      </c>
      <c r="O271">
        <v>0</v>
      </c>
      <c r="P271">
        <v>0</v>
      </c>
      <c r="Q271">
        <v>1.200324535369873</v>
      </c>
      <c r="R271">
        <v>0.11752843111753464</v>
      </c>
      <c r="S271">
        <v>1.3578891754150391</v>
      </c>
      <c r="T271">
        <v>1.3346331119537354</v>
      </c>
      <c r="AE271">
        <v>5.6464804460867893E-2</v>
      </c>
      <c r="AF271">
        <v>211.50240973137628</v>
      </c>
      <c r="AG271">
        <v>21.598396263530979</v>
      </c>
      <c r="AH271">
        <v>0.11991886956293754</v>
      </c>
      <c r="AI271">
        <v>88.110635561097183</v>
      </c>
      <c r="AJ271">
        <v>20.487058690839746</v>
      </c>
    </row>
    <row r="272" spans="1:36" x14ac:dyDescent="0.25">
      <c r="A272" t="s">
        <v>25</v>
      </c>
      <c r="B272" t="s">
        <v>58</v>
      </c>
      <c r="C272">
        <v>2021</v>
      </c>
      <c r="D272" t="str">
        <f t="shared" si="4"/>
        <v>PER2021</v>
      </c>
      <c r="E272">
        <v>17758.723000000002</v>
      </c>
      <c r="F272">
        <v>10509.277</v>
      </c>
      <c r="G272">
        <v>0.5917811393737793</v>
      </c>
      <c r="H272">
        <v>395521.02448814834</v>
      </c>
      <c r="I272">
        <v>304686.02816429862</v>
      </c>
      <c r="J272">
        <v>1467108.5394245591</v>
      </c>
      <c r="K272">
        <v>3.9895016700029373E-2</v>
      </c>
      <c r="L272">
        <v>0.14065278604391887</v>
      </c>
      <c r="M272">
        <v>7.4190393090248108E-2</v>
      </c>
      <c r="N272">
        <v>0.12275414913892746</v>
      </c>
      <c r="O272">
        <v>0</v>
      </c>
      <c r="P272">
        <v>0</v>
      </c>
      <c r="Q272">
        <v>1.200324535369873</v>
      </c>
      <c r="R272">
        <v>0.11752843111753464</v>
      </c>
      <c r="S272">
        <v>1.3578891754150391</v>
      </c>
      <c r="T272">
        <v>1.3346331119537354</v>
      </c>
      <c r="AE272">
        <v>4.9411164466201321E-2</v>
      </c>
      <c r="AF272">
        <v>148.28093790188834</v>
      </c>
      <c r="AG272">
        <v>15.142288256670891</v>
      </c>
      <c r="AH272">
        <v>0.10582755331984195</v>
      </c>
      <c r="AI272">
        <v>62.296307820130998</v>
      </c>
      <c r="AJ272">
        <v>14.484836097325164</v>
      </c>
    </row>
    <row r="273" spans="1:36" x14ac:dyDescent="0.25">
      <c r="A273" t="s">
        <v>25</v>
      </c>
      <c r="B273" t="s">
        <v>58</v>
      </c>
      <c r="C273">
        <v>2022</v>
      </c>
      <c r="D273" t="str">
        <f t="shared" si="4"/>
        <v>PER2022</v>
      </c>
      <c r="E273">
        <v>17716.657999999999</v>
      </c>
      <c r="F273">
        <v>8673.7690000000002</v>
      </c>
      <c r="G273">
        <v>0.48958268761634827</v>
      </c>
      <c r="H273">
        <v>407951.67508689465</v>
      </c>
      <c r="I273">
        <v>326567.05042728374</v>
      </c>
      <c r="J273">
        <v>1485307.8759934606</v>
      </c>
      <c r="K273">
        <v>3.9895016700029373E-2</v>
      </c>
      <c r="L273">
        <v>0.16011058858524663</v>
      </c>
      <c r="M273">
        <v>7.1814984083175659E-2</v>
      </c>
      <c r="N273">
        <v>3.1428545713424683E-2</v>
      </c>
      <c r="O273">
        <v>0</v>
      </c>
      <c r="P273">
        <v>0</v>
      </c>
      <c r="Q273">
        <v>1.200324535369873</v>
      </c>
      <c r="R273">
        <v>0.11752843111753464</v>
      </c>
      <c r="S273">
        <v>1.3578891754150391</v>
      </c>
      <c r="T273">
        <v>1.3346331119537354</v>
      </c>
      <c r="U273">
        <v>86773.7578125</v>
      </c>
      <c r="V273">
        <v>2787.37353515625</v>
      </c>
      <c r="W273">
        <v>37331</v>
      </c>
      <c r="X273">
        <v>2730.369873046875</v>
      </c>
      <c r="Y273">
        <v>939</v>
      </c>
      <c r="Z273">
        <v>1294</v>
      </c>
      <c r="AA273">
        <v>354</v>
      </c>
      <c r="AB273">
        <v>415</v>
      </c>
      <c r="AD273">
        <v>2022</v>
      </c>
      <c r="AE273">
        <v>2.9890165924195029E-2</v>
      </c>
      <c r="AF273">
        <v>130.11725792010699</v>
      </c>
      <c r="AG273">
        <v>13.287432993561897</v>
      </c>
      <c r="AH273">
        <v>6.5555061253842126E-2</v>
      </c>
      <c r="AI273">
        <v>55.977837976215788</v>
      </c>
      <c r="AJ273">
        <v>13.015696058733209</v>
      </c>
    </row>
    <row r="274" spans="1:36" x14ac:dyDescent="0.25">
      <c r="A274" t="s">
        <v>25</v>
      </c>
      <c r="B274" t="s">
        <v>58</v>
      </c>
      <c r="C274">
        <v>2023</v>
      </c>
      <c r="D274" t="str">
        <f t="shared" si="4"/>
        <v>PER2023</v>
      </c>
      <c r="E274">
        <v>17604.654999999999</v>
      </c>
      <c r="F274">
        <v>8351.5540000000001</v>
      </c>
      <c r="G274">
        <v>0.47439464926719666</v>
      </c>
      <c r="H274">
        <v>410208.5700324424</v>
      </c>
      <c r="I274">
        <v>324414.26343632676</v>
      </c>
      <c r="J274">
        <v>1517117.3450385164</v>
      </c>
      <c r="K274">
        <v>3.9895016700029373E-2</v>
      </c>
      <c r="L274">
        <v>0.15432598363180569</v>
      </c>
      <c r="M274">
        <v>-6.5921745263040066E-3</v>
      </c>
      <c r="N274">
        <v>5.5322605185210705E-3</v>
      </c>
      <c r="O274">
        <v>0</v>
      </c>
      <c r="P274">
        <v>0</v>
      </c>
      <c r="Q274">
        <v>1.200324535369873</v>
      </c>
      <c r="R274">
        <v>0.11752843111753464</v>
      </c>
      <c r="S274">
        <v>1.3578891754150391</v>
      </c>
      <c r="T274">
        <v>1.3346331119537354</v>
      </c>
      <c r="AE274">
        <v>2.7639592297955869E-2</v>
      </c>
      <c r="AF274">
        <v>127.25543248566061</v>
      </c>
      <c r="AG274">
        <v>12.995186489851942</v>
      </c>
      <c r="AH274">
        <v>6.0787373748288652E-2</v>
      </c>
      <c r="AI274">
        <v>54.898615991172036</v>
      </c>
      <c r="AJ274">
        <v>12.764760584176287</v>
      </c>
    </row>
    <row r="275" spans="1:36" x14ac:dyDescent="0.25">
      <c r="A275" t="s">
        <v>26</v>
      </c>
      <c r="B275" t="s">
        <v>59</v>
      </c>
      <c r="C275">
        <v>2017</v>
      </c>
      <c r="D275" t="str">
        <f t="shared" si="4"/>
        <v>RWA2017</v>
      </c>
      <c r="E275">
        <v>3738.3389999999999</v>
      </c>
      <c r="F275">
        <v>2808.8330000000001</v>
      </c>
      <c r="G275">
        <v>0.75135856866836548</v>
      </c>
      <c r="H275">
        <v>24775.263671875</v>
      </c>
      <c r="I275">
        <v>22840.603515625</v>
      </c>
      <c r="J275">
        <v>40978.515625</v>
      </c>
      <c r="K275">
        <v>4.4420965015888214E-2</v>
      </c>
      <c r="L275">
        <v>0.13259485363960266</v>
      </c>
      <c r="M275">
        <v>2.0922929979860783E-3</v>
      </c>
      <c r="N275">
        <v>3.9729680866003036E-2</v>
      </c>
      <c r="O275">
        <v>0</v>
      </c>
      <c r="P275">
        <v>0</v>
      </c>
      <c r="Q275">
        <v>1.0236655473709106</v>
      </c>
      <c r="R275">
        <v>0.27816972136497498</v>
      </c>
      <c r="S275">
        <v>0.99357211589813232</v>
      </c>
      <c r="T275">
        <v>0.60534930229187012</v>
      </c>
      <c r="U275">
        <v>41908.23828125</v>
      </c>
      <c r="V275">
        <v>1914.0224609375</v>
      </c>
      <c r="W275">
        <v>17344.490234375</v>
      </c>
      <c r="X275">
        <v>2178.19091796875</v>
      </c>
      <c r="Y275">
        <v>190</v>
      </c>
      <c r="Z275">
        <v>190</v>
      </c>
      <c r="AA275">
        <v>38</v>
      </c>
      <c r="AB275">
        <v>151</v>
      </c>
      <c r="AD275">
        <v>2011</v>
      </c>
      <c r="AE275">
        <v>0.12127574737860278</v>
      </c>
      <c r="AF275">
        <v>33.803809219300327</v>
      </c>
      <c r="AG275">
        <v>671215.97309418756</v>
      </c>
      <c r="AH275">
        <v>0.27509799496606346</v>
      </c>
      <c r="AI275">
        <v>13.990324168581161</v>
      </c>
      <c r="AJ275">
        <v>763855.47527650313</v>
      </c>
    </row>
    <row r="276" spans="1:36" x14ac:dyDescent="0.25">
      <c r="A276" t="s">
        <v>26</v>
      </c>
      <c r="B276" t="s">
        <v>59</v>
      </c>
      <c r="C276">
        <v>2018</v>
      </c>
      <c r="D276" t="str">
        <f t="shared" si="4"/>
        <v>RWA2018</v>
      </c>
      <c r="E276">
        <v>3910.8620000000001</v>
      </c>
      <c r="F276">
        <v>2927.3960000000002</v>
      </c>
      <c r="G276">
        <v>0.74852961301803589</v>
      </c>
      <c r="H276">
        <v>26900.515625</v>
      </c>
      <c r="I276">
        <v>24760.6875</v>
      </c>
      <c r="J276">
        <v>44456.55078125</v>
      </c>
      <c r="K276">
        <v>4.5211736112833023E-2</v>
      </c>
      <c r="L276">
        <v>0.12870785593986511</v>
      </c>
      <c r="M276">
        <v>8.4064505994319916E-2</v>
      </c>
      <c r="N276">
        <v>8.5781201720237732E-2</v>
      </c>
      <c r="O276">
        <v>0</v>
      </c>
      <c r="P276">
        <v>0</v>
      </c>
      <c r="Q276">
        <v>1.0236655473709106</v>
      </c>
      <c r="R276">
        <v>0.27816972136497498</v>
      </c>
      <c r="S276">
        <v>0.99357211589813232</v>
      </c>
      <c r="T276">
        <v>0.60534930229187012</v>
      </c>
      <c r="AE276">
        <v>0.11549481041893599</v>
      </c>
      <c r="AF276">
        <v>34.09000677588746</v>
      </c>
      <c r="AG276">
        <v>676898.77559125447</v>
      </c>
      <c r="AH276">
        <v>0.26418918234795008</v>
      </c>
      <c r="AI276">
        <v>14.227490957142065</v>
      </c>
      <c r="AJ276">
        <v>776804.50689385727</v>
      </c>
    </row>
    <row r="277" spans="1:36" x14ac:dyDescent="0.25">
      <c r="A277" t="s">
        <v>26</v>
      </c>
      <c r="B277" t="s">
        <v>59</v>
      </c>
      <c r="C277">
        <v>2019</v>
      </c>
      <c r="D277" t="str">
        <f t="shared" si="4"/>
        <v>RWA2019</v>
      </c>
      <c r="E277">
        <v>3908.1970000000001</v>
      </c>
      <c r="F277">
        <v>2889.819</v>
      </c>
      <c r="G277">
        <v>0.73942512273788452</v>
      </c>
      <c r="H277">
        <v>29437.9375</v>
      </c>
      <c r="I277">
        <v>25967.076171875</v>
      </c>
      <c r="J277">
        <v>49439.0234375</v>
      </c>
      <c r="K277">
        <v>4.698609933257103E-2</v>
      </c>
      <c r="L277">
        <v>0.14219790697097778</v>
      </c>
      <c r="M277">
        <v>4.8721939325332642E-2</v>
      </c>
      <c r="N277">
        <v>9.4326145946979523E-2</v>
      </c>
      <c r="O277">
        <v>0</v>
      </c>
      <c r="P277">
        <v>0</v>
      </c>
      <c r="Q277">
        <v>1.0236655473709106</v>
      </c>
      <c r="R277">
        <v>0.27816972136497498</v>
      </c>
      <c r="S277">
        <v>0.99357211589813232</v>
      </c>
      <c r="T277">
        <v>0.60534930229187012</v>
      </c>
      <c r="AE277">
        <v>0.10823655003085882</v>
      </c>
      <c r="AF277">
        <v>35.235614316850679</v>
      </c>
      <c r="AG277">
        <v>699646.21436074772</v>
      </c>
      <c r="AH277">
        <v>0.25022988486416936</v>
      </c>
      <c r="AI277">
        <v>14.862632966829095</v>
      </c>
      <c r="AJ277">
        <v>811482.52405997145</v>
      </c>
    </row>
    <row r="278" spans="1:36" x14ac:dyDescent="0.25">
      <c r="A278" t="s">
        <v>26</v>
      </c>
      <c r="B278" t="s">
        <v>59</v>
      </c>
      <c r="C278">
        <v>2020</v>
      </c>
      <c r="D278" t="str">
        <f t="shared" si="4"/>
        <v>RWA2020</v>
      </c>
      <c r="E278">
        <v>4313.2259999999997</v>
      </c>
      <c r="F278">
        <v>3370.1640000000002</v>
      </c>
      <c r="G278">
        <v>0.78135573863983154</v>
      </c>
      <c r="H278">
        <v>27217.598420588765</v>
      </c>
      <c r="I278">
        <v>23227.64855762168</v>
      </c>
      <c r="J278">
        <v>54566.264780987985</v>
      </c>
      <c r="K278">
        <v>4.476463794708252E-2</v>
      </c>
      <c r="L278">
        <v>0.13907656883246164</v>
      </c>
      <c r="M278">
        <v>-0.10549619048833847</v>
      </c>
      <c r="N278">
        <v>-7.5424410402774811E-2</v>
      </c>
      <c r="O278">
        <v>0</v>
      </c>
      <c r="P278">
        <v>0</v>
      </c>
      <c r="Q278">
        <v>1.0236655473709106</v>
      </c>
      <c r="R278">
        <v>0.27816972136497498</v>
      </c>
      <c r="S278">
        <v>0.99357211589813232</v>
      </c>
      <c r="T278">
        <v>0.60534930229187012</v>
      </c>
      <c r="AE278">
        <v>0.12297066697024027</v>
      </c>
      <c r="AF278">
        <v>33.723014871159521</v>
      </c>
      <c r="AG278">
        <v>669611.70250278688</v>
      </c>
      <c r="AH278">
        <v>0.2782619336459119</v>
      </c>
      <c r="AI278">
        <v>13.92282403983814</v>
      </c>
      <c r="AJ278">
        <v>760170.04652582284</v>
      </c>
    </row>
    <row r="279" spans="1:36" x14ac:dyDescent="0.25">
      <c r="A279" t="s">
        <v>26</v>
      </c>
      <c r="B279" t="s">
        <v>59</v>
      </c>
      <c r="C279">
        <v>2021</v>
      </c>
      <c r="D279" t="str">
        <f t="shared" si="4"/>
        <v>RWA2021</v>
      </c>
      <c r="E279">
        <v>3940.085</v>
      </c>
      <c r="F279">
        <v>3236.607</v>
      </c>
      <c r="G279">
        <v>0.82145613431930542</v>
      </c>
      <c r="H279">
        <v>24551.774671055759</v>
      </c>
      <c r="I279">
        <v>21623.781521921755</v>
      </c>
      <c r="J279">
        <v>57950.90499081742</v>
      </c>
      <c r="K279">
        <v>4.476463794708252E-2</v>
      </c>
      <c r="L279">
        <v>0.13556763306149758</v>
      </c>
      <c r="M279">
        <v>-6.9049909710884094E-2</v>
      </c>
      <c r="N279">
        <v>-9.7944855690002441E-2</v>
      </c>
      <c r="O279">
        <v>0</v>
      </c>
      <c r="P279">
        <v>0</v>
      </c>
      <c r="Q279">
        <v>1.0236655473709106</v>
      </c>
      <c r="R279">
        <v>0.27816972136497498</v>
      </c>
      <c r="S279">
        <v>0.99357211589813232</v>
      </c>
      <c r="T279">
        <v>0.60534930229187012</v>
      </c>
      <c r="AE279">
        <v>0.15371173148275621</v>
      </c>
      <c r="AF279">
        <v>38.966872172636144</v>
      </c>
      <c r="AG279">
        <v>773734.90230383421</v>
      </c>
      <c r="AH279">
        <v>0.33308033604697013</v>
      </c>
      <c r="AI279">
        <v>15.405868856087571</v>
      </c>
      <c r="AJ279">
        <v>841142.57363256614</v>
      </c>
    </row>
    <row r="280" spans="1:36" x14ac:dyDescent="0.25">
      <c r="A280" t="s">
        <v>26</v>
      </c>
      <c r="B280" t="s">
        <v>59</v>
      </c>
      <c r="C280">
        <v>2022</v>
      </c>
      <c r="D280" t="str">
        <f t="shared" si="4"/>
        <v>RWA2022</v>
      </c>
      <c r="E280">
        <v>4238.3440000000001</v>
      </c>
      <c r="F280">
        <v>3449.4090000000001</v>
      </c>
      <c r="G280">
        <v>0.81385773420333862</v>
      </c>
      <c r="H280">
        <v>25408.994766713367</v>
      </c>
      <c r="I280">
        <v>21329.602490840483</v>
      </c>
      <c r="J280">
        <v>62224.4783195727</v>
      </c>
      <c r="K280">
        <v>4.476463794708252E-2</v>
      </c>
      <c r="L280">
        <v>0.12860558844444053</v>
      </c>
      <c r="M280">
        <v>-1.360442116856575E-2</v>
      </c>
      <c r="N280">
        <v>3.4914791584014893E-2</v>
      </c>
      <c r="O280">
        <v>0</v>
      </c>
      <c r="P280">
        <v>0</v>
      </c>
      <c r="Q280">
        <v>1.0236655473709106</v>
      </c>
      <c r="R280">
        <v>0.27816972136497498</v>
      </c>
      <c r="S280">
        <v>0.99357211589813232</v>
      </c>
      <c r="T280">
        <v>0.60534930229187012</v>
      </c>
      <c r="AE280">
        <v>0.14131788168574996</v>
      </c>
      <c r="AF280">
        <v>35.673808599238178</v>
      </c>
      <c r="AG280">
        <v>708347.09773601848</v>
      </c>
      <c r="AH280">
        <v>0.31154808670610418</v>
      </c>
      <c r="AI280">
        <v>14.349148090230589</v>
      </c>
      <c r="AJ280">
        <v>783446.84527689533</v>
      </c>
    </row>
    <row r="281" spans="1:36" x14ac:dyDescent="0.25">
      <c r="A281" t="s">
        <v>26</v>
      </c>
      <c r="B281" t="s">
        <v>59</v>
      </c>
      <c r="C281">
        <v>2023</v>
      </c>
      <c r="D281" t="str">
        <f t="shared" si="4"/>
        <v>RWA2023</v>
      </c>
      <c r="E281">
        <v>4674.3980000000001</v>
      </c>
      <c r="F281">
        <v>3759.85</v>
      </c>
      <c r="G281">
        <v>0.80434954166412354</v>
      </c>
      <c r="H281">
        <v>31864.002640810228</v>
      </c>
      <c r="I281">
        <v>27694.558965618275</v>
      </c>
      <c r="J281">
        <v>66858.842388650941</v>
      </c>
      <c r="K281">
        <v>4.476463794708252E-2</v>
      </c>
      <c r="L281">
        <v>0.13271526306559212</v>
      </c>
      <c r="M281">
        <v>0.29840952157974243</v>
      </c>
      <c r="N281">
        <v>0.25404420495033264</v>
      </c>
      <c r="O281">
        <v>0</v>
      </c>
      <c r="P281">
        <v>0</v>
      </c>
      <c r="Q281">
        <v>1.0236655473709106</v>
      </c>
      <c r="R281">
        <v>0.27816972136497498</v>
      </c>
      <c r="S281">
        <v>0.99357211589813232</v>
      </c>
      <c r="T281">
        <v>0.60534930229187012</v>
      </c>
      <c r="AE281">
        <v>0.12747787988365503</v>
      </c>
      <c r="AF281">
        <v>38.304018497113368</v>
      </c>
      <c r="AG281">
        <v>760573.1319261617</v>
      </c>
      <c r="AH281">
        <v>0.28660098035222936</v>
      </c>
      <c r="AI281">
        <v>15.712158384603359</v>
      </c>
      <c r="AJ281">
        <v>857865.62669105513</v>
      </c>
    </row>
    <row r="282" spans="1:36" x14ac:dyDescent="0.25">
      <c r="A282" t="s">
        <v>27</v>
      </c>
      <c r="B282" t="s">
        <v>60</v>
      </c>
      <c r="C282">
        <v>2011</v>
      </c>
      <c r="D282" t="str">
        <f t="shared" si="4"/>
        <v>SDN2011</v>
      </c>
      <c r="E282">
        <v>7309.8810000000003</v>
      </c>
      <c r="F282">
        <v>6361.57</v>
      </c>
      <c r="G282">
        <v>0.87026995420455933</v>
      </c>
      <c r="H282">
        <v>135000.890625</v>
      </c>
      <c r="I282">
        <v>115397.6640625</v>
      </c>
      <c r="J282">
        <v>243119.796875</v>
      </c>
      <c r="K282">
        <v>5.0803378224372864E-2</v>
      </c>
      <c r="L282">
        <v>0.12552526593208313</v>
      </c>
      <c r="M282">
        <v>8.9998384937644005E-3</v>
      </c>
      <c r="N282">
        <v>3.799998015165329E-2</v>
      </c>
      <c r="O282">
        <v>0</v>
      </c>
      <c r="P282">
        <v>0</v>
      </c>
      <c r="Q282">
        <v>2.9540605545043945</v>
      </c>
      <c r="R282">
        <v>0.47593012452125549</v>
      </c>
      <c r="S282">
        <v>0.61152660846710205</v>
      </c>
      <c r="T282">
        <v>0.42088016867637634</v>
      </c>
      <c r="AE282">
        <v>6.6023019450256026E-3</v>
      </c>
      <c r="AF282">
        <v>2.9252031694221392E-10</v>
      </c>
      <c r="AG282">
        <v>316499055.27184784</v>
      </c>
      <c r="AH282">
        <v>0.75738050704046866</v>
      </c>
      <c r="AI282">
        <v>2.2643499850525102E-13</v>
      </c>
      <c r="AJ282">
        <v>115073715.55513515</v>
      </c>
    </row>
    <row r="283" spans="1:36" x14ac:dyDescent="0.25">
      <c r="A283" t="s">
        <v>27</v>
      </c>
      <c r="B283" t="s">
        <v>60</v>
      </c>
      <c r="C283">
        <v>2012</v>
      </c>
      <c r="D283" t="str">
        <f t="shared" si="4"/>
        <v>SDN2012</v>
      </c>
      <c r="E283">
        <v>7468.8065454545431</v>
      </c>
      <c r="F283">
        <v>6421.7573636363522</v>
      </c>
      <c r="G283">
        <v>0.85981035232543945</v>
      </c>
      <c r="H283">
        <v>135933.75</v>
      </c>
      <c r="I283">
        <v>118041.5234375</v>
      </c>
      <c r="J283">
        <v>251429.96875</v>
      </c>
      <c r="K283">
        <v>5.0595540553331375E-2</v>
      </c>
      <c r="L283">
        <v>0.12261626869440079</v>
      </c>
      <c r="M283">
        <v>2.2910857573151588E-2</v>
      </c>
      <c r="N283">
        <v>6.910023745149374E-3</v>
      </c>
      <c r="O283">
        <v>1</v>
      </c>
      <c r="P283">
        <v>1</v>
      </c>
      <c r="Q283">
        <v>2.9540605545043945</v>
      </c>
      <c r="R283">
        <v>0.47593012452125549</v>
      </c>
      <c r="S283">
        <v>0.61152660846710205</v>
      </c>
      <c r="T283">
        <v>0.42088016867637634</v>
      </c>
      <c r="AE283">
        <v>4.8769744312780212E-3</v>
      </c>
      <c r="AF283">
        <v>2.2340210095740334E-10</v>
      </c>
      <c r="AG283">
        <v>241715018.76477149</v>
      </c>
      <c r="AH283">
        <v>0.69714574591101575</v>
      </c>
      <c r="AI283">
        <v>2.1549099829225551E-13</v>
      </c>
      <c r="AJ283">
        <v>109512001.26247302</v>
      </c>
    </row>
    <row r="284" spans="1:36" x14ac:dyDescent="0.25">
      <c r="A284" t="s">
        <v>27</v>
      </c>
      <c r="B284" t="s">
        <v>60</v>
      </c>
      <c r="C284">
        <v>2013</v>
      </c>
      <c r="D284" t="str">
        <f t="shared" si="4"/>
        <v>SDN2013</v>
      </c>
      <c r="E284">
        <v>7627.7320909090922</v>
      </c>
      <c r="F284">
        <v>6481.9447272727266</v>
      </c>
      <c r="G284">
        <v>0.84978663921356201</v>
      </c>
      <c r="H284">
        <v>145173.03125</v>
      </c>
      <c r="I284">
        <v>125995.9140625</v>
      </c>
      <c r="J284">
        <v>259169.203125</v>
      </c>
      <c r="K284">
        <v>5.0835162401199341E-2</v>
      </c>
      <c r="L284">
        <v>0.12384450435638428</v>
      </c>
      <c r="M284">
        <v>6.738637387752533E-2</v>
      </c>
      <c r="N284">
        <v>6.7969001829624176E-2</v>
      </c>
      <c r="O284">
        <v>1</v>
      </c>
      <c r="P284">
        <v>1</v>
      </c>
      <c r="Q284">
        <v>2.9540605545043945</v>
      </c>
      <c r="R284">
        <v>0.47593012452125549</v>
      </c>
      <c r="S284">
        <v>0.61152660846710205</v>
      </c>
      <c r="T284">
        <v>0.42088016867637634</v>
      </c>
      <c r="AE284">
        <v>3.7024462370273061E-3</v>
      </c>
      <c r="AF284">
        <v>1.7010263161743316E-10</v>
      </c>
      <c r="AG284">
        <v>184046437.41996247</v>
      </c>
      <c r="AH284">
        <v>0.6357655100869416</v>
      </c>
      <c r="AI284">
        <v>1.9710063016076628E-13</v>
      </c>
      <c r="AJ284">
        <v>100166060.90304516</v>
      </c>
    </row>
    <row r="285" spans="1:36" x14ac:dyDescent="0.25">
      <c r="A285" t="s">
        <v>27</v>
      </c>
      <c r="B285" t="s">
        <v>60</v>
      </c>
      <c r="C285">
        <v>2014</v>
      </c>
      <c r="D285" t="str">
        <f t="shared" si="4"/>
        <v>SDN2014</v>
      </c>
      <c r="E285">
        <v>7786.6576363636414</v>
      </c>
      <c r="F285">
        <v>6542.1320909090864</v>
      </c>
      <c r="G285">
        <v>0.84017205238342285</v>
      </c>
      <c r="H285">
        <v>155397.671875</v>
      </c>
      <c r="I285">
        <v>142160.0625</v>
      </c>
      <c r="J285">
        <v>266003.90625</v>
      </c>
      <c r="K285">
        <v>5.0513703376054764E-2</v>
      </c>
      <c r="L285">
        <v>0.12140569090843201</v>
      </c>
      <c r="M285">
        <v>0.128291055560112</v>
      </c>
      <c r="N285">
        <v>7.043071836233139E-2</v>
      </c>
      <c r="O285">
        <v>1</v>
      </c>
      <c r="P285">
        <v>1</v>
      </c>
      <c r="Q285">
        <v>2.9540605545043945</v>
      </c>
      <c r="R285">
        <v>0.47593012452125549</v>
      </c>
      <c r="S285">
        <v>0.61152660846710205</v>
      </c>
      <c r="T285">
        <v>0.42088016867637634</v>
      </c>
      <c r="AE285">
        <v>2.878107428905556E-3</v>
      </c>
      <c r="AF285">
        <v>1.4066903645887232E-10</v>
      </c>
      <c r="AG285">
        <v>152200085.14495513</v>
      </c>
      <c r="AH285">
        <v>0.57550411492543385</v>
      </c>
      <c r="AI285">
        <v>1.8980546929341143E-13</v>
      </c>
      <c r="AJ285">
        <v>96458677.891935781</v>
      </c>
    </row>
    <row r="286" spans="1:36" x14ac:dyDescent="0.25">
      <c r="A286" t="s">
        <v>27</v>
      </c>
      <c r="B286" t="s">
        <v>60</v>
      </c>
      <c r="C286">
        <v>2015</v>
      </c>
      <c r="D286" t="str">
        <f t="shared" si="4"/>
        <v>SDN2015</v>
      </c>
      <c r="E286">
        <v>7945.5831818181905</v>
      </c>
      <c r="F286">
        <v>6602.3194545454462</v>
      </c>
      <c r="G286">
        <v>0.83094209432601929</v>
      </c>
      <c r="H286">
        <v>161628.609375</v>
      </c>
      <c r="I286">
        <v>145664.125</v>
      </c>
      <c r="J286">
        <v>273288.75</v>
      </c>
      <c r="K286">
        <v>5.0011415034532547E-2</v>
      </c>
      <c r="L286">
        <v>0.13395664095878601</v>
      </c>
      <c r="M286">
        <v>2.4648712947964668E-2</v>
      </c>
      <c r="N286">
        <v>4.0096722543239594E-2</v>
      </c>
      <c r="O286">
        <v>1</v>
      </c>
      <c r="P286">
        <v>1</v>
      </c>
      <c r="Q286">
        <v>2.9540605545043945</v>
      </c>
      <c r="R286">
        <v>0.47593012452125549</v>
      </c>
      <c r="S286">
        <v>0.61152660846710205</v>
      </c>
      <c r="T286">
        <v>0.42088016867637634</v>
      </c>
      <c r="AE286">
        <v>2.277763949675893E-3</v>
      </c>
      <c r="AF286">
        <v>1.1870933049973366E-10</v>
      </c>
      <c r="AG286">
        <v>128440278.43215185</v>
      </c>
      <c r="AH286">
        <v>0.5174437860263934</v>
      </c>
      <c r="AI286">
        <v>1.8197347712623757E-13</v>
      </c>
      <c r="AJ286">
        <v>92478478.519821003</v>
      </c>
    </row>
    <row r="287" spans="1:36" x14ac:dyDescent="0.25">
      <c r="A287" t="s">
        <v>27</v>
      </c>
      <c r="B287" t="s">
        <v>60</v>
      </c>
      <c r="C287">
        <v>2016</v>
      </c>
      <c r="D287" t="str">
        <f t="shared" si="4"/>
        <v>SDN2016</v>
      </c>
      <c r="E287">
        <v>8104.5087272727396</v>
      </c>
      <c r="F287">
        <v>6662.506818181806</v>
      </c>
      <c r="G287">
        <v>0.82207411527633667</v>
      </c>
      <c r="H287">
        <v>167406.796875</v>
      </c>
      <c r="I287">
        <v>156186.171875</v>
      </c>
      <c r="J287">
        <v>280259.25</v>
      </c>
      <c r="K287">
        <v>4.9095321446657181E-2</v>
      </c>
      <c r="L287">
        <v>0.13346260786056519</v>
      </c>
      <c r="M287">
        <v>7.2234988212585449E-2</v>
      </c>
      <c r="N287">
        <v>3.5749781876802444E-2</v>
      </c>
      <c r="O287">
        <v>1</v>
      </c>
      <c r="P287">
        <v>1</v>
      </c>
      <c r="Q287">
        <v>2.9540605545043945</v>
      </c>
      <c r="R287">
        <v>0.47593012452125549</v>
      </c>
      <c r="S287">
        <v>0.61152660846710205</v>
      </c>
      <c r="T287">
        <v>0.42088016867637634</v>
      </c>
      <c r="AE287">
        <v>1.8329756989103061E-3</v>
      </c>
      <c r="AF287">
        <v>9.898008699103487E-11</v>
      </c>
      <c r="AG287">
        <v>107093771.64245446</v>
      </c>
      <c r="AH287">
        <v>0.46309330826885015</v>
      </c>
      <c r="AI287">
        <v>1.6874402598237825E-13</v>
      </c>
      <c r="AJ287">
        <v>85755303.622263283</v>
      </c>
    </row>
    <row r="288" spans="1:36" x14ac:dyDescent="0.25">
      <c r="A288" t="s">
        <v>27</v>
      </c>
      <c r="B288" t="s">
        <v>60</v>
      </c>
      <c r="C288">
        <v>2017</v>
      </c>
      <c r="D288" t="str">
        <f t="shared" si="4"/>
        <v>SDN2017</v>
      </c>
      <c r="E288">
        <v>8263.4342727272888</v>
      </c>
      <c r="F288">
        <v>6722.6941818181804</v>
      </c>
      <c r="G288">
        <v>0.81354725360870361</v>
      </c>
      <c r="H288">
        <v>175231.5625</v>
      </c>
      <c r="I288">
        <v>166232.078125</v>
      </c>
      <c r="J288">
        <v>283894.125</v>
      </c>
      <c r="K288">
        <v>4.7134127467870712E-2</v>
      </c>
      <c r="L288">
        <v>0.144849494099617</v>
      </c>
      <c r="M288">
        <v>6.4320072531700134E-2</v>
      </c>
      <c r="N288">
        <v>4.6741027384996414E-2</v>
      </c>
      <c r="O288">
        <v>1</v>
      </c>
      <c r="P288">
        <v>1</v>
      </c>
      <c r="Q288">
        <v>2.9540605545043945</v>
      </c>
      <c r="R288">
        <v>0.47593012452125549</v>
      </c>
      <c r="S288">
        <v>0.61152660846710205</v>
      </c>
      <c r="T288">
        <v>0.42088016867637634</v>
      </c>
      <c r="AE288">
        <v>1.5042179580899177E-3</v>
      </c>
      <c r="AF288">
        <v>8.3813295371820905E-11</v>
      </c>
      <c r="AG288">
        <v>90683714.149133503</v>
      </c>
      <c r="AH288">
        <v>0.41437879778993608</v>
      </c>
      <c r="AI288">
        <v>1.558003577682521E-13</v>
      </c>
      <c r="AJ288">
        <v>79177362.914577782</v>
      </c>
    </row>
    <row r="289" spans="1:36" x14ac:dyDescent="0.25">
      <c r="A289" t="s">
        <v>27</v>
      </c>
      <c r="B289" t="s">
        <v>60</v>
      </c>
      <c r="C289">
        <v>2018</v>
      </c>
      <c r="D289" t="str">
        <f t="shared" si="4"/>
        <v>SDN2018</v>
      </c>
      <c r="E289">
        <v>8422.3598181818379</v>
      </c>
      <c r="F289">
        <v>6782.8815454545402</v>
      </c>
      <c r="G289">
        <v>0.80534219741821289</v>
      </c>
      <c r="H289">
        <v>180168.609375</v>
      </c>
      <c r="I289">
        <v>169221.078125</v>
      </c>
      <c r="J289">
        <v>288926.34375</v>
      </c>
      <c r="K289">
        <v>4.5641105622053146E-2</v>
      </c>
      <c r="L289">
        <v>0.15453080832958221</v>
      </c>
      <c r="M289">
        <v>1.7980886623263359E-2</v>
      </c>
      <c r="N289">
        <v>2.8174415230751038E-2</v>
      </c>
      <c r="O289">
        <v>1</v>
      </c>
      <c r="P289">
        <v>1</v>
      </c>
      <c r="Q289">
        <v>2.9540605545043945</v>
      </c>
      <c r="R289">
        <v>0.47593012452125549</v>
      </c>
      <c r="S289">
        <v>0.61152660846710205</v>
      </c>
      <c r="T289">
        <v>0.42088016867637634</v>
      </c>
      <c r="AE289">
        <v>1.2466102907406022E-3</v>
      </c>
      <c r="AF289">
        <v>7.2434076327581504E-11</v>
      </c>
      <c r="AG289">
        <v>78371707.534069389</v>
      </c>
      <c r="AH289">
        <v>0.3695854520415171</v>
      </c>
      <c r="AI289">
        <v>1.4490916824540353E-13</v>
      </c>
      <c r="AJ289">
        <v>73642486.886213809</v>
      </c>
    </row>
    <row r="290" spans="1:36" x14ac:dyDescent="0.25">
      <c r="A290" t="s">
        <v>27</v>
      </c>
      <c r="B290" t="s">
        <v>60</v>
      </c>
      <c r="C290">
        <v>2019</v>
      </c>
      <c r="D290" t="str">
        <f t="shared" si="4"/>
        <v>SDN2019</v>
      </c>
      <c r="E290">
        <v>8581.285363636387</v>
      </c>
      <c r="F290">
        <v>6843.0689090909</v>
      </c>
      <c r="G290">
        <v>0.79744100570678711</v>
      </c>
      <c r="H290">
        <v>182462.5625</v>
      </c>
      <c r="I290">
        <v>170709.171875</v>
      </c>
      <c r="J290">
        <v>294485.125</v>
      </c>
      <c r="K290">
        <v>4.4416885823011398E-2</v>
      </c>
      <c r="L290">
        <v>0.15751124918460846</v>
      </c>
      <c r="M290">
        <v>8.7937852367758751E-3</v>
      </c>
      <c r="N290">
        <v>1.2732257135212421E-2</v>
      </c>
      <c r="O290">
        <v>1</v>
      </c>
      <c r="P290">
        <v>1</v>
      </c>
      <c r="Q290">
        <v>2.9540605545043945</v>
      </c>
      <c r="R290">
        <v>0.47593012452125549</v>
      </c>
      <c r="S290">
        <v>0.61152660846710205</v>
      </c>
      <c r="T290">
        <v>0.42088016867637634</v>
      </c>
      <c r="AE290">
        <v>1.0434391558799888E-3</v>
      </c>
      <c r="AF290">
        <v>6.2105685355882441E-11</v>
      </c>
      <c r="AG290">
        <v>67196668.414763361</v>
      </c>
      <c r="AH290">
        <v>0.32913387813435435</v>
      </c>
      <c r="AI290">
        <v>1.321921277389258E-13</v>
      </c>
      <c r="AJ290">
        <v>67179717.828401342</v>
      </c>
    </row>
    <row r="291" spans="1:36" x14ac:dyDescent="0.25">
      <c r="A291" t="s">
        <v>27</v>
      </c>
      <c r="B291" t="s">
        <v>60</v>
      </c>
      <c r="C291">
        <v>2020</v>
      </c>
      <c r="D291" t="str">
        <f t="shared" si="4"/>
        <v>SDN2020</v>
      </c>
      <c r="E291">
        <v>8740.2109090909362</v>
      </c>
      <c r="F291">
        <v>6903.2562727272743</v>
      </c>
      <c r="G291">
        <v>0.78982716798782349</v>
      </c>
      <c r="H291">
        <v>136530.2674330622</v>
      </c>
      <c r="I291">
        <v>127867.36854345351</v>
      </c>
      <c r="J291">
        <v>283954.48212502478</v>
      </c>
      <c r="K291">
        <v>4.583311453461647E-2</v>
      </c>
      <c r="L291">
        <v>0.112358962289757</v>
      </c>
      <c r="M291">
        <v>-0.25096368789672852</v>
      </c>
      <c r="N291">
        <v>-0.25173544883728027</v>
      </c>
      <c r="O291">
        <v>1</v>
      </c>
      <c r="P291">
        <v>1</v>
      </c>
      <c r="Q291">
        <v>2.9540605545043945</v>
      </c>
      <c r="R291">
        <v>0.47593012452125549</v>
      </c>
      <c r="S291">
        <v>0.61152660846710205</v>
      </c>
      <c r="T291">
        <v>0.42088016867637634</v>
      </c>
      <c r="AE291">
        <v>9.0525946737732201E-4</v>
      </c>
      <c r="AF291">
        <v>5.4366491274553432E-11</v>
      </c>
      <c r="AG291">
        <v>58823070.160424039</v>
      </c>
      <c r="AH291">
        <v>0.29853179545228137</v>
      </c>
      <c r="AI291">
        <v>1.2098111975944138E-13</v>
      </c>
      <c r="AJ291">
        <v>61482310.838166907</v>
      </c>
    </row>
    <row r="292" spans="1:36" x14ac:dyDescent="0.25">
      <c r="A292" t="s">
        <v>27</v>
      </c>
      <c r="B292" t="s">
        <v>60</v>
      </c>
      <c r="C292">
        <v>2021</v>
      </c>
      <c r="D292" t="str">
        <f t="shared" si="4"/>
        <v>SDN2021</v>
      </c>
      <c r="E292">
        <v>8899.1364545454853</v>
      </c>
      <c r="F292">
        <v>6963.4436363636341</v>
      </c>
      <c r="G292">
        <v>0.78248530626296997</v>
      </c>
      <c r="H292">
        <v>170901.19156902592</v>
      </c>
      <c r="I292">
        <v>159933.65205809337</v>
      </c>
      <c r="J292">
        <v>274662.64351067081</v>
      </c>
      <c r="K292">
        <v>4.583311453461647E-2</v>
      </c>
      <c r="L292">
        <v>0.14135716842413298</v>
      </c>
      <c r="M292">
        <v>0.25077769160270691</v>
      </c>
      <c r="N292">
        <v>0.25174582004547119</v>
      </c>
      <c r="O292">
        <v>1</v>
      </c>
      <c r="P292">
        <v>1</v>
      </c>
      <c r="Q292">
        <v>2.9540605545043945</v>
      </c>
      <c r="R292">
        <v>0.47593012452125549</v>
      </c>
      <c r="S292">
        <v>0.61152660846710205</v>
      </c>
      <c r="T292">
        <v>0.42088016867637634</v>
      </c>
      <c r="AE292">
        <v>7.9089141499134961E-4</v>
      </c>
      <c r="AF292">
        <v>3.541143409685539E-11</v>
      </c>
      <c r="AG292">
        <v>38314211.999469645</v>
      </c>
      <c r="AH292">
        <v>0.27101588262633508</v>
      </c>
      <c r="AI292">
        <v>8.1882326572222546E-14</v>
      </c>
      <c r="AJ292">
        <v>41612399.227878712</v>
      </c>
    </row>
    <row r="293" spans="1:36" x14ac:dyDescent="0.25">
      <c r="A293" t="s">
        <v>27</v>
      </c>
      <c r="B293" t="s">
        <v>60</v>
      </c>
      <c r="C293">
        <v>2022</v>
      </c>
      <c r="D293" t="str">
        <f t="shared" si="4"/>
        <v>SDN2022</v>
      </c>
      <c r="E293">
        <v>9058.0619999999999</v>
      </c>
      <c r="F293">
        <v>7023.6310000000003</v>
      </c>
      <c r="G293">
        <v>0.77540105581283569</v>
      </c>
      <c r="H293">
        <v>172553.94178878126</v>
      </c>
      <c r="I293">
        <v>160706.78816686559</v>
      </c>
      <c r="J293">
        <v>268054.38973726571</v>
      </c>
      <c r="K293">
        <v>4.583311453461647E-2</v>
      </c>
      <c r="L293">
        <v>0.13739276378216334</v>
      </c>
      <c r="M293">
        <v>4.8341052606701851E-3</v>
      </c>
      <c r="N293">
        <v>9.6707940101623535E-3</v>
      </c>
      <c r="O293">
        <v>0</v>
      </c>
      <c r="P293">
        <v>0</v>
      </c>
      <c r="Q293">
        <v>2.9540605545043945</v>
      </c>
      <c r="R293">
        <v>0.47593012452125549</v>
      </c>
      <c r="S293">
        <v>0.61152660846710205</v>
      </c>
      <c r="T293">
        <v>0.42088016867637634</v>
      </c>
      <c r="U293">
        <v>22595604</v>
      </c>
      <c r="V293">
        <v>4540.93798828125</v>
      </c>
      <c r="W293">
        <v>54051.30859375</v>
      </c>
      <c r="X293">
        <v>5102.0419921875</v>
      </c>
      <c r="Y293">
        <v>248</v>
      </c>
      <c r="Z293">
        <v>1345</v>
      </c>
      <c r="AA293">
        <v>18</v>
      </c>
      <c r="AB293">
        <v>756</v>
      </c>
      <c r="AC293" t="s">
        <v>375</v>
      </c>
      <c r="AD293">
        <v>2022</v>
      </c>
      <c r="AE293">
        <v>6.9332861571539783E-4</v>
      </c>
      <c r="AF293">
        <v>3.8717636466219054E-11</v>
      </c>
      <c r="AG293">
        <v>41891433.360978901</v>
      </c>
      <c r="AH293">
        <v>0.2457834329749021</v>
      </c>
      <c r="AI293">
        <v>9.2617082360632378E-14</v>
      </c>
      <c r="AJ293">
        <v>47067776.012844525</v>
      </c>
    </row>
    <row r="294" spans="1:36" x14ac:dyDescent="0.25">
      <c r="A294" t="s">
        <v>28</v>
      </c>
      <c r="B294" t="s">
        <v>61</v>
      </c>
      <c r="C294">
        <v>2014</v>
      </c>
      <c r="D294" t="str">
        <f t="shared" si="4"/>
        <v>TZA2014</v>
      </c>
      <c r="E294">
        <v>21160.465</v>
      </c>
      <c r="F294">
        <v>18410.810000000001</v>
      </c>
      <c r="G294">
        <v>0.87005698680877686</v>
      </c>
      <c r="H294">
        <v>100875.71875</v>
      </c>
      <c r="I294">
        <v>88213.140625</v>
      </c>
      <c r="J294">
        <v>235502.84375</v>
      </c>
      <c r="K294">
        <v>4.5459780842065811E-2</v>
      </c>
      <c r="L294">
        <v>7.7632665634155273E-2</v>
      </c>
      <c r="M294">
        <v>5.4439309984445572E-2</v>
      </c>
      <c r="N294">
        <v>6.7324623465538025E-2</v>
      </c>
      <c r="O294">
        <v>0</v>
      </c>
      <c r="P294">
        <v>0</v>
      </c>
      <c r="Q294">
        <v>0.84284043312072754</v>
      </c>
      <c r="R294">
        <v>0.28809371590614319</v>
      </c>
      <c r="S294">
        <v>1.0256248712539673</v>
      </c>
      <c r="T294">
        <v>0.41710415482521057</v>
      </c>
      <c r="AE294">
        <v>0.53309774078097616</v>
      </c>
      <c r="AF294">
        <v>23.729050877493382</v>
      </c>
      <c r="AG294">
        <v>12765969.607585637</v>
      </c>
      <c r="AH294">
        <v>0.59678631870251209</v>
      </c>
      <c r="AI294">
        <v>19.522516157760208</v>
      </c>
      <c r="AJ294">
        <v>13614821.812027168</v>
      </c>
    </row>
    <row r="295" spans="1:36" x14ac:dyDescent="0.25">
      <c r="A295" t="s">
        <v>28</v>
      </c>
      <c r="B295" t="s">
        <v>61</v>
      </c>
      <c r="C295">
        <v>2015</v>
      </c>
      <c r="D295" t="str">
        <f t="shared" si="4"/>
        <v>TZA2015</v>
      </c>
      <c r="E295">
        <v>21973.993000000017</v>
      </c>
      <c r="F295">
        <v>19342.891166666755</v>
      </c>
      <c r="G295">
        <v>0.88026291131973267</v>
      </c>
      <c r="H295">
        <v>107090.3046875</v>
      </c>
      <c r="I295">
        <v>94119.390625</v>
      </c>
      <c r="J295">
        <v>256648.265625</v>
      </c>
      <c r="K295">
        <v>4.5168675482273102E-2</v>
      </c>
      <c r="L295">
        <v>7.7994547784328461E-2</v>
      </c>
      <c r="M295">
        <v>6.695430725812912E-2</v>
      </c>
      <c r="N295">
        <v>6.1606362462043762E-2</v>
      </c>
      <c r="O295">
        <v>1</v>
      </c>
      <c r="P295">
        <v>1</v>
      </c>
      <c r="Q295">
        <v>0.84284043312072754</v>
      </c>
      <c r="R295">
        <v>0.28809371590614319</v>
      </c>
      <c r="S295">
        <v>1.0256248712539673</v>
      </c>
      <c r="T295">
        <v>0.41710415482521057</v>
      </c>
      <c r="AE295">
        <v>0.5412955501134501</v>
      </c>
      <c r="AF295">
        <v>25.191745255800377</v>
      </c>
      <c r="AG295">
        <v>13552883.170840045</v>
      </c>
      <c r="AH295">
        <v>0.60469509121288911</v>
      </c>
      <c r="AI295">
        <v>20.682529349951938</v>
      </c>
      <c r="AJ295">
        <v>14423804.259969123</v>
      </c>
    </row>
    <row r="296" spans="1:36" x14ac:dyDescent="0.25">
      <c r="A296" t="s">
        <v>28</v>
      </c>
      <c r="B296" t="s">
        <v>61</v>
      </c>
      <c r="C296">
        <v>2016</v>
      </c>
      <c r="D296" t="str">
        <f t="shared" si="4"/>
        <v>TZA2016</v>
      </c>
      <c r="E296">
        <v>22787.521000000183</v>
      </c>
      <c r="F296">
        <v>20274.972333333455</v>
      </c>
      <c r="G296">
        <v>0.88974016904830933</v>
      </c>
      <c r="H296">
        <v>114444.3125</v>
      </c>
      <c r="I296">
        <v>95432.421875</v>
      </c>
      <c r="J296">
        <v>281988.5625</v>
      </c>
      <c r="K296">
        <v>4.4168908149003983E-2</v>
      </c>
      <c r="L296">
        <v>7.4129268527030945E-2</v>
      </c>
      <c r="M296">
        <v>1.3950699009001255E-2</v>
      </c>
      <c r="N296">
        <v>6.8671092391014099E-2</v>
      </c>
      <c r="O296">
        <v>1</v>
      </c>
      <c r="P296">
        <v>1</v>
      </c>
      <c r="Q296">
        <v>0.84284043312072754</v>
      </c>
      <c r="R296">
        <v>0.28809371590614319</v>
      </c>
      <c r="S296">
        <v>1.0256248712539673</v>
      </c>
      <c r="T296">
        <v>0.41710415482521057</v>
      </c>
      <c r="AE296">
        <v>0.54907190363145209</v>
      </c>
      <c r="AF296">
        <v>26.600597410284479</v>
      </c>
      <c r="AG296">
        <v>14310830.207094427</v>
      </c>
      <c r="AH296">
        <v>0.61216672797167304</v>
      </c>
      <c r="AI296">
        <v>21.795924643999339</v>
      </c>
      <c r="AJ296">
        <v>15200275.817851756</v>
      </c>
    </row>
    <row r="297" spans="1:36" x14ac:dyDescent="0.25">
      <c r="A297" t="s">
        <v>28</v>
      </c>
      <c r="B297" t="s">
        <v>61</v>
      </c>
      <c r="C297">
        <v>2017</v>
      </c>
      <c r="D297" t="str">
        <f t="shared" si="4"/>
        <v>TZA2017</v>
      </c>
      <c r="E297">
        <v>23601.049000000115</v>
      </c>
      <c r="F297">
        <v>21207.053499999922</v>
      </c>
      <c r="G297">
        <v>0.89856404066085815</v>
      </c>
      <c r="H297">
        <v>122195.53125</v>
      </c>
      <c r="I297">
        <v>99525.2265625</v>
      </c>
      <c r="J297">
        <v>312091.8125</v>
      </c>
      <c r="K297">
        <v>4.2936768382787704E-2</v>
      </c>
      <c r="L297">
        <v>7.1316830813884735E-2</v>
      </c>
      <c r="M297">
        <v>4.2886942625045776E-2</v>
      </c>
      <c r="N297">
        <v>6.7729175090789795E-2</v>
      </c>
      <c r="O297">
        <v>1</v>
      </c>
      <c r="P297">
        <v>1</v>
      </c>
      <c r="Q297">
        <v>0.84284043312072754</v>
      </c>
      <c r="R297">
        <v>0.28809371590614319</v>
      </c>
      <c r="S297">
        <v>1.0256248712539673</v>
      </c>
      <c r="T297">
        <v>0.41710415482521057</v>
      </c>
      <c r="AE297">
        <v>0.55655324270307394</v>
      </c>
      <c r="AF297">
        <v>28.279455923244463</v>
      </c>
      <c r="AG297">
        <v>15214037.708419805</v>
      </c>
      <c r="AH297">
        <v>0.61932701469243567</v>
      </c>
      <c r="AI297">
        <v>23.127450674725928</v>
      </c>
      <c r="AJ297">
        <v>16128869.72961616</v>
      </c>
    </row>
    <row r="298" spans="1:36" x14ac:dyDescent="0.25">
      <c r="A298" t="s">
        <v>28</v>
      </c>
      <c r="B298" t="s">
        <v>61</v>
      </c>
      <c r="C298">
        <v>2018</v>
      </c>
      <c r="D298" t="str">
        <f t="shared" si="4"/>
        <v>TZA2018</v>
      </c>
      <c r="E298">
        <v>24414.577000000048</v>
      </c>
      <c r="F298">
        <v>22139.134666666621</v>
      </c>
      <c r="G298">
        <v>0.90679985284805298</v>
      </c>
      <c r="H298">
        <v>130690.0859375</v>
      </c>
      <c r="I298">
        <v>104661.046875</v>
      </c>
      <c r="J298">
        <v>347799.90625</v>
      </c>
      <c r="K298">
        <v>4.1832201182842255E-2</v>
      </c>
      <c r="L298">
        <v>7.0591174066066742E-2</v>
      </c>
      <c r="M298">
        <v>5.1603201776742935E-2</v>
      </c>
      <c r="N298">
        <v>6.9516085088253021E-2</v>
      </c>
      <c r="O298">
        <v>1</v>
      </c>
      <c r="P298">
        <v>1</v>
      </c>
      <c r="Q298">
        <v>0.84284043312072754</v>
      </c>
      <c r="R298">
        <v>0.28809371590614319</v>
      </c>
      <c r="S298">
        <v>1.0256248712539673</v>
      </c>
      <c r="T298">
        <v>0.41710415482521057</v>
      </c>
      <c r="AE298">
        <v>0.56383082689361119</v>
      </c>
      <c r="AF298">
        <v>30.045720565274969</v>
      </c>
      <c r="AG298">
        <v>16164268.750340706</v>
      </c>
      <c r="AH298">
        <v>0.62626619166017461</v>
      </c>
      <c r="AI298">
        <v>24.526534105308691</v>
      </c>
      <c r="AJ298">
        <v>17104577.545843132</v>
      </c>
    </row>
    <row r="299" spans="1:36" x14ac:dyDescent="0.25">
      <c r="A299" t="s">
        <v>28</v>
      </c>
      <c r="B299" t="s">
        <v>61</v>
      </c>
      <c r="C299">
        <v>2019</v>
      </c>
      <c r="D299" t="str">
        <f t="shared" si="4"/>
        <v>TZA2019</v>
      </c>
      <c r="E299">
        <v>25228.105000000214</v>
      </c>
      <c r="F299">
        <v>23071.215833333321</v>
      </c>
      <c r="G299">
        <v>0.9145045280456543</v>
      </c>
      <c r="H299">
        <v>139809.578125</v>
      </c>
      <c r="I299">
        <v>107850.8046875</v>
      </c>
      <c r="J299">
        <v>389918.90625</v>
      </c>
      <c r="K299">
        <v>4.0937379002571106E-2</v>
      </c>
      <c r="L299">
        <v>6.9299884140491486E-2</v>
      </c>
      <c r="M299">
        <v>3.0477030202746391E-2</v>
      </c>
      <c r="N299">
        <v>6.9779522716999054E-2</v>
      </c>
      <c r="O299">
        <v>1</v>
      </c>
      <c r="P299">
        <v>1</v>
      </c>
      <c r="Q299">
        <v>0.84284043312072754</v>
      </c>
      <c r="R299">
        <v>0.28809371590614319</v>
      </c>
      <c r="S299">
        <v>1.0256248712539673</v>
      </c>
      <c r="T299">
        <v>0.41710415482521057</v>
      </c>
      <c r="AE299">
        <v>0.57103884316830666</v>
      </c>
      <c r="AF299">
        <v>31.990167179831456</v>
      </c>
      <c r="AG299">
        <v>17210359.742903113</v>
      </c>
      <c r="AH299">
        <v>0.63311380627894787</v>
      </c>
      <c r="AI299">
        <v>26.066099590246342</v>
      </c>
      <c r="AJ299">
        <v>18178256.244633265</v>
      </c>
    </row>
    <row r="300" spans="1:36" x14ac:dyDescent="0.25">
      <c r="A300" t="s">
        <v>28</v>
      </c>
      <c r="B300" t="s">
        <v>61</v>
      </c>
      <c r="C300">
        <v>2020</v>
      </c>
      <c r="D300" t="str">
        <f t="shared" si="4"/>
        <v>TZA2020</v>
      </c>
      <c r="E300">
        <v>26041.633000000002</v>
      </c>
      <c r="F300">
        <v>24003.296999999999</v>
      </c>
      <c r="G300">
        <v>0.92172777652740479</v>
      </c>
      <c r="H300">
        <v>137079.01266647057</v>
      </c>
      <c r="I300">
        <v>105975.29328820661</v>
      </c>
      <c r="J300">
        <v>427406.05521311658</v>
      </c>
      <c r="K300">
        <v>4.3520376086235046E-2</v>
      </c>
      <c r="L300">
        <v>6.5822335179252581E-2</v>
      </c>
      <c r="M300">
        <v>-1.7389869317412376E-2</v>
      </c>
      <c r="N300">
        <v>-1.9530603662133217E-2</v>
      </c>
      <c r="O300">
        <v>0</v>
      </c>
      <c r="P300">
        <v>0</v>
      </c>
      <c r="Q300">
        <v>0.84284043312072754</v>
      </c>
      <c r="R300">
        <v>0.28809371590614319</v>
      </c>
      <c r="S300">
        <v>1.0256248712539673</v>
      </c>
      <c r="T300">
        <v>0.41710415482521057</v>
      </c>
      <c r="U300">
        <v>7821.6328125</v>
      </c>
      <c r="V300">
        <v>918.19000244140625</v>
      </c>
      <c r="W300">
        <v>6358.34423828125</v>
      </c>
      <c r="X300">
        <v>967.56890869140625</v>
      </c>
      <c r="Y300">
        <v>513</v>
      </c>
      <c r="Z300">
        <v>1377</v>
      </c>
      <c r="AA300">
        <v>150</v>
      </c>
      <c r="AB300">
        <v>710</v>
      </c>
      <c r="AD300">
        <v>2023</v>
      </c>
      <c r="AE300">
        <v>0.58025326132069222</v>
      </c>
      <c r="AF300">
        <v>34.204903085474101</v>
      </c>
      <c r="AG300">
        <v>18401863.415183548</v>
      </c>
      <c r="AH300">
        <v>0.64183115709096439</v>
      </c>
      <c r="AI300">
        <v>27.805773253242041</v>
      </c>
      <c r="AJ300">
        <v>19391488.531975906</v>
      </c>
    </row>
    <row r="301" spans="1:36" x14ac:dyDescent="0.25">
      <c r="A301" t="s">
        <v>29</v>
      </c>
      <c r="B301" t="s">
        <v>62</v>
      </c>
      <c r="C301">
        <v>2017</v>
      </c>
      <c r="D301" t="str">
        <f t="shared" si="4"/>
        <v>ZMB2017</v>
      </c>
      <c r="E301">
        <v>5418.9560000000001</v>
      </c>
      <c r="F301">
        <v>4232.6980000000003</v>
      </c>
      <c r="G301">
        <v>0.78109103441238403</v>
      </c>
      <c r="H301">
        <v>53331.15234375</v>
      </c>
      <c r="I301">
        <v>36546.90625</v>
      </c>
      <c r="J301">
        <v>254628.671875</v>
      </c>
      <c r="K301">
        <v>4.5144472271203995E-2</v>
      </c>
      <c r="L301">
        <v>0.16825181245803833</v>
      </c>
      <c r="M301">
        <v>-4.6598818153142929E-2</v>
      </c>
      <c r="N301">
        <v>3.5274844616651535E-2</v>
      </c>
      <c r="O301">
        <v>0</v>
      </c>
      <c r="P301">
        <v>0</v>
      </c>
      <c r="Q301">
        <v>1.2905683517456055</v>
      </c>
      <c r="R301">
        <v>8.1978157162666321E-2</v>
      </c>
      <c r="S301">
        <v>1.4124890565872192</v>
      </c>
      <c r="T301">
        <v>0.22843942046165466</v>
      </c>
      <c r="AE301">
        <v>9.112720450390277E-2</v>
      </c>
      <c r="AF301">
        <v>57.206017453507343</v>
      </c>
      <c r="AG301">
        <v>104468338.33925848</v>
      </c>
      <c r="AH301">
        <v>0.2831358086393031</v>
      </c>
      <c r="AI301">
        <v>21.180424677947233</v>
      </c>
      <c r="AJ301">
        <v>152366890.47927684</v>
      </c>
    </row>
    <row r="302" spans="1:36" x14ac:dyDescent="0.25">
      <c r="A302" t="s">
        <v>29</v>
      </c>
      <c r="B302" t="s">
        <v>62</v>
      </c>
      <c r="C302">
        <v>2018</v>
      </c>
      <c r="D302" t="str">
        <f t="shared" si="4"/>
        <v>ZMB2018</v>
      </c>
      <c r="E302">
        <v>5266.4170000000004</v>
      </c>
      <c r="F302">
        <v>4108.4759999999997</v>
      </c>
      <c r="G302">
        <v>0.78012734651565552</v>
      </c>
      <c r="H302">
        <v>55482.79296875</v>
      </c>
      <c r="I302">
        <v>34835.765625</v>
      </c>
      <c r="J302">
        <v>269441.59375</v>
      </c>
      <c r="K302">
        <v>4.5014031231403351E-2</v>
      </c>
      <c r="L302">
        <v>0.15280936658382416</v>
      </c>
      <c r="M302">
        <v>-4.6820394694805145E-2</v>
      </c>
      <c r="N302">
        <v>4.0344912558794022E-2</v>
      </c>
      <c r="O302">
        <v>0</v>
      </c>
      <c r="P302">
        <v>0</v>
      </c>
      <c r="Q302">
        <v>1.2905683517456055</v>
      </c>
      <c r="R302">
        <v>8.1978157162666321E-2</v>
      </c>
      <c r="S302">
        <v>1.4124890565872192</v>
      </c>
      <c r="T302">
        <v>0.22843942046165466</v>
      </c>
      <c r="AE302">
        <v>9.2775423960668291E-2</v>
      </c>
      <c r="AF302">
        <v>60.706820699780998</v>
      </c>
      <c r="AG302">
        <v>110861426.23928791</v>
      </c>
      <c r="AH302">
        <v>0.287159635310207</v>
      </c>
      <c r="AI302">
        <v>22.391033136773594</v>
      </c>
      <c r="AJ302">
        <v>161075717.10877007</v>
      </c>
    </row>
    <row r="303" spans="1:36" x14ac:dyDescent="0.25">
      <c r="A303" t="s">
        <v>29</v>
      </c>
      <c r="B303" t="s">
        <v>62</v>
      </c>
      <c r="C303">
        <v>2019</v>
      </c>
      <c r="D303" t="str">
        <f t="shared" si="4"/>
        <v>ZMB2019</v>
      </c>
      <c r="E303">
        <v>5459.3459999999995</v>
      </c>
      <c r="F303">
        <v>4300.1019999999999</v>
      </c>
      <c r="G303">
        <v>0.78765881061553955</v>
      </c>
      <c r="H303">
        <v>56282.2734375</v>
      </c>
      <c r="I303">
        <v>38596.1328125</v>
      </c>
      <c r="J303">
        <v>285138.8125</v>
      </c>
      <c r="K303">
        <v>4.4661246240139008E-2</v>
      </c>
      <c r="L303">
        <v>0.17133063077926636</v>
      </c>
      <c r="M303">
        <v>0.10794559121131897</v>
      </c>
      <c r="N303">
        <v>1.4409520663321018E-2</v>
      </c>
      <c r="O303">
        <v>0</v>
      </c>
      <c r="P303">
        <v>0</v>
      </c>
      <c r="Q303">
        <v>1.2905683517456055</v>
      </c>
      <c r="R303">
        <v>8.1978157162666321E-2</v>
      </c>
      <c r="S303">
        <v>1.4124890565872192</v>
      </c>
      <c r="T303">
        <v>0.22843942046165466</v>
      </c>
      <c r="U303">
        <v>31529.40625</v>
      </c>
      <c r="V303">
        <v>872.984130859375</v>
      </c>
      <c r="W303">
        <v>11619.494140625</v>
      </c>
      <c r="X303">
        <v>1267.3330078125</v>
      </c>
      <c r="Y303">
        <v>563</v>
      </c>
      <c r="Z303">
        <v>659</v>
      </c>
      <c r="AA303">
        <v>155</v>
      </c>
      <c r="AB303">
        <v>162</v>
      </c>
      <c r="AD303">
        <v>2019</v>
      </c>
      <c r="AE303">
        <v>9.3139702458956655E-2</v>
      </c>
      <c r="AF303">
        <v>62.747162437388148</v>
      </c>
      <c r="AG303">
        <v>114587452.28445505</v>
      </c>
      <c r="AH303">
        <v>0.2880448247932873</v>
      </c>
      <c r="AI303">
        <v>23.124136258737085</v>
      </c>
      <c r="AJ303">
        <v>166349484.97663197</v>
      </c>
    </row>
    <row r="304" spans="1:36" x14ac:dyDescent="0.25">
      <c r="A304" t="s">
        <v>29</v>
      </c>
      <c r="B304" t="s">
        <v>62</v>
      </c>
      <c r="C304">
        <v>2020</v>
      </c>
      <c r="D304" t="str">
        <f t="shared" si="4"/>
        <v>ZMB2020</v>
      </c>
      <c r="E304">
        <v>5665.7259999999997</v>
      </c>
      <c r="F304">
        <v>4508.6750000000002</v>
      </c>
      <c r="G304">
        <v>0.79578065872192383</v>
      </c>
      <c r="H304">
        <v>52979.069726485846</v>
      </c>
      <c r="I304">
        <v>38756.109869968896</v>
      </c>
      <c r="J304">
        <v>289286.66733029392</v>
      </c>
      <c r="K304">
        <v>4.5364454388618469E-2</v>
      </c>
      <c r="L304">
        <v>0.21281655295676602</v>
      </c>
      <c r="M304">
        <v>4.1448986157774925E-3</v>
      </c>
      <c r="N304">
        <v>-5.8689948171377182E-2</v>
      </c>
      <c r="O304">
        <v>0</v>
      </c>
      <c r="P304">
        <v>0</v>
      </c>
      <c r="Q304">
        <v>1.2905683517456055</v>
      </c>
      <c r="R304">
        <v>8.1978157162666321E-2</v>
      </c>
      <c r="S304">
        <v>1.4124890565872192</v>
      </c>
      <c r="T304">
        <v>0.22843942046165466</v>
      </c>
      <c r="AE304">
        <v>9.4165041953219009E-2</v>
      </c>
      <c r="AF304">
        <v>59.072126720831335</v>
      </c>
      <c r="AG304">
        <v>107876184.9783864</v>
      </c>
      <c r="AH304">
        <v>0.29052840877198749</v>
      </c>
      <c r="AI304">
        <v>21.718393934842066</v>
      </c>
      <c r="AJ304">
        <v>156236912.1664179</v>
      </c>
    </row>
    <row r="305" spans="1:36" x14ac:dyDescent="0.25">
      <c r="A305" t="s">
        <v>29</v>
      </c>
      <c r="B305" t="s">
        <v>62</v>
      </c>
      <c r="C305">
        <v>2021</v>
      </c>
      <c r="D305" t="str">
        <f t="shared" si="4"/>
        <v>ZMB2021</v>
      </c>
      <c r="E305">
        <v>5725.5739999999996</v>
      </c>
      <c r="F305">
        <v>4573.777</v>
      </c>
      <c r="G305">
        <v>0.79883289337158203</v>
      </c>
      <c r="H305">
        <v>54496.836626478806</v>
      </c>
      <c r="I305">
        <v>46628.455660016094</v>
      </c>
      <c r="J305">
        <v>297559.83355182834</v>
      </c>
      <c r="K305">
        <v>4.5364454388618469E-2</v>
      </c>
      <c r="L305">
        <v>0.26029261668466697</v>
      </c>
      <c r="M305">
        <v>0.20312528312206268</v>
      </c>
      <c r="N305">
        <v>2.864842489361763E-2</v>
      </c>
      <c r="O305">
        <v>0</v>
      </c>
      <c r="P305">
        <v>0</v>
      </c>
      <c r="Q305">
        <v>1.2905683517456055</v>
      </c>
      <c r="R305">
        <v>8.1978157162666321E-2</v>
      </c>
      <c r="S305">
        <v>1.4124890565872192</v>
      </c>
      <c r="T305">
        <v>0.22843942046165466</v>
      </c>
      <c r="AE305">
        <v>9.4749843505047837E-2</v>
      </c>
      <c r="AF305">
        <v>60.941914388479397</v>
      </c>
      <c r="AG305">
        <v>111290749.02919073</v>
      </c>
      <c r="AH305">
        <v>0.29193967539008864</v>
      </c>
      <c r="AI305">
        <v>22.375714420528155</v>
      </c>
      <c r="AJ305">
        <v>160965517.94157007</v>
      </c>
    </row>
    <row r="306" spans="1:36" x14ac:dyDescent="0.25">
      <c r="A306" t="s">
        <v>29</v>
      </c>
      <c r="B306" t="s">
        <v>62</v>
      </c>
      <c r="C306">
        <v>2022</v>
      </c>
      <c r="D306" t="str">
        <f t="shared" si="4"/>
        <v>ZMB2022</v>
      </c>
      <c r="E306">
        <v>5807.6220000000003</v>
      </c>
      <c r="F306">
        <v>4617.1670000000004</v>
      </c>
      <c r="G306">
        <v>0.79501849412918091</v>
      </c>
      <c r="H306">
        <v>62393.910301317745</v>
      </c>
      <c r="I306">
        <v>50235.541816506418</v>
      </c>
      <c r="J306">
        <v>303681.00264853152</v>
      </c>
      <c r="K306">
        <v>4.5364454388618469E-2</v>
      </c>
      <c r="L306">
        <v>0.18269043965177281</v>
      </c>
      <c r="M306">
        <v>7.7358044683933258E-2</v>
      </c>
      <c r="N306">
        <v>0.1449088454246521</v>
      </c>
      <c r="O306">
        <v>0</v>
      </c>
      <c r="P306">
        <v>0</v>
      </c>
      <c r="Q306">
        <v>1.2905683517456055</v>
      </c>
      <c r="R306">
        <v>8.1978157162666321E-2</v>
      </c>
      <c r="S306">
        <v>1.4124890565872192</v>
      </c>
      <c r="T306">
        <v>0.22843942046165466</v>
      </c>
      <c r="AE306">
        <v>9.1198515485286152E-2</v>
      </c>
      <c r="AF306">
        <v>67.013072914154264</v>
      </c>
      <c r="AG306">
        <v>122377761.74576274</v>
      </c>
      <c r="AH306">
        <v>0.28331053770532988</v>
      </c>
      <c r="AI306">
        <v>24.807368096491842</v>
      </c>
      <c r="AJ306">
        <v>178458250.73435742</v>
      </c>
    </row>
    <row r="307" spans="1:36" x14ac:dyDescent="0.25">
      <c r="A307" t="s">
        <v>29</v>
      </c>
      <c r="B307" t="s">
        <v>62</v>
      </c>
      <c r="C307">
        <v>2023</v>
      </c>
      <c r="D307" t="str">
        <f t="shared" si="4"/>
        <v>ZMB2023</v>
      </c>
      <c r="E307">
        <v>6760.6490000000003</v>
      </c>
      <c r="F307">
        <v>5326.085</v>
      </c>
      <c r="G307">
        <v>0.78780674934387207</v>
      </c>
      <c r="H307">
        <v>59215.268417732914</v>
      </c>
      <c r="I307">
        <v>40879.242458679852</v>
      </c>
      <c r="J307">
        <v>305881.2597333173</v>
      </c>
      <c r="K307">
        <v>4.5364454388618469E-2</v>
      </c>
      <c r="L307">
        <v>0.20535397309058731</v>
      </c>
      <c r="M307">
        <v>-0.18624860048294067</v>
      </c>
      <c r="N307">
        <v>-5.0944745540618896E-2</v>
      </c>
      <c r="O307">
        <v>0</v>
      </c>
      <c r="P307">
        <v>0</v>
      </c>
      <c r="Q307">
        <v>1.2905683517456055</v>
      </c>
      <c r="R307">
        <v>8.1978157162666321E-2</v>
      </c>
      <c r="S307">
        <v>1.4124890565872192</v>
      </c>
      <c r="T307">
        <v>0.22843942046165466</v>
      </c>
      <c r="AE307">
        <v>7.5314955643147524E-2</v>
      </c>
      <c r="AF307">
        <v>50.836286210405461</v>
      </c>
      <c r="AG307">
        <v>92836078.86279121</v>
      </c>
      <c r="AH307">
        <v>0.24291104813373096</v>
      </c>
      <c r="AI307">
        <v>19.538267791390833</v>
      </c>
      <c r="AJ307">
        <v>140553608.05986223</v>
      </c>
    </row>
    <row r="308" spans="1:36" x14ac:dyDescent="0.25">
      <c r="A308" t="s">
        <v>30</v>
      </c>
      <c r="B308" t="s">
        <v>63</v>
      </c>
      <c r="C308">
        <v>2011</v>
      </c>
      <c r="D308" t="str">
        <f t="shared" si="4"/>
        <v>ZWE2011</v>
      </c>
      <c r="E308">
        <v>5431.0259999999998</v>
      </c>
      <c r="F308">
        <v>4192.5</v>
      </c>
      <c r="G308">
        <v>0.77195358276367188</v>
      </c>
      <c r="H308">
        <v>33882.265625</v>
      </c>
      <c r="I308">
        <v>32764.99609375</v>
      </c>
      <c r="J308">
        <v>46106.67578125</v>
      </c>
      <c r="K308">
        <v>4.6890433877706528E-2</v>
      </c>
      <c r="L308">
        <v>0.20259222388267517</v>
      </c>
      <c r="M308">
        <v>7.5722754001617432E-2</v>
      </c>
      <c r="N308">
        <v>0.14193902909755707</v>
      </c>
      <c r="O308">
        <v>0</v>
      </c>
      <c r="P308">
        <v>0</v>
      </c>
      <c r="Q308">
        <v>0.87114787101745605</v>
      </c>
      <c r="R308">
        <v>0.43449521064758301</v>
      </c>
      <c r="S308">
        <v>1.2554519176483154</v>
      </c>
      <c r="T308">
        <v>1.1350709199905396</v>
      </c>
      <c r="AE308">
        <v>0.28115804082209839</v>
      </c>
      <c r="AF308">
        <v>3.8982684846962328</v>
      </c>
      <c r="AG308">
        <v>404.93738001199057</v>
      </c>
      <c r="AH308">
        <v>0.21201465628960847</v>
      </c>
      <c r="AI308">
        <v>4.1476214379676577</v>
      </c>
      <c r="AJ308">
        <v>296.37794839329672</v>
      </c>
    </row>
    <row r="309" spans="1:36" x14ac:dyDescent="0.25">
      <c r="A309" t="s">
        <v>30</v>
      </c>
      <c r="B309" t="s">
        <v>63</v>
      </c>
      <c r="C309">
        <v>2012</v>
      </c>
      <c r="D309" t="str">
        <f t="shared" si="4"/>
        <v>ZWE2012</v>
      </c>
      <c r="E309">
        <v>5709.0916666666744</v>
      </c>
      <c r="F309">
        <v>4447.3606666666456</v>
      </c>
      <c r="G309">
        <v>0.77899616956710815</v>
      </c>
      <c r="H309">
        <v>39528.890625</v>
      </c>
      <c r="I309">
        <v>42363.453125</v>
      </c>
      <c r="J309">
        <v>48841.25390625</v>
      </c>
      <c r="K309">
        <v>5.0659094005823135E-2</v>
      </c>
      <c r="L309">
        <v>0.20417776703834534</v>
      </c>
      <c r="M309">
        <v>0.29294851422309875</v>
      </c>
      <c r="N309">
        <v>0.16665428876876831</v>
      </c>
      <c r="O309">
        <v>1</v>
      </c>
      <c r="P309">
        <v>1</v>
      </c>
      <c r="Q309">
        <v>0.87114787101745605</v>
      </c>
      <c r="R309">
        <v>0.43449521064758301</v>
      </c>
      <c r="S309">
        <v>1.2554519176483154</v>
      </c>
      <c r="T309">
        <v>1.1350709199905396</v>
      </c>
      <c r="AE309">
        <v>0.28639751083328452</v>
      </c>
      <c r="AF309">
        <v>4.2407468114677522</v>
      </c>
      <c r="AG309">
        <v>440.51273273543342</v>
      </c>
      <c r="AH309">
        <v>0.216353426179899</v>
      </c>
      <c r="AI309">
        <v>4.5201086088885649</v>
      </c>
      <c r="AJ309">
        <v>322.99488660028425</v>
      </c>
    </row>
    <row r="310" spans="1:36" x14ac:dyDescent="0.25">
      <c r="A310" t="s">
        <v>30</v>
      </c>
      <c r="B310" t="s">
        <v>63</v>
      </c>
      <c r="C310">
        <v>2013</v>
      </c>
      <c r="D310" t="str">
        <f t="shared" si="4"/>
        <v>ZWE2013</v>
      </c>
      <c r="E310">
        <v>5987.1573333332781</v>
      </c>
      <c r="F310">
        <v>4702.2213333332911</v>
      </c>
      <c r="G310">
        <v>0.7853846549987793</v>
      </c>
      <c r="H310">
        <v>40315.31640625</v>
      </c>
      <c r="I310">
        <v>39691.36328125</v>
      </c>
      <c r="J310">
        <v>50142.70703125</v>
      </c>
      <c r="K310">
        <v>5.3257763385772705E-2</v>
      </c>
      <c r="L310">
        <v>0.17583057284355164</v>
      </c>
      <c r="M310">
        <v>-6.3075356185436249E-2</v>
      </c>
      <c r="N310">
        <v>1.9894961267709732E-2</v>
      </c>
      <c r="O310">
        <v>1</v>
      </c>
      <c r="P310">
        <v>1</v>
      </c>
      <c r="Q310">
        <v>0.87114787101745605</v>
      </c>
      <c r="R310">
        <v>0.43449521064758301</v>
      </c>
      <c r="S310">
        <v>1.2554519176483154</v>
      </c>
      <c r="T310">
        <v>1.1350709199905396</v>
      </c>
      <c r="AE310">
        <v>0.29380051725069017</v>
      </c>
      <c r="AF310">
        <v>4.7642913647063372</v>
      </c>
      <c r="AG310">
        <v>494.89655995006939</v>
      </c>
      <c r="AH310">
        <v>0.22251043587084798</v>
      </c>
      <c r="AI310">
        <v>5.0910589945309317</v>
      </c>
      <c r="AJ310">
        <v>363.79347597539436</v>
      </c>
    </row>
    <row r="311" spans="1:36" x14ac:dyDescent="0.25">
      <c r="A311" t="s">
        <v>30</v>
      </c>
      <c r="B311" t="s">
        <v>63</v>
      </c>
      <c r="C311">
        <v>2014</v>
      </c>
      <c r="D311" t="str">
        <f t="shared" si="4"/>
        <v>ZWE2014</v>
      </c>
      <c r="E311">
        <v>6265.223</v>
      </c>
      <c r="F311">
        <v>4957.0820000000003</v>
      </c>
      <c r="G311">
        <v>0.7912060022354126</v>
      </c>
      <c r="H311">
        <v>41273.58203125</v>
      </c>
      <c r="I311">
        <v>40164.55078125</v>
      </c>
      <c r="J311">
        <v>51796.171875</v>
      </c>
      <c r="K311">
        <v>5.4891649633646011E-2</v>
      </c>
      <c r="L311">
        <v>0.18117745220661163</v>
      </c>
      <c r="M311">
        <v>1.1921674013137817E-2</v>
      </c>
      <c r="N311">
        <v>2.376926876604557E-2</v>
      </c>
      <c r="O311">
        <v>0</v>
      </c>
      <c r="P311">
        <v>0</v>
      </c>
      <c r="Q311">
        <v>0.87114787101745605</v>
      </c>
      <c r="R311">
        <v>0.43449521064758301</v>
      </c>
      <c r="S311">
        <v>1.2554519176483154</v>
      </c>
      <c r="T311">
        <v>1.1350709199905396</v>
      </c>
      <c r="AE311">
        <v>0.30011013532860131</v>
      </c>
      <c r="AF311">
        <v>4.6747952603246263</v>
      </c>
      <c r="AG311">
        <v>485.60004326018992</v>
      </c>
      <c r="AH311">
        <v>0.22778286354691699</v>
      </c>
      <c r="AI311">
        <v>5.0062780710384018</v>
      </c>
      <c r="AJ311">
        <v>357.73525765836359</v>
      </c>
    </row>
    <row r="312" spans="1:36" x14ac:dyDescent="0.25">
      <c r="A312" t="s">
        <v>30</v>
      </c>
      <c r="B312" t="s">
        <v>63</v>
      </c>
      <c r="C312">
        <v>2015</v>
      </c>
      <c r="D312" t="str">
        <f t="shared" si="4"/>
        <v>ZWE2015</v>
      </c>
      <c r="E312">
        <v>5999.6478000000352</v>
      </c>
      <c r="F312">
        <v>4785.8562000000384</v>
      </c>
      <c r="G312">
        <v>0.79768949747085571</v>
      </c>
      <c r="H312">
        <v>42008.19921875</v>
      </c>
      <c r="I312">
        <v>47591.1015625</v>
      </c>
      <c r="J312">
        <v>53550.2265625</v>
      </c>
      <c r="K312">
        <v>5.6607786566019058E-2</v>
      </c>
      <c r="L312">
        <v>0.17640294134616852</v>
      </c>
      <c r="M312">
        <v>0.18490311503410339</v>
      </c>
      <c r="N312">
        <v>1.7798725515604019E-2</v>
      </c>
      <c r="O312">
        <v>1</v>
      </c>
      <c r="P312">
        <v>1</v>
      </c>
      <c r="Q312">
        <v>0.87114787101745605</v>
      </c>
      <c r="R312">
        <v>0.43449521064758301</v>
      </c>
      <c r="S312">
        <v>1.2554519176483154</v>
      </c>
      <c r="T312">
        <v>1.1350709199905396</v>
      </c>
      <c r="AE312">
        <v>0.30239229457039252</v>
      </c>
      <c r="AF312">
        <v>5.0186077621184966</v>
      </c>
      <c r="AG312">
        <v>521.31398503673392</v>
      </c>
      <c r="AH312">
        <v>0.22969552226306364</v>
      </c>
      <c r="AI312">
        <v>5.3786966376330803</v>
      </c>
      <c r="AJ312">
        <v>384.34729358346186</v>
      </c>
    </row>
    <row r="313" spans="1:36" x14ac:dyDescent="0.25">
      <c r="A313" t="s">
        <v>30</v>
      </c>
      <c r="B313" t="s">
        <v>63</v>
      </c>
      <c r="C313">
        <v>2016</v>
      </c>
      <c r="D313" t="str">
        <f t="shared" si="4"/>
        <v>ZWE2016</v>
      </c>
      <c r="E313">
        <v>5734.0725999999559</v>
      </c>
      <c r="F313">
        <v>4614.6304000000237</v>
      </c>
      <c r="G313">
        <v>0.80477362871170044</v>
      </c>
      <c r="H313">
        <v>42325.7265625</v>
      </c>
      <c r="I313">
        <v>44405.12109375</v>
      </c>
      <c r="J313">
        <v>55167.0078125</v>
      </c>
      <c r="K313">
        <v>5.8131817728281021E-2</v>
      </c>
      <c r="L313">
        <v>0.16888737678527832</v>
      </c>
      <c r="M313">
        <v>-6.6944874823093414E-2</v>
      </c>
      <c r="N313">
        <v>7.5586992315948009E-3</v>
      </c>
      <c r="O313">
        <v>1</v>
      </c>
      <c r="P313">
        <v>1</v>
      </c>
      <c r="Q313">
        <v>0.87114787101745605</v>
      </c>
      <c r="R313">
        <v>0.43449521064758301</v>
      </c>
      <c r="S313">
        <v>1.2554519176483154</v>
      </c>
      <c r="T313">
        <v>1.1350709199905396</v>
      </c>
      <c r="U313">
        <v>41580.21484375</v>
      </c>
      <c r="V313">
        <v>4443.77880859375</v>
      </c>
      <c r="W313">
        <v>44616.3828125</v>
      </c>
      <c r="X313">
        <v>3280.12744140625</v>
      </c>
      <c r="Y313">
        <v>600</v>
      </c>
      <c r="Z313">
        <v>499</v>
      </c>
      <c r="AA313">
        <v>280</v>
      </c>
      <c r="AB313">
        <v>307</v>
      </c>
      <c r="AD313">
        <v>2016</v>
      </c>
      <c r="AE313">
        <v>0.30582350284622312</v>
      </c>
      <c r="AF313">
        <v>5.3840019283098073</v>
      </c>
      <c r="AG313">
        <v>559.26974845068082</v>
      </c>
      <c r="AH313">
        <v>0.23257685806161305</v>
      </c>
      <c r="AI313">
        <v>5.7771392475817303</v>
      </c>
      <c r="AJ313">
        <v>412.81893812846539</v>
      </c>
    </row>
    <row r="314" spans="1:36" x14ac:dyDescent="0.25">
      <c r="A314" t="s">
        <v>30</v>
      </c>
      <c r="B314" t="s">
        <v>63</v>
      </c>
      <c r="C314">
        <v>2017</v>
      </c>
      <c r="D314" t="str">
        <f t="shared" si="4"/>
        <v>ZWE2017</v>
      </c>
      <c r="E314">
        <v>5468.4973999999929</v>
      </c>
      <c r="F314">
        <v>4443.4046000000089</v>
      </c>
      <c r="G314">
        <v>0.8125457763671875</v>
      </c>
      <c r="H314">
        <v>44316.7421875</v>
      </c>
      <c r="I314">
        <v>46113.9453125</v>
      </c>
      <c r="J314">
        <v>56829.140625</v>
      </c>
      <c r="K314">
        <v>5.9469625353813171E-2</v>
      </c>
      <c r="L314">
        <v>0.20710083842277527</v>
      </c>
      <c r="M314">
        <v>3.8482595235109329E-2</v>
      </c>
      <c r="N314">
        <v>4.7040317207574844E-2</v>
      </c>
      <c r="O314">
        <v>1</v>
      </c>
      <c r="P314">
        <v>1</v>
      </c>
      <c r="Q314">
        <v>0.87114787101745605</v>
      </c>
      <c r="R314">
        <v>0.43449521064758301</v>
      </c>
      <c r="S314">
        <v>1.2554519176483154</v>
      </c>
      <c r="T314">
        <v>1.1350709199905396</v>
      </c>
      <c r="AE314">
        <v>0.31027553310757594</v>
      </c>
      <c r="AF314">
        <v>5.9701377843889256</v>
      </c>
      <c r="AG314">
        <v>620.15532337286538</v>
      </c>
      <c r="AH314">
        <v>0.23632560690543322</v>
      </c>
      <c r="AI314">
        <v>6.4159296540845894</v>
      </c>
      <c r="AJ314">
        <v>458.46519417284691</v>
      </c>
    </row>
    <row r="315" spans="1:36" x14ac:dyDescent="0.25">
      <c r="A315" t="s">
        <v>30</v>
      </c>
      <c r="B315" t="s">
        <v>63</v>
      </c>
      <c r="C315">
        <v>2018</v>
      </c>
      <c r="D315" t="str">
        <f t="shared" si="4"/>
        <v>ZWE2018</v>
      </c>
      <c r="E315">
        <v>5202.92220000003</v>
      </c>
      <c r="F315">
        <v>4272.1787999999942</v>
      </c>
      <c r="G315">
        <v>0.82111144065856934</v>
      </c>
      <c r="H315">
        <v>46457.09765625</v>
      </c>
      <c r="I315">
        <v>46235.14453125</v>
      </c>
      <c r="J315">
        <v>58552.80859375</v>
      </c>
      <c r="K315">
        <v>6.0595527291297913E-2</v>
      </c>
      <c r="L315">
        <v>0.26979941129684448</v>
      </c>
      <c r="M315">
        <v>2.6282551698386669E-3</v>
      </c>
      <c r="N315">
        <v>4.8296768218278885E-2</v>
      </c>
      <c r="O315">
        <v>1</v>
      </c>
      <c r="P315">
        <v>1</v>
      </c>
      <c r="Q315">
        <v>0.87114787101745605</v>
      </c>
      <c r="R315">
        <v>0.43449521064758301</v>
      </c>
      <c r="S315">
        <v>1.2554519176483154</v>
      </c>
      <c r="T315">
        <v>1.1350709199905396</v>
      </c>
      <c r="AE315">
        <v>0.31598061142599176</v>
      </c>
      <c r="AF315">
        <v>6.6642783059769197</v>
      </c>
      <c r="AG315">
        <v>692.26001428255313</v>
      </c>
      <c r="AH315">
        <v>0.24114635540108753</v>
      </c>
      <c r="AI315">
        <v>7.1760487533511172</v>
      </c>
      <c r="AJ315">
        <v>512.78127449611839</v>
      </c>
    </row>
    <row r="316" spans="1:36" x14ac:dyDescent="0.25">
      <c r="A316" t="s">
        <v>30</v>
      </c>
      <c r="B316" t="s">
        <v>63</v>
      </c>
      <c r="C316">
        <v>2019</v>
      </c>
      <c r="D316" t="str">
        <f t="shared" si="4"/>
        <v>ZWE2019</v>
      </c>
      <c r="E316">
        <v>4937.3469999999998</v>
      </c>
      <c r="F316">
        <v>4100.9530000000004</v>
      </c>
      <c r="G316">
        <v>0.83059847354888916</v>
      </c>
      <c r="H316">
        <v>42694.0703125</v>
      </c>
      <c r="I316">
        <v>43969.49609375</v>
      </c>
      <c r="J316">
        <v>59743.03515625</v>
      </c>
      <c r="K316">
        <v>6.146853044629097E-2</v>
      </c>
      <c r="L316">
        <v>0.22710901498794556</v>
      </c>
      <c r="M316">
        <v>-4.9002733081579208E-2</v>
      </c>
      <c r="N316">
        <v>-8.1000052392482758E-2</v>
      </c>
      <c r="O316">
        <v>0</v>
      </c>
      <c r="P316">
        <v>0</v>
      </c>
      <c r="Q316">
        <v>0.87114787101745605</v>
      </c>
      <c r="R316">
        <v>0.43449521064758301</v>
      </c>
      <c r="S316">
        <v>1.2554519176483154</v>
      </c>
      <c r="T316">
        <v>1.1350709199905396</v>
      </c>
      <c r="AE316">
        <v>0.32423715936488579</v>
      </c>
      <c r="AF316">
        <v>6.5831700881412658</v>
      </c>
      <c r="AG316">
        <v>683.83479950918672</v>
      </c>
      <c r="AH316">
        <v>0.24815689886982273</v>
      </c>
      <c r="AI316">
        <v>7.1090346544290544</v>
      </c>
      <c r="AJ316">
        <v>507.99262600227735</v>
      </c>
    </row>
    <row r="317" spans="1:36" x14ac:dyDescent="0.25">
      <c r="A317" t="s">
        <v>30</v>
      </c>
      <c r="B317" t="s">
        <v>63</v>
      </c>
      <c r="C317">
        <v>2020</v>
      </c>
      <c r="D317" t="str">
        <f t="shared" si="4"/>
        <v>ZWE2020</v>
      </c>
      <c r="E317">
        <v>5123.2655000000377</v>
      </c>
      <c r="F317">
        <v>4241.5554999999586</v>
      </c>
      <c r="G317">
        <v>0.82790076732635498</v>
      </c>
      <c r="H317">
        <v>40224.577654528082</v>
      </c>
      <c r="I317">
        <v>40585.914678774745</v>
      </c>
      <c r="J317">
        <v>63113.144072927898</v>
      </c>
      <c r="K317">
        <v>4.7997888177633286E-2</v>
      </c>
      <c r="L317">
        <v>0.18429305623120709</v>
      </c>
      <c r="M317">
        <v>-7.6952926814556122E-2</v>
      </c>
      <c r="N317">
        <v>-5.7841584086418152E-2</v>
      </c>
      <c r="O317">
        <v>1</v>
      </c>
      <c r="P317">
        <v>1</v>
      </c>
      <c r="Q317">
        <v>0.87114787101745605</v>
      </c>
      <c r="R317">
        <v>0.43449521064758301</v>
      </c>
      <c r="S317">
        <v>1.2554519176483154</v>
      </c>
      <c r="T317">
        <v>1.1350709199905396</v>
      </c>
      <c r="AE317">
        <v>0.31736425134202445</v>
      </c>
      <c r="AF317">
        <v>5.8430066145064687</v>
      </c>
      <c r="AG317">
        <v>606.94941848145993</v>
      </c>
      <c r="AH317">
        <v>0.24231839171324876</v>
      </c>
      <c r="AI317">
        <v>6.2947246642952788</v>
      </c>
      <c r="AJ317">
        <v>449.80420937805599</v>
      </c>
    </row>
    <row r="318" spans="1:36" x14ac:dyDescent="0.25">
      <c r="A318" t="s">
        <v>30</v>
      </c>
      <c r="B318" t="s">
        <v>63</v>
      </c>
      <c r="C318">
        <v>2021</v>
      </c>
      <c r="D318" t="str">
        <f t="shared" si="4"/>
        <v>ZWE2021</v>
      </c>
      <c r="E318">
        <v>5309.1840000000002</v>
      </c>
      <c r="F318">
        <v>4382.1580000000004</v>
      </c>
      <c r="G318">
        <v>0.82539200782775879</v>
      </c>
      <c r="H318">
        <v>37084.274854165276</v>
      </c>
      <c r="I318">
        <v>36584.462808033299</v>
      </c>
      <c r="J318">
        <v>64958.975347426647</v>
      </c>
      <c r="K318">
        <v>4.7997888177633286E-2</v>
      </c>
      <c r="L318">
        <v>8.2568409536041915E-2</v>
      </c>
      <c r="M318">
        <v>-9.8592132329940796E-2</v>
      </c>
      <c r="N318">
        <v>-7.8069254755973816E-2</v>
      </c>
      <c r="O318">
        <v>0</v>
      </c>
      <c r="P318">
        <v>0</v>
      </c>
      <c r="Q318">
        <v>0.87114787101745605</v>
      </c>
      <c r="R318">
        <v>0.43449521064758301</v>
      </c>
      <c r="S318">
        <v>1.2554519176483154</v>
      </c>
      <c r="T318">
        <v>1.1350709199905396</v>
      </c>
      <c r="AE318">
        <v>0.31322587994836959</v>
      </c>
      <c r="AF318">
        <v>5.1234020540177196</v>
      </c>
      <c r="AG318">
        <v>532.19961956100394</v>
      </c>
      <c r="AH318">
        <v>0.23881625237006424</v>
      </c>
      <c r="AI318">
        <v>5.5115869967267423</v>
      </c>
      <c r="AJ318">
        <v>393.8432836535506</v>
      </c>
    </row>
    <row r="319" spans="1:36" x14ac:dyDescent="0.25">
      <c r="A319" t="s">
        <v>30</v>
      </c>
      <c r="B319" t="s">
        <v>63</v>
      </c>
      <c r="C319">
        <v>2022</v>
      </c>
      <c r="D319" t="str">
        <f t="shared" si="4"/>
        <v>ZWE2022</v>
      </c>
      <c r="E319">
        <v>5399.49</v>
      </c>
      <c r="F319">
        <v>4394.1390000000001</v>
      </c>
      <c r="G319">
        <v>0.81380629539489746</v>
      </c>
      <c r="H319">
        <v>40228.952194559308</v>
      </c>
      <c r="I319">
        <v>38137.088226746411</v>
      </c>
      <c r="J319">
        <v>67392.416185223468</v>
      </c>
      <c r="K319">
        <v>4.7997888177633286E-2</v>
      </c>
      <c r="L319">
        <v>9.9832829371638898E-2</v>
      </c>
      <c r="M319">
        <v>4.2439475655555725E-2</v>
      </c>
      <c r="N319">
        <v>8.4798134863376617E-2</v>
      </c>
      <c r="O319">
        <v>0</v>
      </c>
      <c r="P319">
        <v>0</v>
      </c>
      <c r="Q319">
        <v>0.87114787101745605</v>
      </c>
      <c r="R319">
        <v>0.43449521064758301</v>
      </c>
      <c r="S319">
        <v>1.2554519176483154</v>
      </c>
      <c r="T319">
        <v>1.1350709199905396</v>
      </c>
      <c r="AE319">
        <v>0.29554150006880631</v>
      </c>
      <c r="AF319">
        <v>5.2278399469766645</v>
      </c>
      <c r="AG319">
        <v>543.04823271189196</v>
      </c>
      <c r="AH319">
        <v>0.22396294662923105</v>
      </c>
      <c r="AI319">
        <v>5.5897446674115452</v>
      </c>
      <c r="AJ319">
        <v>399.42822201767268</v>
      </c>
    </row>
    <row r="320" spans="1:36" x14ac:dyDescent="0.25">
      <c r="A320" t="s">
        <v>30</v>
      </c>
      <c r="B320" t="s">
        <v>63</v>
      </c>
      <c r="C320">
        <v>2023</v>
      </c>
      <c r="D320" t="str">
        <f t="shared" si="4"/>
        <v>ZWE2023</v>
      </c>
      <c r="E320">
        <v>5525.2669999999998</v>
      </c>
      <c r="F320">
        <v>4505.7749999999996</v>
      </c>
      <c r="G320">
        <v>0.81548547744750977</v>
      </c>
      <c r="H320">
        <v>44972.53758384844</v>
      </c>
      <c r="I320">
        <v>44416.352155502434</v>
      </c>
      <c r="J320">
        <v>71476.571161957079</v>
      </c>
      <c r="K320">
        <v>4.7997888177633286E-2</v>
      </c>
      <c r="L320">
        <v>0.20694286804013884</v>
      </c>
      <c r="M320">
        <v>0.16464979946613312</v>
      </c>
      <c r="N320">
        <v>0.11791471391916275</v>
      </c>
      <c r="O320">
        <v>0</v>
      </c>
      <c r="P320">
        <v>0</v>
      </c>
      <c r="Q320">
        <v>0.87114787101745605</v>
      </c>
      <c r="R320">
        <v>0.43449521064758301</v>
      </c>
      <c r="S320">
        <v>1.2554519176483154</v>
      </c>
      <c r="T320">
        <v>1.1350709199905396</v>
      </c>
      <c r="AE320">
        <v>0.29361819856707122</v>
      </c>
      <c r="AF320">
        <v>5.6432338584279247</v>
      </c>
      <c r="AG320">
        <v>586.1977804755611</v>
      </c>
      <c r="AH320">
        <v>0.22235842698598923</v>
      </c>
      <c r="AI320">
        <v>6.0299076271442029</v>
      </c>
      <c r="AJ320">
        <v>430.88109131044246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comparison</vt:lpstr>
      <vt:lpstr>DGE_p</vt:lpstr>
      <vt:lpstr>MIMIC_p</vt:lpstr>
      <vt:lpstr>own_calc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Corbellini, Nicola</dc:creator>
  <cp:lastModifiedBy>Corbellini, Nicola</cp:lastModifiedBy>
  <dcterms:created xsi:type="dcterms:W3CDTF">2025-06-05T19:18:08Z</dcterms:created>
  <dcterms:modified xsi:type="dcterms:W3CDTF">2025-06-18T20:00:21Z</dcterms:modified>
</cp:coreProperties>
</file>