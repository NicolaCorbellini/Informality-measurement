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elgin-et-al-replication\"/>
    </mc:Choice>
  </mc:AlternateContent>
  <xr:revisionPtr revIDLastSave="0" documentId="13_ncr:1_{C5AF27A1-A1B3-4218-8789-75F0C87D664A}" xr6:coauthVersionLast="47" xr6:coauthVersionMax="47" xr10:uidLastSave="{00000000-0000-0000-0000-000000000000}"/>
  <bookViews>
    <workbookView xWindow="-120" yWindow="-120" windowWidth="24240" windowHeight="13020" firstSheet="1" activeTab="4" xr2:uid="{00000000-000D-0000-FFFF-FFFF00000000}"/>
  </bookViews>
  <sheets>
    <sheet name="Read me" sheetId="2" r:id="rId1"/>
    <sheet name="2005-2015 avg" sheetId="18" r:id="rId2"/>
    <sheet name="2003" sheetId="20" r:id="rId3"/>
    <sheet name="DGE_p" sheetId="3" r:id="rId4"/>
    <sheet name="replication" sheetId="22" r:id="rId5"/>
    <sheet name="MIMIC_p" sheetId="5" r:id="rId6"/>
    <sheet name="Sheet1" sheetId="21" r:id="rId7"/>
    <sheet name="SEMP_p" sheetId="6" r:id="rId8"/>
    <sheet name="Pension_p" sheetId="7" r:id="rId9"/>
    <sheet name="Infemp_p" sheetId="8" r:id="rId10"/>
    <sheet name="Infsize_p" sheetId="9" r:id="rId11"/>
    <sheet name="WBentp1" sheetId="11" r:id="rId12"/>
    <sheet name="WBentp2" sheetId="14" r:id="rId13"/>
    <sheet name="WBentp3" sheetId="15" r:id="rId14"/>
    <sheet name="WBentp4" sheetId="16" r:id="rId15"/>
    <sheet name="WVS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20" l="1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2" i="20"/>
  <c r="D3" i="20"/>
  <c r="D4" i="20"/>
  <c r="D5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2" i="20"/>
  <c r="C3" i="18"/>
  <c r="D3" i="18"/>
  <c r="E3" i="18"/>
  <c r="F3" i="18"/>
  <c r="G3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D9" i="18"/>
  <c r="E9" i="18"/>
  <c r="F9" i="18"/>
  <c r="G9" i="18"/>
  <c r="D10" i="18"/>
  <c r="E10" i="18"/>
  <c r="F10" i="18"/>
  <c r="G10" i="18"/>
  <c r="D11" i="18"/>
  <c r="E11" i="18"/>
  <c r="F11" i="18"/>
  <c r="G11" i="18"/>
  <c r="C12" i="18"/>
  <c r="D12" i="18"/>
  <c r="E12" i="18"/>
  <c r="F12" i="18"/>
  <c r="G12" i="18"/>
  <c r="D13" i="18"/>
  <c r="E13" i="18"/>
  <c r="F13" i="18"/>
  <c r="G13" i="18"/>
  <c r="D14" i="18"/>
  <c r="E14" i="18"/>
  <c r="F14" i="18"/>
  <c r="G14" i="18"/>
  <c r="C15" i="18"/>
  <c r="D15" i="18"/>
  <c r="E15" i="18"/>
  <c r="F15" i="18"/>
  <c r="G15" i="18"/>
  <c r="C16" i="18"/>
  <c r="D16" i="18"/>
  <c r="E16" i="18"/>
  <c r="F16" i="18"/>
  <c r="G16" i="18"/>
  <c r="D17" i="18"/>
  <c r="E17" i="18"/>
  <c r="F17" i="18"/>
  <c r="G17" i="18"/>
  <c r="D18" i="18"/>
  <c r="E18" i="18"/>
  <c r="F18" i="18"/>
  <c r="G18" i="18"/>
  <c r="C19" i="18"/>
  <c r="D19" i="18"/>
  <c r="E19" i="18"/>
  <c r="F19" i="18"/>
  <c r="G19" i="18"/>
  <c r="C20" i="18"/>
  <c r="D20" i="18"/>
  <c r="E20" i="18"/>
  <c r="F20" i="18"/>
  <c r="G20" i="18"/>
  <c r="D21" i="18"/>
  <c r="E21" i="18"/>
  <c r="F21" i="18"/>
  <c r="G21" i="18"/>
  <c r="D22" i="18"/>
  <c r="E22" i="18"/>
  <c r="F22" i="18"/>
  <c r="G22" i="18"/>
  <c r="C23" i="18"/>
  <c r="D23" i="18"/>
  <c r="E23" i="18"/>
  <c r="F23" i="18"/>
  <c r="G23" i="18"/>
  <c r="C24" i="18"/>
  <c r="D24" i="18"/>
  <c r="E24" i="18"/>
  <c r="F24" i="18"/>
  <c r="G24" i="18"/>
  <c r="C25" i="18"/>
  <c r="D25" i="18"/>
  <c r="E25" i="18"/>
  <c r="F25" i="18"/>
  <c r="G25" i="18"/>
  <c r="C26" i="18"/>
  <c r="D26" i="18"/>
  <c r="E26" i="18"/>
  <c r="F26" i="18"/>
  <c r="G26" i="18"/>
  <c r="C27" i="18"/>
  <c r="D27" i="18"/>
  <c r="E27" i="18"/>
  <c r="F27" i="18"/>
  <c r="G27" i="18"/>
  <c r="C28" i="18"/>
  <c r="D28" i="18"/>
  <c r="E28" i="18"/>
  <c r="F28" i="18"/>
  <c r="G28" i="18"/>
  <c r="C29" i="18"/>
  <c r="D29" i="18"/>
  <c r="E29" i="18"/>
  <c r="F29" i="18"/>
  <c r="G29" i="18"/>
  <c r="C30" i="18"/>
  <c r="D30" i="18"/>
  <c r="E30" i="18"/>
  <c r="F30" i="18"/>
  <c r="G30" i="18"/>
  <c r="C31" i="18"/>
  <c r="D31" i="18"/>
  <c r="E31" i="18"/>
  <c r="F31" i="18"/>
  <c r="G31" i="18"/>
  <c r="C32" i="18"/>
  <c r="D32" i="18"/>
  <c r="E32" i="18"/>
  <c r="F32" i="18"/>
  <c r="G32" i="18"/>
  <c r="C33" i="18"/>
  <c r="D33" i="18"/>
  <c r="E33" i="18"/>
  <c r="F33" i="18"/>
  <c r="G33" i="18"/>
  <c r="C34" i="18"/>
  <c r="D34" i="18"/>
  <c r="E34" i="18"/>
  <c r="F34" i="18"/>
  <c r="G34" i="18"/>
  <c r="C35" i="18"/>
  <c r="D35" i="18"/>
  <c r="E35" i="18"/>
  <c r="F35" i="18"/>
  <c r="G35" i="18"/>
  <c r="C36" i="18"/>
  <c r="D36" i="18"/>
  <c r="E36" i="18"/>
  <c r="F36" i="18"/>
  <c r="G36" i="18"/>
  <c r="C37" i="18"/>
  <c r="D37" i="18"/>
  <c r="E37" i="18"/>
  <c r="F37" i="18"/>
  <c r="G37" i="18"/>
  <c r="C38" i="18"/>
  <c r="D38" i="18"/>
  <c r="E38" i="18"/>
  <c r="F38" i="18"/>
  <c r="G38" i="18"/>
  <c r="C39" i="18"/>
  <c r="D39" i="18"/>
  <c r="E39" i="18"/>
  <c r="F39" i="18"/>
  <c r="G39" i="18"/>
  <c r="C40" i="18"/>
  <c r="D40" i="18"/>
  <c r="E40" i="18"/>
  <c r="F40" i="18"/>
  <c r="G40" i="18"/>
  <c r="C41" i="18"/>
  <c r="D41" i="18"/>
  <c r="E41" i="18"/>
  <c r="F41" i="18"/>
  <c r="G41" i="18"/>
  <c r="C42" i="18"/>
  <c r="D42" i="18"/>
  <c r="E42" i="18"/>
  <c r="F42" i="18"/>
  <c r="G42" i="18"/>
  <c r="C43" i="18"/>
  <c r="D43" i="18"/>
  <c r="E43" i="18"/>
  <c r="F43" i="18"/>
  <c r="G43" i="18"/>
  <c r="C44" i="18"/>
  <c r="D44" i="18"/>
  <c r="E44" i="18"/>
  <c r="F44" i="18"/>
  <c r="G44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49" i="18"/>
  <c r="D49" i="18"/>
  <c r="E49" i="18"/>
  <c r="F49" i="18"/>
  <c r="G49" i="18"/>
  <c r="C50" i="18"/>
  <c r="D50" i="18"/>
  <c r="E50" i="18"/>
  <c r="F50" i="18"/>
  <c r="G50" i="18"/>
  <c r="C51" i="18"/>
  <c r="D51" i="18"/>
  <c r="E51" i="18"/>
  <c r="F51" i="18"/>
  <c r="G51" i="18"/>
  <c r="C52" i="18"/>
  <c r="D52" i="18"/>
  <c r="E52" i="18"/>
  <c r="F52" i="18"/>
  <c r="G52" i="18"/>
  <c r="C53" i="18"/>
  <c r="D53" i="18"/>
  <c r="E53" i="18"/>
  <c r="F53" i="18"/>
  <c r="G53" i="18"/>
  <c r="C54" i="18"/>
  <c r="D54" i="18"/>
  <c r="E54" i="18"/>
  <c r="F54" i="18"/>
  <c r="G54" i="18"/>
  <c r="C55" i="18"/>
  <c r="D55" i="18"/>
  <c r="E55" i="18"/>
  <c r="F55" i="18"/>
  <c r="G55" i="18"/>
  <c r="C56" i="18"/>
  <c r="D56" i="18"/>
  <c r="E56" i="18"/>
  <c r="F56" i="18"/>
  <c r="G56" i="18"/>
  <c r="C57" i="18"/>
  <c r="D57" i="18"/>
  <c r="E57" i="18"/>
  <c r="F57" i="18"/>
  <c r="G57" i="18"/>
  <c r="C58" i="18"/>
  <c r="D58" i="18"/>
  <c r="E58" i="18"/>
  <c r="F58" i="18"/>
  <c r="G58" i="18"/>
  <c r="C59" i="18"/>
  <c r="D59" i="18"/>
  <c r="E59" i="18"/>
  <c r="F59" i="18"/>
  <c r="G59" i="18"/>
  <c r="C60" i="18"/>
  <c r="D60" i="18"/>
  <c r="E60" i="18"/>
  <c r="F60" i="18"/>
  <c r="G60" i="18"/>
  <c r="C61" i="18"/>
  <c r="D61" i="18"/>
  <c r="E61" i="18"/>
  <c r="F61" i="18"/>
  <c r="G61" i="18"/>
  <c r="C62" i="18"/>
  <c r="D62" i="18"/>
  <c r="E62" i="18"/>
  <c r="F62" i="18"/>
  <c r="G62" i="18"/>
  <c r="C63" i="18"/>
  <c r="D63" i="18"/>
  <c r="E63" i="18"/>
  <c r="F63" i="18"/>
  <c r="G63" i="18"/>
  <c r="C64" i="18"/>
  <c r="D64" i="18"/>
  <c r="E64" i="18"/>
  <c r="F64" i="18"/>
  <c r="G64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C72" i="18"/>
  <c r="D72" i="18"/>
  <c r="E72" i="18"/>
  <c r="F72" i="18"/>
  <c r="G72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C79" i="18"/>
  <c r="D79" i="18"/>
  <c r="E79" i="18"/>
  <c r="F79" i="18"/>
  <c r="G79" i="18"/>
  <c r="C80" i="18"/>
  <c r="D80" i="18"/>
  <c r="E80" i="18"/>
  <c r="F80" i="18"/>
  <c r="G80" i="18"/>
  <c r="C81" i="18"/>
  <c r="D81" i="18"/>
  <c r="E81" i="18"/>
  <c r="F81" i="18"/>
  <c r="G81" i="18"/>
  <c r="C82" i="18"/>
  <c r="D82" i="18"/>
  <c r="E82" i="18"/>
  <c r="F82" i="18"/>
  <c r="G82" i="18"/>
  <c r="C83" i="18"/>
  <c r="D83" i="18"/>
  <c r="E83" i="18"/>
  <c r="F83" i="18"/>
  <c r="G83" i="18"/>
  <c r="C84" i="18"/>
  <c r="D84" i="18"/>
  <c r="E84" i="18"/>
  <c r="F84" i="18"/>
  <c r="G84" i="18"/>
  <c r="C85" i="18"/>
  <c r="D85" i="18"/>
  <c r="E85" i="18"/>
  <c r="F85" i="18"/>
  <c r="G85" i="18"/>
  <c r="C86" i="18"/>
  <c r="D86" i="18"/>
  <c r="E86" i="18"/>
  <c r="F86" i="18"/>
  <c r="G86" i="18"/>
  <c r="C87" i="18"/>
  <c r="D87" i="18"/>
  <c r="E87" i="18"/>
  <c r="F87" i="18"/>
  <c r="G87" i="18"/>
  <c r="C88" i="18"/>
  <c r="D88" i="18"/>
  <c r="E88" i="18"/>
  <c r="F88" i="18"/>
  <c r="G88" i="18"/>
  <c r="C89" i="18"/>
  <c r="D89" i="18"/>
  <c r="E89" i="18"/>
  <c r="F89" i="18"/>
  <c r="G89" i="18"/>
  <c r="C90" i="18"/>
  <c r="D90" i="18"/>
  <c r="E90" i="18"/>
  <c r="F90" i="18"/>
  <c r="G90" i="18"/>
  <c r="C91" i="18"/>
  <c r="D91" i="18"/>
  <c r="E91" i="18"/>
  <c r="F91" i="18"/>
  <c r="G91" i="18"/>
  <c r="C92" i="18"/>
  <c r="D92" i="18"/>
  <c r="E92" i="18"/>
  <c r="F92" i="18"/>
  <c r="G92" i="18"/>
  <c r="C93" i="18"/>
  <c r="D93" i="18"/>
  <c r="E93" i="18"/>
  <c r="F93" i="18"/>
  <c r="G93" i="18"/>
  <c r="C94" i="18"/>
  <c r="D94" i="18"/>
  <c r="E94" i="18"/>
  <c r="F94" i="18"/>
  <c r="G94" i="18"/>
  <c r="C95" i="18"/>
  <c r="D95" i="18"/>
  <c r="E95" i="18"/>
  <c r="F95" i="18"/>
  <c r="G95" i="18"/>
  <c r="C96" i="18"/>
  <c r="D96" i="18"/>
  <c r="E96" i="18"/>
  <c r="F96" i="18"/>
  <c r="G96" i="18"/>
  <c r="C97" i="18"/>
  <c r="D97" i="18"/>
  <c r="E97" i="18"/>
  <c r="F97" i="18"/>
  <c r="G97" i="18"/>
  <c r="C98" i="18"/>
  <c r="D98" i="18"/>
  <c r="E98" i="18"/>
  <c r="F98" i="18"/>
  <c r="G98" i="18"/>
  <c r="C99" i="18"/>
  <c r="D99" i="18"/>
  <c r="E99" i="18"/>
  <c r="F99" i="18"/>
  <c r="G99" i="18"/>
  <c r="C100" i="18"/>
  <c r="D100" i="18"/>
  <c r="E100" i="18"/>
  <c r="F100" i="18"/>
  <c r="G100" i="18"/>
  <c r="C101" i="18"/>
  <c r="D101" i="18"/>
  <c r="E101" i="18"/>
  <c r="F101" i="18"/>
  <c r="G101" i="18"/>
  <c r="C102" i="18"/>
  <c r="D102" i="18"/>
  <c r="E102" i="18"/>
  <c r="F102" i="18"/>
  <c r="G102" i="18"/>
  <c r="C103" i="18"/>
  <c r="D103" i="18"/>
  <c r="E103" i="18"/>
  <c r="F103" i="18"/>
  <c r="G103" i="18"/>
  <c r="C104" i="18"/>
  <c r="D104" i="18"/>
  <c r="E104" i="18"/>
  <c r="F104" i="18"/>
  <c r="G104" i="18"/>
  <c r="C105" i="18"/>
  <c r="D105" i="18"/>
  <c r="E105" i="18"/>
  <c r="F105" i="18"/>
  <c r="G105" i="18"/>
  <c r="C106" i="18"/>
  <c r="D106" i="18"/>
  <c r="E106" i="18"/>
  <c r="F106" i="18"/>
  <c r="G106" i="18"/>
  <c r="C107" i="18"/>
  <c r="D107" i="18"/>
  <c r="E107" i="18"/>
  <c r="F107" i="18"/>
  <c r="G107" i="18"/>
  <c r="C108" i="18"/>
  <c r="D108" i="18"/>
  <c r="E108" i="18"/>
  <c r="F108" i="18"/>
  <c r="G108" i="18"/>
  <c r="C109" i="18"/>
  <c r="D109" i="18"/>
  <c r="E109" i="18"/>
  <c r="F109" i="18"/>
  <c r="G109" i="18"/>
  <c r="C110" i="18"/>
  <c r="D110" i="18"/>
  <c r="E110" i="18"/>
  <c r="F110" i="18"/>
  <c r="G110" i="18"/>
  <c r="C111" i="18"/>
  <c r="D111" i="18"/>
  <c r="E111" i="18"/>
  <c r="F111" i="18"/>
  <c r="G111" i="18"/>
  <c r="C112" i="18"/>
  <c r="D112" i="18"/>
  <c r="E112" i="18"/>
  <c r="F112" i="18"/>
  <c r="G112" i="18"/>
  <c r="C113" i="18"/>
  <c r="D113" i="18"/>
  <c r="E113" i="18"/>
  <c r="F113" i="18"/>
  <c r="G113" i="18"/>
  <c r="C114" i="18"/>
  <c r="D114" i="18"/>
  <c r="E114" i="18"/>
  <c r="F114" i="18"/>
  <c r="G114" i="18"/>
  <c r="C115" i="18"/>
  <c r="D115" i="18"/>
  <c r="E115" i="18"/>
  <c r="F115" i="18"/>
  <c r="G115" i="18"/>
  <c r="C116" i="18"/>
  <c r="D116" i="18"/>
  <c r="E116" i="18"/>
  <c r="F116" i="18"/>
  <c r="G116" i="18"/>
  <c r="C117" i="18"/>
  <c r="D117" i="18"/>
  <c r="E117" i="18"/>
  <c r="F117" i="18"/>
  <c r="G117" i="18"/>
  <c r="C118" i="18"/>
  <c r="D118" i="18"/>
  <c r="E118" i="18"/>
  <c r="F118" i="18"/>
  <c r="G118" i="18"/>
  <c r="C119" i="18"/>
  <c r="D119" i="18"/>
  <c r="E119" i="18"/>
  <c r="F119" i="18"/>
  <c r="G119" i="18"/>
  <c r="C120" i="18"/>
  <c r="D120" i="18"/>
  <c r="E120" i="18"/>
  <c r="F120" i="18"/>
  <c r="G120" i="18"/>
  <c r="C121" i="18"/>
  <c r="D121" i="18"/>
  <c r="E121" i="18"/>
  <c r="F121" i="18"/>
  <c r="G121" i="18"/>
  <c r="C122" i="18"/>
  <c r="D122" i="18"/>
  <c r="E122" i="18"/>
  <c r="F122" i="18"/>
  <c r="G122" i="18"/>
  <c r="C123" i="18"/>
  <c r="D123" i="18"/>
  <c r="E123" i="18"/>
  <c r="F123" i="18"/>
  <c r="G123" i="18"/>
  <c r="C124" i="18"/>
  <c r="D124" i="18"/>
  <c r="E124" i="18"/>
  <c r="F124" i="18"/>
  <c r="G124" i="18"/>
  <c r="C125" i="18"/>
  <c r="D125" i="18"/>
  <c r="E125" i="18"/>
  <c r="F125" i="18"/>
  <c r="G125" i="18"/>
  <c r="C126" i="18"/>
  <c r="D126" i="18"/>
  <c r="E126" i="18"/>
  <c r="F126" i="18"/>
  <c r="G126" i="18"/>
  <c r="C127" i="18"/>
  <c r="D127" i="18"/>
  <c r="E127" i="18"/>
  <c r="F127" i="18"/>
  <c r="G127" i="18"/>
  <c r="C128" i="18"/>
  <c r="D128" i="18"/>
  <c r="E128" i="18"/>
  <c r="F128" i="18"/>
  <c r="G128" i="18"/>
  <c r="C129" i="18"/>
  <c r="D129" i="18"/>
  <c r="E129" i="18"/>
  <c r="F129" i="18"/>
  <c r="G129" i="18"/>
  <c r="C130" i="18"/>
  <c r="D130" i="18"/>
  <c r="E130" i="18"/>
  <c r="F130" i="18"/>
  <c r="G130" i="18"/>
  <c r="C131" i="18"/>
  <c r="D131" i="18"/>
  <c r="E131" i="18"/>
  <c r="F131" i="18"/>
  <c r="G131" i="18"/>
  <c r="C132" i="18"/>
  <c r="D132" i="18"/>
  <c r="E132" i="18"/>
  <c r="F132" i="18"/>
  <c r="G132" i="18"/>
  <c r="C133" i="18"/>
  <c r="D133" i="18"/>
  <c r="E133" i="18"/>
  <c r="F133" i="18"/>
  <c r="G133" i="18"/>
  <c r="C134" i="18"/>
  <c r="D134" i="18"/>
  <c r="E134" i="18"/>
  <c r="F134" i="18"/>
  <c r="G134" i="18"/>
  <c r="C135" i="18"/>
  <c r="D135" i="18"/>
  <c r="E135" i="18"/>
  <c r="F135" i="18"/>
  <c r="G135" i="18"/>
  <c r="C136" i="18"/>
  <c r="D136" i="18"/>
  <c r="E136" i="18"/>
  <c r="F136" i="18"/>
  <c r="G136" i="18"/>
  <c r="C137" i="18"/>
  <c r="D137" i="18"/>
  <c r="E137" i="18"/>
  <c r="F137" i="18"/>
  <c r="G137" i="18"/>
  <c r="C138" i="18"/>
  <c r="D138" i="18"/>
  <c r="E138" i="18"/>
  <c r="F138" i="18"/>
  <c r="G138" i="18"/>
  <c r="C139" i="18"/>
  <c r="D139" i="18"/>
  <c r="E139" i="18"/>
  <c r="F139" i="18"/>
  <c r="G139" i="18"/>
  <c r="C140" i="18"/>
  <c r="D140" i="18"/>
  <c r="E140" i="18"/>
  <c r="F140" i="18"/>
  <c r="G140" i="18"/>
  <c r="C141" i="18"/>
  <c r="D141" i="18"/>
  <c r="E141" i="18"/>
  <c r="F141" i="18"/>
  <c r="G141" i="18"/>
  <c r="C142" i="18"/>
  <c r="D142" i="18"/>
  <c r="E142" i="18"/>
  <c r="F142" i="18"/>
  <c r="G142" i="18"/>
  <c r="C143" i="18"/>
  <c r="D143" i="18"/>
  <c r="E143" i="18"/>
  <c r="F143" i="18"/>
  <c r="G143" i="18"/>
  <c r="C144" i="18"/>
  <c r="D144" i="18"/>
  <c r="E144" i="18"/>
  <c r="F144" i="18"/>
  <c r="G144" i="18"/>
  <c r="C145" i="18"/>
  <c r="D145" i="18"/>
  <c r="E145" i="18"/>
  <c r="F145" i="18"/>
  <c r="G145" i="18"/>
  <c r="C146" i="18"/>
  <c r="D146" i="18"/>
  <c r="E146" i="18"/>
  <c r="F146" i="18"/>
  <c r="G146" i="18"/>
  <c r="C147" i="18"/>
  <c r="D147" i="18"/>
  <c r="E147" i="18"/>
  <c r="F147" i="18"/>
  <c r="G147" i="18"/>
  <c r="C148" i="18"/>
  <c r="D148" i="18"/>
  <c r="E148" i="18"/>
  <c r="F148" i="18"/>
  <c r="G148" i="18"/>
  <c r="C149" i="18"/>
  <c r="D149" i="18"/>
  <c r="E149" i="18"/>
  <c r="F149" i="18"/>
  <c r="G149" i="18"/>
  <c r="C150" i="18"/>
  <c r="D150" i="18"/>
  <c r="E150" i="18"/>
  <c r="F150" i="18"/>
  <c r="G150" i="18"/>
  <c r="C151" i="18"/>
  <c r="D151" i="18"/>
  <c r="E151" i="18"/>
  <c r="F151" i="18"/>
  <c r="G151" i="18"/>
  <c r="C152" i="18"/>
  <c r="D152" i="18"/>
  <c r="E152" i="18"/>
  <c r="F152" i="18"/>
  <c r="G152" i="18"/>
  <c r="C153" i="18"/>
  <c r="D153" i="18"/>
  <c r="E153" i="18"/>
  <c r="F153" i="18"/>
  <c r="G153" i="18"/>
  <c r="C154" i="18"/>
  <c r="D154" i="18"/>
  <c r="E154" i="18"/>
  <c r="F154" i="18"/>
  <c r="G154" i="18"/>
  <c r="C155" i="18"/>
  <c r="D155" i="18"/>
  <c r="E155" i="18"/>
  <c r="F155" i="18"/>
  <c r="G155" i="18"/>
  <c r="C156" i="18"/>
  <c r="D156" i="18"/>
  <c r="E156" i="18"/>
  <c r="F156" i="18"/>
  <c r="G156" i="18"/>
  <c r="C157" i="18"/>
  <c r="D157" i="18"/>
  <c r="E157" i="18"/>
  <c r="F157" i="18"/>
  <c r="G157" i="18"/>
  <c r="C158" i="18"/>
  <c r="D158" i="18"/>
  <c r="E158" i="18"/>
  <c r="F158" i="18"/>
  <c r="G158" i="18"/>
  <c r="C159" i="18"/>
  <c r="D159" i="18"/>
  <c r="E159" i="18"/>
  <c r="F159" i="18"/>
  <c r="G159" i="18"/>
  <c r="C160" i="18"/>
  <c r="D160" i="18"/>
  <c r="E160" i="18"/>
  <c r="F160" i="18"/>
  <c r="G160" i="18"/>
  <c r="C161" i="18"/>
  <c r="D161" i="18"/>
  <c r="E161" i="18"/>
  <c r="F161" i="18"/>
  <c r="G161" i="18"/>
  <c r="C162" i="18"/>
  <c r="D162" i="18"/>
  <c r="E162" i="18"/>
  <c r="F162" i="18"/>
  <c r="G162" i="18"/>
  <c r="C163" i="18"/>
  <c r="D163" i="18"/>
  <c r="E163" i="18"/>
  <c r="F163" i="18"/>
  <c r="G163" i="18"/>
  <c r="C164" i="18"/>
  <c r="D164" i="18"/>
  <c r="E164" i="18"/>
  <c r="F164" i="18"/>
  <c r="G164" i="18"/>
  <c r="C165" i="18"/>
  <c r="D165" i="18"/>
  <c r="E165" i="18"/>
  <c r="F165" i="18"/>
  <c r="G165" i="18"/>
  <c r="C166" i="18"/>
  <c r="D166" i="18"/>
  <c r="E166" i="18"/>
  <c r="F166" i="18"/>
  <c r="G166" i="18"/>
  <c r="C167" i="18"/>
  <c r="D167" i="18"/>
  <c r="E167" i="18"/>
  <c r="F167" i="18"/>
  <c r="G167" i="18"/>
  <c r="C168" i="18"/>
  <c r="D168" i="18"/>
  <c r="E168" i="18"/>
  <c r="F168" i="18"/>
  <c r="G168" i="18"/>
  <c r="C169" i="18"/>
  <c r="D169" i="18"/>
  <c r="E169" i="18"/>
  <c r="F169" i="18"/>
  <c r="G169" i="18"/>
  <c r="C170" i="18"/>
  <c r="D170" i="18"/>
  <c r="E170" i="18"/>
  <c r="F170" i="18"/>
  <c r="G170" i="18"/>
  <c r="C171" i="18"/>
  <c r="D171" i="18"/>
  <c r="E171" i="18"/>
  <c r="F171" i="18"/>
  <c r="G171" i="18"/>
  <c r="C172" i="18"/>
  <c r="D172" i="18"/>
  <c r="E172" i="18"/>
  <c r="F172" i="18"/>
  <c r="G172" i="18"/>
  <c r="C173" i="18"/>
  <c r="D173" i="18"/>
  <c r="E173" i="18"/>
  <c r="F173" i="18"/>
  <c r="G173" i="18"/>
  <c r="C174" i="18"/>
  <c r="D174" i="18"/>
  <c r="E174" i="18"/>
  <c r="F174" i="18"/>
  <c r="G174" i="18"/>
  <c r="C175" i="18"/>
  <c r="D175" i="18"/>
  <c r="E175" i="18"/>
  <c r="F175" i="18"/>
  <c r="G175" i="18"/>
  <c r="C176" i="18"/>
  <c r="D176" i="18"/>
  <c r="E176" i="18"/>
  <c r="F176" i="18"/>
  <c r="G176" i="18"/>
  <c r="C177" i="18"/>
  <c r="D177" i="18"/>
  <c r="E177" i="18"/>
  <c r="F177" i="18"/>
  <c r="G177" i="18"/>
  <c r="C178" i="18"/>
  <c r="D178" i="18"/>
  <c r="E178" i="18"/>
  <c r="F178" i="18"/>
  <c r="G178" i="18"/>
  <c r="G2" i="18"/>
  <c r="F2" i="18"/>
  <c r="E2" i="18"/>
  <c r="D2" i="18"/>
  <c r="C2" i="18"/>
  <c r="AG3" i="9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2" i="9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2" i="8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2" i="6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2" i="5"/>
  <c r="AG3" i="3"/>
  <c r="AG4" i="3"/>
  <c r="C4" i="18" s="1"/>
  <c r="AG5" i="3"/>
  <c r="AG6" i="3"/>
  <c r="AG7" i="3"/>
  <c r="C9" i="18" s="1"/>
  <c r="AG8" i="3"/>
  <c r="C10" i="18" s="1"/>
  <c r="AG9" i="3"/>
  <c r="C11" i="18" s="1"/>
  <c r="AG10" i="3"/>
  <c r="AG11" i="3"/>
  <c r="C13" i="18" s="1"/>
  <c r="AG12" i="3"/>
  <c r="C14" i="18" s="1"/>
  <c r="AG13" i="3"/>
  <c r="AG14" i="3"/>
  <c r="AG15" i="3"/>
  <c r="C17" i="18" s="1"/>
  <c r="AG16" i="3"/>
  <c r="C18" i="18" s="1"/>
  <c r="AG17" i="3"/>
  <c r="AG18" i="3"/>
  <c r="C21" i="18" s="1"/>
  <c r="AG19" i="3"/>
  <c r="C22" i="18" s="1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2" i="3"/>
</calcChain>
</file>

<file path=xl/sharedStrings.xml><?xml version="1.0" encoding="utf-8"?>
<sst xmlns="http://schemas.openxmlformats.org/spreadsheetml/2006/main" count="3650" uniqueCount="446">
  <si>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</si>
  <si>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</si>
  <si>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</si>
  <si>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</si>
  <si>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</si>
  <si>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</si>
  <si>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</si>
  <si>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</si>
  <si>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</si>
  <si>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</si>
  <si>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</si>
  <si>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</si>
  <si>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</si>
  <si>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</si>
  <si>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</si>
  <si>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</si>
  <si>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</si>
  <si>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</si>
  <si>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</si>
  <si>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</si>
  <si>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</si>
  <si>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</si>
  <si>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</si>
  <si>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</si>
  <si>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</si>
  <si>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</si>
  <si>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</si>
  <si>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</si>
  <si>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</si>
  <si>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</si>
  <si>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</si>
  <si>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</si>
  <si>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</si>
  <si>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</si>
  <si>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</si>
  <si>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</si>
  <si>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</si>
  <si>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</si>
  <si>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</si>
  <si>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</si>
  <si>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</si>
  <si>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</si>
  <si>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</si>
  <si>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</si>
  <si>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</si>
  <si>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</si>
  <si>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</si>
  <si>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</si>
  <si>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</si>
  <si>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</si>
  <si>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</si>
  <si>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</si>
  <si>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</si>
  <si>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</si>
  <si>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</si>
  <si>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</si>
  <si>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</si>
  <si>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</si>
  <si>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</si>
  <si>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</si>
  <si>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</si>
  <si>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</si>
  <si>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</si>
  <si>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</si>
  <si>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</si>
  <si>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</si>
  <si>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</si>
  <si>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</si>
  <si>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</si>
  <si>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</si>
  <si>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</si>
  <si>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</si>
  <si>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</si>
  <si>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</si>
  <si>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</si>
  <si>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</si>
  <si>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</si>
  <si>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</si>
  <si>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</si>
  <si>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</si>
  <si>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</si>
  <si>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</si>
  <si>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</si>
  <si>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</si>
  <si>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</si>
  <si>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</si>
  <si>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</si>
  <si>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</si>
  <si>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</si>
  <si>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</si>
  <si>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</si>
  <si>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</si>
  <si>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</si>
  <si>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</si>
  <si>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</si>
  <si>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Saint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</si>
  <si>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</si>
  <si>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</si>
  <si>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</si>
  <si>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</si>
  <si>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</si>
  <si>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</si>
  <si>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</si>
  <si>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</si>
  <si>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</si>
  <si>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</si>
  <si>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</si>
  <si>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</si>
  <si>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</si>
  <si>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</si>
  <si>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</si>
  <si>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</si>
  <si>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</si>
  <si>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Marshall Islands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</si>
  <si>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</si>
  <si>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</si>
  <si>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</si>
  <si>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</si>
  <si>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</si>
  <si>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</si>
  <si>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</si>
  <si>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</si>
  <si>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</si>
  <si>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</si>
  <si>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</si>
  <si>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</si>
  <si>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</si>
  <si>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</si>
  <si>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</si>
  <si>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</si>
  <si>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</si>
  <si>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</si>
  <si>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</si>
  <si>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</si>
  <si>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</si>
  <si>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</si>
  <si>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</si>
  <si>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</si>
  <si>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</si>
  <si>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</si>
  <si>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</si>
  <si>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Portugal</t>
  </si>
  <si>
    <t>Paraguay</t>
  </si>
  <si>
    <t>State of Palestine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</si>
  <si>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</si>
  <si>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</si>
  <si>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</si>
  <si>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</si>
  <si>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</si>
  <si>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</si>
  <si>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</si>
  <si>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</si>
  <si>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</si>
  <si>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</si>
  <si>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</si>
  <si>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</si>
  <si>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</si>
  <si>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</si>
  <si>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</si>
  <si>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</si>
  <si>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</si>
  <si>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</si>
  <si>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</si>
  <si>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</si>
  <si>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</si>
  <si>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</si>
  <si>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</si>
  <si>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</si>
  <si>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</si>
  <si>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</si>
  <si>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</si>
  <si>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</si>
  <si>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</si>
  <si>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</si>
  <si>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</si>
  <si>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</si>
  <si>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</si>
  <si>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</si>
  <si>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</si>
  <si>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</si>
  <si>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</si>
  <si>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</si>
  <si>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</si>
  <si>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</si>
  <si>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</si>
  <si>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</si>
  <si>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</si>
  <si>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</si>
  <si>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</si>
  <si>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</si>
  <si>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</si>
  <si>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</si>
  <si>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</si>
  <si>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ABW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</si>
  <si>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</si>
  <si>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</si>
  <si>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</si>
  <si>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</si>
  <si>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</si>
  <si>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</si>
  <si>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</si>
  <si>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</si>
  <si>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</si>
  <si>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</si>
  <si>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</si>
  <si>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</si>
  <si>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</si>
  <si>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</si>
  <si>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</si>
  <si>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</si>
  <si>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</si>
  <si>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</si>
  <si>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</si>
  <si>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</si>
  <si>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</si>
  <si>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</si>
  <si>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</si>
  <si>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</si>
  <si>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</si>
  <si>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</si>
  <si>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</si>
  <si>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</si>
  <si>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</si>
  <si>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</si>
  <si>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</si>
  <si>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</si>
  <si>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</si>
  <si>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</si>
  <si>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</si>
  <si>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</si>
  <si>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</si>
  <si>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</si>
  <si>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</si>
  <si>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</si>
  <si>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</si>
  <si>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</si>
  <si>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</si>
  <si>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</si>
  <si>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</si>
  <si>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</si>
  <si>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</si>
  <si>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</si>
  <si>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</si>
  <si>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</si>
  <si>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</si>
  <si>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</si>
  <si>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</si>
  <si>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</si>
  <si>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</si>
  <si>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</si>
  <si>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</si>
  <si>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</si>
  <si>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</si>
  <si>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</si>
  <si>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</si>
  <si>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</si>
  <si>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</si>
  <si>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</si>
  <si>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</si>
  <si>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</si>
  <si>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</si>
  <si>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</si>
  <si>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</si>
  <si>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</si>
  <si>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</si>
  <si>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</si>
  <si>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</si>
  <si>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</si>
  <si>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</si>
  <si>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</si>
  <si>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</si>
  <si>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</si>
  <si>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</si>
  <si>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</si>
  <si>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</si>
  <si>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</si>
  <si>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</si>
  <si>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</si>
  <si>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</si>
  <si>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</si>
  <si>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</si>
  <si>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</si>
  <si>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</si>
  <si>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</si>
  <si>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</si>
  <si>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</si>
  <si>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</si>
  <si>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</si>
  <si>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</si>
  <si>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</si>
  <si>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</si>
  <si>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</si>
  <si>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</si>
  <si>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</si>
  <si>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</si>
  <si>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</si>
  <si>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</si>
  <si>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</si>
  <si>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</si>
  <si>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</si>
  <si>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</si>
  <si>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</si>
  <si>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</si>
  <si>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</si>
  <si>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</si>
  <si>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</si>
  <si>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</si>
  <si>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</si>
  <si>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</si>
  <si>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</si>
  <si>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</si>
  <si>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</si>
  <si>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</si>
  <si>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</si>
  <si>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</si>
  <si>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</si>
  <si>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</si>
  <si>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</si>
  <si>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</si>
  <si>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</si>
  <si>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</si>
  <si>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</si>
  <si>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</si>
  <si>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</si>
  <si>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</si>
  <si>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</si>
  <si>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</si>
  <si>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</si>
  <si>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</si>
  <si>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</si>
  <si>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</si>
  <si>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</si>
  <si>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</si>
  <si>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</si>
  <si>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</si>
  <si>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</si>
  <si>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</si>
  <si>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</si>
  <si>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</si>
  <si>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</si>
  <si>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</si>
  <si>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</si>
  <si>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</si>
  <si>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</si>
  <si>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</si>
  <si>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</si>
  <si>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</si>
  <si>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</si>
  <si>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</si>
  <si>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</si>
  <si>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</si>
  <si>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</si>
  <si>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</si>
  <si>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</si>
  <si>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</si>
  <si>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</si>
  <si>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</si>
  <si>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</si>
  <si>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</si>
  <si>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</si>
  <si>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</si>
  <si>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</si>
  <si>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</si>
  <si>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</si>
  <si>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</si>
  <si>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</si>
  <si>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</si>
  <si>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</si>
  <si>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</si>
  <si>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</si>
  <si>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</si>
  <si>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</si>
  <si>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</si>
  <si>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</si>
  <si>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</si>
  <si>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</si>
  <si>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</si>
  <si>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</si>
  <si>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</si>
  <si>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</si>
  <si>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</si>
  <si>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</si>
  <si>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</si>
  <si>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</si>
  <si>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</si>
  <si>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</si>
  <si>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</si>
  <si>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DGE_p</t>
  </si>
  <si>
    <t>MIMIC_p</t>
  </si>
  <si>
    <t>SEMP_p</t>
  </si>
  <si>
    <t>Pension_p</t>
  </si>
  <si>
    <t>Infemp_p</t>
  </si>
  <si>
    <t>Infsize_p</t>
  </si>
  <si>
    <t>WEF_p</t>
  </si>
  <si>
    <t>WBentp1</t>
  </si>
  <si>
    <t>WBentp2</t>
  </si>
  <si>
    <t>WBentp3</t>
  </si>
  <si>
    <t>WBentp4</t>
  </si>
  <si>
    <t>WVS</t>
  </si>
  <si>
    <t>Labor force with pension (% of labor force)</t>
  </si>
  <si>
    <t>Variables</t>
  </si>
  <si>
    <t>Labels</t>
  </si>
  <si>
    <t>Code</t>
  </si>
  <si>
    <t>Percent of firms competing against unregistered or informal firms (World Bank Enterprise Surveys)</t>
  </si>
  <si>
    <t>Self-employment (% of total employment)</t>
  </si>
  <si>
    <t>Informal employment (% of total employment; International Labour Organization; hamonized series)</t>
  </si>
  <si>
    <t>Employment outside the formal sector (% of total employment; International Labour Organization; hamonized series)</t>
  </si>
  <si>
    <t>Reponses to World Values Survey (WVS) question on "Justifiable: Cheating on taxes" (1 = never justifiable, 10 = always justifiable; simple country averages). WVS asks whether cheating on taxes is justifiable (1 is “never justifiable” and 10 is “always justifiable”) and reports average responses at the country-year level. A higher level suggests that the country is more tolerant toward the informal sector.</t>
  </si>
  <si>
    <t>North Macedonia</t>
  </si>
  <si>
    <t>West Bank and Gaza</t>
  </si>
  <si>
    <t xml:space="preserve">Economy </t>
  </si>
  <si>
    <t>Coming soon</t>
  </si>
  <si>
    <t>Additional notes</t>
  </si>
  <si>
    <t>For data before 1990, please contact the authors</t>
  </si>
  <si>
    <t>Economy</t>
  </si>
  <si>
    <t>Name</t>
  </si>
  <si>
    <t>ISO code</t>
  </si>
  <si>
    <r>
      <t xml:space="preserve">World Economic Forum (WEF) index (1 = least informal, 7 = most informal; reordered).  In particular, World Economic Forum conducts surveys and asks, “In your country, how much economic activity do you estimate to be undeclared or unregistered? (1 = Most economic activity is undeclared or unregistered; 7 = Most economic activity is declared or registered)” and reports average responses at the country-year level. Here, the average responses have been reordered to make “7 = Most economic activity is undeclared or unregistered; 1 = Most economic activity is declared or registered.”  A higher level suggests a larger informal sector in the country. Data are not verified (Beta version; World Economic Forum. 2008-2018. </t>
    </r>
    <r>
      <rPr>
        <i/>
        <sz val="11"/>
        <rFont val="Calibri"/>
        <family val="2"/>
      </rPr>
      <t>“Executive Opinion Surveys.”</t>
    </r>
    <r>
      <rPr>
        <sz val="11"/>
        <rFont val="Calibri"/>
        <family val="2"/>
      </rPr>
      <t>).</t>
    </r>
  </si>
  <si>
    <t>Multiple indicators multiple causes model-based (MIMIC) estimates of informal output (% of official GDP)</t>
  </si>
  <si>
    <t>Dynamic general equilibrium model-based (DGE) estimates of informal output (% of official GDP)</t>
  </si>
  <si>
    <t>Percent of firms formally registered when they started operations in the country (World Bank Enterprise Surveys)</t>
  </si>
  <si>
    <t>Number of years firm operated without formal registration (World Bank Enterprise Surveys)</t>
  </si>
  <si>
    <t>Percent of firms identifying practices of competitors in the informal sector as a constraint (World Bank Enterprise Surveys)</t>
  </si>
  <si>
    <t>For questions and comments, please contact Shu Yu (syu2@worldbank.org)</t>
  </si>
  <si>
    <t>Download the paper</t>
  </si>
  <si>
    <t>Source: Elgin, C., M. A. Kose, F. Ohnsorge, and S. Yu. 2021. “Understanding Informality”, C.E.P.R. Discussion Paper 16497, Centre for Economic Policy Research, London</t>
  </si>
  <si>
    <t>avg 2005-2015</t>
  </si>
  <si>
    <t>Info_DGE</t>
  </si>
  <si>
    <t>Info_Mimic</t>
  </si>
  <si>
    <t>Self-emp</t>
  </si>
  <si>
    <t>Info-empl</t>
  </si>
  <si>
    <t>out-form-empl</t>
  </si>
  <si>
    <t>countrycode</t>
  </si>
  <si>
    <t>country</t>
  </si>
  <si>
    <t xml:space="preserve"> [1] 37.58694 37.23112 37.04267 37.13224 37.06698 36.70058 36.39922 35.28692 35.03954 34.86611</t>
  </si>
  <si>
    <t>[11] 34.38856 34.21208 34.52388 34.66083 34.54264 34.54662 34.39772 34.10000 34.13263 34.49483</t>
  </si>
  <si>
    <t>[21] 34.82710 34.77867 35.00087 35.09350 35.01844 34.74834 34.43965 34.40974 34.13310</t>
  </si>
  <si>
    <t xml:space="preserve"> [1] 48.62283 47.03364 46.74351 46.19760 45.66158 44.53491 43.72257 42.47710 41.90926 40.37918</t>
  </si>
  <si>
    <t>[11] 41.20759 41.79611 39.98821 39.74053 38.68860 38.01139 38.11295 38.30000 37.70368 37.16396</t>
  </si>
  <si>
    <t>[21] 35.83261 35.27775 32.86561 31.15533 30.82905 30.70140 30.70765 29.03659 28.32580</t>
  </si>
  <si>
    <t xml:space="preserve"> [1] 27.88994 28.26514 27.73501 27.33193 26.36425 25.39481 24.34116 24.50707 24.17464 23.52041</t>
  </si>
  <si>
    <t>[11] 23.51826 23.53861 23.54323 22.84256 22.22810 21.66320 21.02909 20.70000 21.19554 20.89714</t>
  </si>
  <si>
    <t>[21] 20.26986 20.40082 20.29084 19.93929 19.32157 18.62563 17.91610 17.51794 17.32306</t>
  </si>
  <si>
    <t xml:space="preserve"> [1] 18.91444 18.65533 18.63413 18.36731 18.32199 18.05829 17.95741 17.74400 20.54421 20.47115</t>
  </si>
  <si>
    <t>[11] 20.07676 19.79270 19.53969 19.28114 18.80937 18.38622 18.18133 17.90000 17.69556 17.86046</t>
  </si>
  <si>
    <t>[21] 17.46700 17.16400 17.15695 17.00471 16.84490 16.79993 16.58994 16.39857 16.33180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</si>
</sst>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i/>
      <sz val="11"/>
      <name val="Calibri"/>
      <family val="2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1"/>
    <xf numFmtId="0" fontId="5" fillId="0" borderId="1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1"/>
    <xf numFmtId="0" fontId="4" fillId="0" borderId="1" xfId="1" applyFont="1"/>
    <xf numFmtId="0" fontId="5" fillId="0" borderId="1" xfId="2"/>
    <xf numFmtId="1" fontId="5" fillId="0" borderId="1" xfId="2" applyNumberFormat="1"/>
    <xf numFmtId="164" fontId="5" fillId="0" borderId="1" xfId="2" applyNumberFormat="1"/>
    <xf numFmtId="164" fontId="3" fillId="0" borderId="1" xfId="1" applyNumberFormat="1"/>
    <xf numFmtId="0" fontId="6" fillId="0" borderId="0" xfId="0" applyFont="1"/>
    <xf numFmtId="164" fontId="6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7" fillId="0" borderId="0" xfId="3"/>
    <xf numFmtId="0" fontId="7" fillId="0" borderId="0" xfId="3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1" xfId="1" applyFont="1"/>
    <xf numFmtId="164" fontId="5" fillId="0" borderId="1" xfId="1" applyNumberFormat="1" applyFont="1"/>
    <xf numFmtId="0" fontId="0" fillId="0" borderId="1" xfId="0" applyBorder="1" applyAlignment="1">
      <alignment vertical="top"/>
    </xf>
    <xf numFmtId="0" fontId="8" fillId="0" borderId="0" xfId="0" applyFont="1" applyAlignment="1">
      <alignment vertical="center"/>
    </xf>
    <xf numFmtId="0" fontId="7" fillId="0" borderId="1" xfId="3" applyFill="1" applyBorder="1"/>
    <xf numFmtId="0" fontId="4" fillId="0" borderId="2" xfId="1" applyFont="1" applyBorder="1"/>
    <xf numFmtId="0" fontId="4" fillId="0" borderId="3" xfId="1" applyFont="1" applyBorder="1"/>
    <xf numFmtId="0" fontId="1" fillId="0" borderId="3" xfId="0" applyFont="1" applyBorder="1"/>
    <xf numFmtId="0" fontId="1" fillId="0" borderId="4" xfId="0" applyFont="1" applyBorder="1"/>
    <xf numFmtId="2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3" fillId="2" borderId="1" xfId="1" applyNumberFormat="1" applyFill="1"/>
    <xf numFmtId="0" fontId="10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</cellXfs>
  <cellStyles count="4">
    <cellStyle name="Hyperlink" xfId="3" builtinId="8"/>
    <cellStyle name="Normal" xfId="0" builtinId="0"/>
    <cellStyle name="Normal 2" xfId="1" xr:uid="{9511CD4A-879B-4CCC-A569-94A82CB6236B}"/>
    <cellStyle name="Normal 3" xfId="2" xr:uid="{0FD9F9FB-4518-4503-942D-474AC3EA9205}"/>
  </cellStyles>
  <dxfs count="0"/>
  <tableStyles count="0" defaultTableStyle="TableStyleMedium2" defaultPivotStyle="PivotStyleLight16"/>
  <colors>
    <mruColors>
      <color rgb="FF3333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Bangladesh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Sheet1!$B$6:$B$34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Sheet1!$D$6:$D$34</c:f>
              <c:numCache>
                <c:formatCode>0.0</c:formatCode>
                <c:ptCount val="29"/>
                <c:pt idx="0">
                  <c:v>42.952110290527344</c:v>
                </c:pt>
                <c:pt idx="1">
                  <c:v>42.664642333984375</c:v>
                </c:pt>
                <c:pt idx="2">
                  <c:v>42.450149536132813</c:v>
                </c:pt>
                <c:pt idx="3">
                  <c:v>42.107204437255859</c:v>
                </c:pt>
                <c:pt idx="4">
                  <c:v>41.800094604492188</c:v>
                </c:pt>
                <c:pt idx="5">
                  <c:v>41.484584808349609</c:v>
                </c:pt>
                <c:pt idx="6">
                  <c:v>41.130989074707031</c:v>
                </c:pt>
                <c:pt idx="7">
                  <c:v>40.773448944091797</c:v>
                </c:pt>
                <c:pt idx="8">
                  <c:v>40.172473907470703</c:v>
                </c:pt>
                <c:pt idx="9">
                  <c:v>39.560256958007813</c:v>
                </c:pt>
                <c:pt idx="10">
                  <c:v>38.955913543701172</c:v>
                </c:pt>
                <c:pt idx="11">
                  <c:v>38.389839172363281</c:v>
                </c:pt>
                <c:pt idx="12">
                  <c:v>37.765056610107422</c:v>
                </c:pt>
                <c:pt idx="13">
                  <c:v>37.098930358886719</c:v>
                </c:pt>
                <c:pt idx="14">
                  <c:v>36.318214416503906</c:v>
                </c:pt>
                <c:pt idx="15">
                  <c:v>35.509971618652344</c:v>
                </c:pt>
                <c:pt idx="16">
                  <c:v>34.6885986328125</c:v>
                </c:pt>
                <c:pt idx="17">
                  <c:v>34.100784301757813</c:v>
                </c:pt>
                <c:pt idx="18">
                  <c:v>33.480823516845703</c:v>
                </c:pt>
                <c:pt idx="19">
                  <c:v>32.828964233398438</c:v>
                </c:pt>
                <c:pt idx="20">
                  <c:v>32.177204132080078</c:v>
                </c:pt>
                <c:pt idx="21">
                  <c:v>31.500190734863281</c:v>
                </c:pt>
                <c:pt idx="22">
                  <c:v>30.899021148681641</c:v>
                </c:pt>
                <c:pt idx="23">
                  <c:v>30.204217910766602</c:v>
                </c:pt>
                <c:pt idx="24">
                  <c:v>29.532600402832031</c:v>
                </c:pt>
                <c:pt idx="25">
                  <c:v>28.897315979003906</c:v>
                </c:pt>
                <c:pt idx="26">
                  <c:v>28.256935119628906</c:v>
                </c:pt>
                <c:pt idx="27">
                  <c:v>27.63127326965332</c:v>
                </c:pt>
                <c:pt idx="28">
                  <c:v>26.998659133911133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7-4639-A356-C56E2E28098F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BGD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Sheet1!$C$6:$C$34</c:f>
              <c:numCache>
                <c:formatCode>0</c:formatCode>
                <c:ptCount val="29"/>
                <c:pt idx="3" formatCode="0.0">
                  <c:v>36.670768737792969</c:v>
                </c:pt>
                <c:pt idx="4" formatCode="0.0">
                  <c:v>36.484996795654297</c:v>
                </c:pt>
                <c:pt idx="5" formatCode="0.0">
                  <c:v>36.079761505126953</c:v>
                </c:pt>
                <c:pt idx="6" formatCode="0.0">
                  <c:v>35.634632110595703</c:v>
                </c:pt>
                <c:pt idx="7" formatCode="0.0">
                  <c:v>35.429027557373047</c:v>
                </c:pt>
                <c:pt idx="8" formatCode="0.0">
                  <c:v>35.365760803222656</c:v>
                </c:pt>
                <c:pt idx="9" formatCode="0.0">
                  <c:v>35.496166229248047</c:v>
                </c:pt>
                <c:pt idx="10" formatCode="0.0">
                  <c:v>35.599998474121094</c:v>
                </c:pt>
                <c:pt idx="11" formatCode="0.0">
                  <c:v>35.585887908935547</c:v>
                </c:pt>
                <c:pt idx="12" formatCode="0.0">
                  <c:v>36.180835723876953</c:v>
                </c:pt>
                <c:pt idx="13" formatCode="0.0">
                  <c:v>36.863773345947266</c:v>
                </c:pt>
                <c:pt idx="14" formatCode="0.0">
                  <c:v>37.213970184326172</c:v>
                </c:pt>
                <c:pt idx="15" formatCode="0.0">
                  <c:v>37.185455322265625</c:v>
                </c:pt>
                <c:pt idx="16" formatCode="0.0">
                  <c:v>36.700557708740234</c:v>
                </c:pt>
                <c:pt idx="17" formatCode="0.0">
                  <c:v>36.212722778320313</c:v>
                </c:pt>
                <c:pt idx="18" formatCode="0.0">
                  <c:v>35.932319641113281</c:v>
                </c:pt>
                <c:pt idx="19" formatCode="0.0">
                  <c:v>36.021945953369141</c:v>
                </c:pt>
                <c:pt idx="20" formatCode="0.0">
                  <c:v>35.54315185546875</c:v>
                </c:pt>
                <c:pt idx="21" formatCode="0.0">
                  <c:v>35.391773223876953</c:v>
                </c:pt>
                <c:pt idx="22" formatCode="0.0">
                  <c:v>35.19781494140625</c:v>
                </c:pt>
                <c:pt idx="23" formatCode="0.0">
                  <c:v>35.044219970703125</c:v>
                </c:pt>
                <c:pt idx="24" formatCode="0.0">
                  <c:v>34.929950714111328</c:v>
                </c:pt>
                <c:pt idx="25" formatCode="0.0">
                  <c:v>34.645957946777344</c:v>
                </c:pt>
                <c:pt idx="26" formatCode="0.0">
                  <c:v>34.769283294677734</c:v>
                </c:pt>
                <c:pt idx="27" formatCode="0.0">
                  <c:v>34.658210754394531</c:v>
                </c:pt>
                <c:pt idx="28" formatCode="0.0">
                  <c:v>34.65399169921875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7-4639-A356-C56E2E280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386479"/>
        <c:axId val="916293680"/>
      </c:lineChart>
      <c:catAx>
        <c:axId val="9633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293680"/>
        <c:crosses val="autoZero"/>
        <c:auto val="1"/>
        <c:lblAlgn val="ctr"/>
        <c:lblOffset val="100"/>
        <c:noMultiLvlLbl val="0"/>
      </c:catAx>
      <c:valAx>
        <c:axId val="91629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8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</xdr:row>
      <xdr:rowOff>80962</xdr:rowOff>
    </xdr:from>
    <xdr:to>
      <xdr:col>13</xdr:col>
      <xdr:colOff>590550</xdr:colOff>
      <xdr:row>17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C31EC-1A49-5B1E-4DDC-8CBBBC125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epr.org/active/publications/discussion_papers/dp.php?dpno=1649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1678-3700-46D1-9C30-1CB3FC82651F}">
  <sheetPr>
    <tabColor rgb="FFFF0000"/>
  </sheetPr>
  <dimension ref="A1:H18"/>
  <sheetViews>
    <sheetView topLeftCell="A3" zoomScale="99" zoomScaleNormal="99" workbookViewId="0">
      <selection activeCell="B9" sqref="B9"/>
    </sheetView>
  </sheetViews>
  <sheetFormatPr defaultRowHeight="15" x14ac:dyDescent="0.25"/>
  <cols>
    <col min="1" max="1" width="17.140625" customWidth="1"/>
    <col min="2" max="2" width="104.42578125" customWidth="1"/>
    <col min="3" max="3" width="43.140625" customWidth="1"/>
  </cols>
  <sheetData>
    <row r="1" spans="1:8" s="1" customFormat="1" ht="30" customHeight="1" x14ac:dyDescent="0.25">
      <c r="A1" s="27" t="s">
        <v>425</v>
      </c>
      <c r="B1" s="28"/>
      <c r="C1" s="21" t="s">
        <v>424</v>
      </c>
      <c r="D1" s="15"/>
      <c r="E1" s="15"/>
      <c r="F1" s="15"/>
      <c r="G1" s="15"/>
      <c r="H1" s="15"/>
    </row>
    <row r="2" spans="1:8" s="1" customFormat="1" x14ac:dyDescent="0.25">
      <c r="A2" s="29" t="s">
        <v>423</v>
      </c>
      <c r="B2" s="30"/>
      <c r="C2" s="15"/>
      <c r="D2" s="15"/>
      <c r="E2" s="15"/>
      <c r="F2" s="15"/>
      <c r="G2" s="15"/>
      <c r="H2" s="15"/>
    </row>
    <row r="3" spans="1:8" x14ac:dyDescent="0.25">
      <c r="A3" s="15"/>
      <c r="B3" s="16"/>
      <c r="C3" s="16"/>
      <c r="D3" s="16"/>
      <c r="E3" s="16"/>
      <c r="F3" s="16"/>
      <c r="G3" s="16"/>
      <c r="H3" s="16"/>
    </row>
    <row r="4" spans="1:8" x14ac:dyDescent="0.25">
      <c r="A4" s="1" t="s">
        <v>400</v>
      </c>
      <c r="B4" s="1" t="s">
        <v>401</v>
      </c>
      <c r="C4" s="1" t="s">
        <v>412</v>
      </c>
      <c r="F4" s="11"/>
    </row>
    <row r="5" spans="1:8" x14ac:dyDescent="0.25">
      <c r="A5" s="2" t="s">
        <v>414</v>
      </c>
      <c r="B5" s="2" t="s">
        <v>415</v>
      </c>
    </row>
    <row r="6" spans="1:8" x14ac:dyDescent="0.25">
      <c r="A6" t="s">
        <v>402</v>
      </c>
      <c r="B6" s="2" t="s">
        <v>416</v>
      </c>
    </row>
    <row r="7" spans="1:8" x14ac:dyDescent="0.25">
      <c r="A7" s="13" t="s">
        <v>387</v>
      </c>
      <c r="B7" s="2" t="s">
        <v>419</v>
      </c>
      <c r="C7" s="2" t="s">
        <v>413</v>
      </c>
    </row>
    <row r="8" spans="1:8" x14ac:dyDescent="0.25">
      <c r="A8" s="13" t="s">
        <v>388</v>
      </c>
      <c r="B8" s="2" t="s">
        <v>418</v>
      </c>
      <c r="C8" s="2"/>
    </row>
    <row r="9" spans="1:8" x14ac:dyDescent="0.25">
      <c r="A9" s="13" t="s">
        <v>389</v>
      </c>
      <c r="B9" s="2" t="s">
        <v>404</v>
      </c>
      <c r="C9" s="2" t="s">
        <v>413</v>
      </c>
    </row>
    <row r="10" spans="1:8" x14ac:dyDescent="0.25">
      <c r="A10" s="13" t="s">
        <v>390</v>
      </c>
      <c r="B10" s="2" t="s">
        <v>399</v>
      </c>
    </row>
    <row r="11" spans="1:8" x14ac:dyDescent="0.25">
      <c r="A11" s="13" t="s">
        <v>391</v>
      </c>
      <c r="B11" s="2" t="s">
        <v>405</v>
      </c>
      <c r="C11" s="13"/>
    </row>
    <row r="12" spans="1:8" x14ac:dyDescent="0.25">
      <c r="A12" s="13" t="s">
        <v>392</v>
      </c>
      <c r="B12" s="2" t="s">
        <v>406</v>
      </c>
      <c r="C12" s="13"/>
    </row>
    <row r="13" spans="1:8" ht="105" x14ac:dyDescent="0.25">
      <c r="A13" s="19" t="s">
        <v>393</v>
      </c>
      <c r="B13" s="12" t="s">
        <v>417</v>
      </c>
      <c r="C13" s="20" t="s">
        <v>411</v>
      </c>
    </row>
    <row r="14" spans="1:8" x14ac:dyDescent="0.25">
      <c r="A14" s="13" t="s">
        <v>394</v>
      </c>
      <c r="B14" s="2" t="s">
        <v>403</v>
      </c>
      <c r="C14" s="13"/>
    </row>
    <row r="15" spans="1:8" x14ac:dyDescent="0.25">
      <c r="A15" s="13" t="s">
        <v>395</v>
      </c>
      <c r="B15" s="2" t="s">
        <v>420</v>
      </c>
      <c r="C15" s="13"/>
    </row>
    <row r="16" spans="1:8" x14ac:dyDescent="0.25">
      <c r="A16" s="13" t="s">
        <v>396</v>
      </c>
      <c r="B16" s="2" t="s">
        <v>421</v>
      </c>
      <c r="C16" s="13"/>
    </row>
    <row r="17" spans="1:3" x14ac:dyDescent="0.25">
      <c r="A17" s="13" t="s">
        <v>397</v>
      </c>
      <c r="B17" s="2" t="s">
        <v>422</v>
      </c>
      <c r="C17" s="13"/>
    </row>
    <row r="18" spans="1:3" ht="60" x14ac:dyDescent="0.25">
      <c r="A18" s="14" t="s">
        <v>398</v>
      </c>
      <c r="B18" s="12" t="s">
        <v>407</v>
      </c>
      <c r="C18" s="13"/>
    </row>
  </sheetData>
  <mergeCells count="2">
    <mergeCell ref="A1:B1"/>
    <mergeCell ref="A2:B2"/>
  </mergeCells>
  <hyperlinks>
    <hyperlink ref="A7" location="DGE_p!A1" display="DGE_p" xr:uid="{98C8B0AE-E957-44EF-B2D8-9348D4E89C35}"/>
    <hyperlink ref="A8" location="MIMIC_p!A1" display="MIMIC_p" xr:uid="{C8DD8D27-F661-4A65-B0AD-E0C31AB57D5F}"/>
    <hyperlink ref="A9" location="SEMP_p!A1" display="SEMP_p" xr:uid="{0EA6CFC3-1173-416D-BA02-A3A84D20F2EF}"/>
    <hyperlink ref="A10" location="Pension_p!A1" display="Pension_p" xr:uid="{EEC20CEE-BF14-4ACC-AFF9-C71296D1A888}"/>
    <hyperlink ref="A11" location="Infemp_p!A1" display="Infemp_p" xr:uid="{338B7789-A0A4-4A36-9AD2-AD45C2382C8A}"/>
    <hyperlink ref="A12" location="Infsize_p!A1" display="Infsize_p" xr:uid="{7DA89B90-880D-4E50-9DC3-90BC5E958A8F}"/>
    <hyperlink ref="A14" location="WBentp1!A1" display="WBentp1" xr:uid="{8D191BA8-D975-46D8-A62B-C7D706DF1028}"/>
    <hyperlink ref="A15" location="WBentp2!A1" display="WBentp2" xr:uid="{C7963819-F815-46B9-8B3B-C8655DB20AC1}"/>
    <hyperlink ref="A16" location="WBentp3!A1" display="WBentp3" xr:uid="{10575BE1-F4BA-421E-A3FF-07FC8AC75133}"/>
    <hyperlink ref="A17" location="WBentp4!A1" display="WBentp4" xr:uid="{EA6DFEBC-FED5-415B-AE25-8709E7F87B3A}"/>
    <hyperlink ref="A18" location="WVS!A1" display="WVS" xr:uid="{90D4C0EB-CB1C-4B17-AF7E-CC86C3425338}"/>
    <hyperlink ref="C1" r:id="rId1" xr:uid="{37D0858F-455C-46D9-861D-074A543F5301}"/>
  </hyperlinks>
  <pageMargins left="0.7" right="0.7" top="0.75" bottom="0.75" header="0.3" footer="0.3"/>
  <pageSetup orientation="portrait" horizontalDpi="90" verticalDpi="9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706C-9603-4841-BD02-9B5D674DE665}">
  <dimension ref="A1:G178"/>
  <sheetViews>
    <sheetView workbookViewId="0">
      <selection activeCell="A3" sqref="A3"/>
    </sheetView>
  </sheetViews>
  <sheetFormatPr defaultRowHeight="15" x14ac:dyDescent="0.25"/>
  <cols>
    <col min="3" max="7" width="11.5703125" customWidth="1"/>
  </cols>
  <sheetData>
    <row r="1" spans="1:7" x14ac:dyDescent="0.25">
      <c r="A1" s="22" t="s">
        <v>433</v>
      </c>
      <c r="B1" s="23" t="s">
        <v>432</v>
      </c>
      <c r="C1" s="24" t="s">
        <v>427</v>
      </c>
      <c r="D1" s="24" t="s">
        <v>428</v>
      </c>
      <c r="E1" s="24" t="s">
        <v>429</v>
      </c>
      <c r="F1" s="24" t="s">
        <v>430</v>
      </c>
      <c r="G1" s="25" t="s">
        <v>431</v>
      </c>
    </row>
    <row r="2" spans="1:7" x14ac:dyDescent="0.25">
      <c r="A2" s="5" t="s">
        <v>3</v>
      </c>
      <c r="B2" s="5" t="s">
        <v>196</v>
      </c>
      <c r="C2" s="26">
        <f>IFERROR(VLOOKUP($B2,DGE_p!$B$2:$AG$157,32,FALSE),"")</f>
        <v>31.594880017367277</v>
      </c>
      <c r="D2" s="26">
        <f>IFERROR(VLOOKUP($B2,MIMIC_p!$B$2:$AG$157,32,FALSE),"")</f>
        <v>33.934312647039242</v>
      </c>
      <c r="E2" s="26">
        <f>IFERROR(VLOOKUP($B2,SEMP_p!$B$2:$AG$157,32,FALSE),"")</f>
        <v>59.719040298461913</v>
      </c>
      <c r="F2" s="26">
        <f>IFERROR(VLOOKUP($B2,Infemp_p!$B$2:$AG$157,32,FALSE),"")</f>
        <v>63.784999999999997</v>
      </c>
      <c r="G2" s="26">
        <f>IFERROR(VLOOKUP($B2,Infsize_p!$B$2:$AG$157,32,FALSE),"")</f>
        <v>66.62</v>
      </c>
    </row>
    <row r="3" spans="1:7" x14ac:dyDescent="0.25">
      <c r="A3" s="5" t="s">
        <v>52</v>
      </c>
      <c r="B3" s="5" t="s">
        <v>245</v>
      </c>
      <c r="C3" s="26">
        <f>IFERROR(VLOOKUP($B3,DGE_p!$B$2:$AG$157,32,FALSE),"")</f>
        <v>30.313397667624734</v>
      </c>
      <c r="D3" s="26">
        <f>IFERROR(VLOOKUP($B3,MIMIC_p!$B$2:$AG$157,32,FALSE),"")</f>
        <v>31.787115097045898</v>
      </c>
      <c r="E3" s="26">
        <f>IFERROR(VLOOKUP($B3,SEMP_p!$B$2:$AG$157,32,FALSE),"")</f>
        <v>33.160285429521039</v>
      </c>
      <c r="F3" s="26" t="str">
        <f>IFERROR(VLOOKUP($B3,Infemp_p!$B$2:$AG$157,32,FALSE),"")</f>
        <v/>
      </c>
      <c r="G3" s="26" t="str">
        <f>IFERROR(VLOOKUP($B3,Infsize_p!$B$2:$AG$157,32,FALSE),"")</f>
        <v/>
      </c>
    </row>
    <row r="4" spans="1:7" x14ac:dyDescent="0.25">
      <c r="A4" s="5" t="s">
        <v>2</v>
      </c>
      <c r="B4" s="5" t="s">
        <v>195</v>
      </c>
      <c r="C4" s="26">
        <f>IFERROR(VLOOKUP($B4,DGE_p!$B$2:$AG$157,32,FALSE),"")</f>
        <v>41.059401078657672</v>
      </c>
      <c r="D4" s="26">
        <f>IFERROR(VLOOKUP($B4,MIMIC_p!$B$2:$AG$157,32,FALSE),"")</f>
        <v>44.133582722056993</v>
      </c>
      <c r="E4" s="26">
        <f>IFERROR(VLOOKUP($B4,SEMP_p!$B$2:$AG$157,32,FALSE),"")</f>
        <v>68.098417282104492</v>
      </c>
      <c r="F4" s="26">
        <f>IFERROR(VLOOKUP($B4,Infemp_p!$B$2:$AG$157,32,FALSE),"")</f>
        <v>84.32</v>
      </c>
      <c r="G4" s="26">
        <f>IFERROR(VLOOKUP($B4,Infsize_p!$B$2:$AG$157,32,FALSE),"")</f>
        <v>76.19</v>
      </c>
    </row>
    <row r="5" spans="1:7" x14ac:dyDescent="0.25">
      <c r="A5" s="5" t="s">
        <v>8</v>
      </c>
      <c r="B5" s="5" t="s">
        <v>201</v>
      </c>
      <c r="C5" s="26" t="str">
        <f>IFERROR(VLOOKUP($B5,DGE_p!$B$2:$AG$157,32,FALSE),"")</f>
        <v/>
      </c>
      <c r="D5" s="26" t="str">
        <f>IFERROR(VLOOKUP($B5,MIMIC_p!$B$2:$AG$157,32,FALSE),"")</f>
        <v/>
      </c>
      <c r="E5" s="26" t="str">
        <f>IFERROR(VLOOKUP($B5,SEMP_p!$B$2:$AG$157,32,FALSE),"")</f>
        <v/>
      </c>
      <c r="F5" s="26" t="str">
        <f>IFERROR(VLOOKUP($B5,Infemp_p!$B$2:$AG$157,32,FALSE),"")</f>
        <v/>
      </c>
      <c r="G5" s="26" t="str">
        <f>IFERROR(VLOOKUP($B5,Infsize_p!$B$2:$AG$157,32,FALSE),"")</f>
        <v/>
      </c>
    </row>
    <row r="6" spans="1:7" x14ac:dyDescent="0.25">
      <c r="A6" s="5" t="s">
        <v>6</v>
      </c>
      <c r="B6" s="5" t="s">
        <v>199</v>
      </c>
      <c r="C6" s="26">
        <f>IFERROR(VLOOKUP($B6,DGE_p!$B$2:$AG$157,32,FALSE),"")</f>
        <v>22.392824519764293</v>
      </c>
      <c r="D6" s="26">
        <f>IFERROR(VLOOKUP($B6,MIMIC_p!$B$2:$AG$157,32,FALSE),"")</f>
        <v>24.250676068392668</v>
      </c>
      <c r="E6" s="26">
        <f>IFERROR(VLOOKUP($B6,SEMP_p!$B$2:$AG$157,32,FALSE),"")</f>
        <v>23.481158343228426</v>
      </c>
      <c r="F6" s="26">
        <f>IFERROR(VLOOKUP($B6,Infemp_p!$B$2:$AG$157,32,FALSE),"")</f>
        <v>50.167777777777779</v>
      </c>
      <c r="G6" s="26">
        <f>IFERROR(VLOOKUP($B6,Infsize_p!$B$2:$AG$157,32,FALSE),"")</f>
        <v>43.514444444444443</v>
      </c>
    </row>
    <row r="7" spans="1:7" x14ac:dyDescent="0.25">
      <c r="A7" s="5" t="s">
        <v>7</v>
      </c>
      <c r="B7" s="5" t="s">
        <v>200</v>
      </c>
      <c r="C7" s="26">
        <f>IFERROR(VLOOKUP($B7,DGE_p!$B$2:$AG$157,32,FALSE),"")</f>
        <v>39.004612315784804</v>
      </c>
      <c r="D7" s="26">
        <f>IFERROR(VLOOKUP($B7,MIMIC_p!$B$2:$AG$157,32,FALSE),"")</f>
        <v>43.467532764781602</v>
      </c>
      <c r="E7" s="26">
        <f>IFERROR(VLOOKUP($B7,SEMP_p!$B$2:$AG$157,32,FALSE),"")</f>
        <v>37.94981505654075</v>
      </c>
      <c r="F7" s="26">
        <f>IFERROR(VLOOKUP($B7,Infemp_p!$B$2:$AG$157,32,FALSE),"")</f>
        <v>57.387142857142855</v>
      </c>
      <c r="G7" s="26">
        <f>IFERROR(VLOOKUP($B7,Infsize_p!$B$2:$AG$157,32,FALSE),"")</f>
        <v>48.615000000000002</v>
      </c>
    </row>
    <row r="8" spans="1:7" x14ac:dyDescent="0.25">
      <c r="A8" s="5" t="s">
        <v>0</v>
      </c>
      <c r="B8" s="5" t="s">
        <v>193</v>
      </c>
      <c r="C8" s="26" t="str">
        <f>IFERROR(VLOOKUP($B8,DGE_p!$B$2:$AG$157,32,FALSE),"")</f>
        <v/>
      </c>
      <c r="D8" s="26" t="str">
        <f>IFERROR(VLOOKUP($B8,MIMIC_p!$B$2:$AG$157,32,FALSE),"")</f>
        <v/>
      </c>
      <c r="E8" s="26">
        <f>IFERROR(VLOOKUP($B8,SEMP_p!$B$2:$AG$157,32,FALSE),"")</f>
        <v>9.3499999046325684</v>
      </c>
      <c r="F8" s="26" t="str">
        <f>IFERROR(VLOOKUP($B8,Infemp_p!$B$2:$AG$157,32,FALSE),"")</f>
        <v/>
      </c>
      <c r="G8" s="26" t="str">
        <f>IFERROR(VLOOKUP($B8,Infsize_p!$B$2:$AG$157,32,FALSE),"")</f>
        <v/>
      </c>
    </row>
    <row r="9" spans="1:7" x14ac:dyDescent="0.25">
      <c r="A9" s="5" t="s">
        <v>9</v>
      </c>
      <c r="B9" s="5" t="s">
        <v>202</v>
      </c>
      <c r="C9" s="26">
        <f>IFERROR(VLOOKUP($B9,DGE_p!$B$2:$AG$157,32,FALSE),"")</f>
        <v>13.184100844643332</v>
      </c>
      <c r="D9" s="26">
        <f>IFERROR(VLOOKUP($B9,MIMIC_p!$B$2:$AG$157,32,FALSE),"")</f>
        <v>13.742926684292881</v>
      </c>
      <c r="E9" s="26">
        <f>IFERROR(VLOOKUP($B9,SEMP_p!$B$2:$AG$157,32,FALSE),"")</f>
        <v>11.178878870877353</v>
      </c>
      <c r="F9" s="26" t="str">
        <f>IFERROR(VLOOKUP($B9,Infemp_p!$B$2:$AG$157,32,FALSE),"")</f>
        <v/>
      </c>
      <c r="G9" s="26" t="str">
        <f>IFERROR(VLOOKUP($B9,Infsize_p!$B$2:$AG$157,32,FALSE),"")</f>
        <v/>
      </c>
    </row>
    <row r="10" spans="1:7" x14ac:dyDescent="0.25">
      <c r="A10" s="5" t="s">
        <v>10</v>
      </c>
      <c r="B10" s="5" t="s">
        <v>203</v>
      </c>
      <c r="C10" s="26">
        <f>IFERROR(VLOOKUP($B10,DGE_p!$B$2:$AG$157,32,FALSE),"")</f>
        <v>9.4159414117986504</v>
      </c>
      <c r="D10" s="26">
        <f>IFERROR(VLOOKUP($B10,MIMIC_p!$B$2:$AG$157,32,FALSE),"")</f>
        <v>9.8223837072199043</v>
      </c>
      <c r="E10" s="26">
        <f>IFERROR(VLOOKUP($B10,SEMP_p!$B$2:$AG$157,32,FALSE),"")</f>
        <v>13.317980332808061</v>
      </c>
      <c r="F10" s="26" t="str">
        <f>IFERROR(VLOOKUP($B10,Infemp_p!$B$2:$AG$157,32,FALSE),"")</f>
        <v/>
      </c>
      <c r="G10" s="26" t="str">
        <f>IFERROR(VLOOKUP($B10,Infsize_p!$B$2:$AG$157,32,FALSE),"")</f>
        <v/>
      </c>
    </row>
    <row r="11" spans="1:7" x14ac:dyDescent="0.25">
      <c r="A11" s="5" t="s">
        <v>11</v>
      </c>
      <c r="B11" s="5" t="s">
        <v>204</v>
      </c>
      <c r="C11" s="26">
        <f>IFERROR(VLOOKUP($B11,DGE_p!$B$2:$AG$157,32,FALSE),"")</f>
        <v>47.750231309370562</v>
      </c>
      <c r="D11" s="26">
        <f>IFERROR(VLOOKUP($B11,MIMIC_p!$B$2:$AG$157,32,FALSE),"")</f>
        <v>54.58480592207475</v>
      </c>
      <c r="E11" s="26">
        <f>IFERROR(VLOOKUP($B11,SEMP_p!$B$2:$AG$157,32,FALSE),"")</f>
        <v>63.36901512145996</v>
      </c>
      <c r="F11" s="26" t="str">
        <f>IFERROR(VLOOKUP($B11,Infemp_p!$B$2:$AG$157,32,FALSE),"")</f>
        <v/>
      </c>
      <c r="G11" s="26" t="str">
        <f>IFERROR(VLOOKUP($B11,Infsize_p!$B$2:$AG$157,32,FALSE),"")</f>
        <v/>
      </c>
    </row>
    <row r="12" spans="1:7" x14ac:dyDescent="0.25">
      <c r="A12" s="5" t="s">
        <v>19</v>
      </c>
      <c r="B12" s="5" t="s">
        <v>212</v>
      </c>
      <c r="C12" s="26">
        <f>IFERROR(VLOOKUP($B12,DGE_p!$B$2:$AG$157,32,FALSE),"")</f>
        <v>25.560262853449043</v>
      </c>
      <c r="D12" s="26">
        <f>IFERROR(VLOOKUP($B12,MIMIC_p!$B$2:$AG$157,32,FALSE),"")</f>
        <v>28.651319677179512</v>
      </c>
      <c r="E12" s="26">
        <f>IFERROR(VLOOKUP($B12,SEMP_p!$B$2:$AG$157,32,FALSE),"")</f>
        <v>13.657118479410807</v>
      </c>
      <c r="F12" s="26" t="str">
        <f>IFERROR(VLOOKUP($B12,Infemp_p!$B$2:$AG$157,32,FALSE),"")</f>
        <v/>
      </c>
      <c r="G12" s="26" t="str">
        <f>IFERROR(VLOOKUP($B12,Infsize_p!$B$2:$AG$157,32,FALSE),"")</f>
        <v/>
      </c>
    </row>
    <row r="13" spans="1:7" x14ac:dyDescent="0.25">
      <c r="A13" s="5" t="s">
        <v>18</v>
      </c>
      <c r="B13" s="5" t="s">
        <v>211</v>
      </c>
      <c r="C13" s="26">
        <f>IFERROR(VLOOKUP($B13,DGE_p!$B$2:$AG$157,32,FALSE),"")</f>
        <v>16.470226287841797</v>
      </c>
      <c r="D13" s="26">
        <f>IFERROR(VLOOKUP($B13,MIMIC_p!$B$2:$AG$157,32,FALSE),"")</f>
        <v>19.599455920132723</v>
      </c>
      <c r="E13" s="26">
        <f>IFERROR(VLOOKUP($B13,SEMP_p!$B$2:$AG$157,32,FALSE),"")</f>
        <v>4.3941080570220947</v>
      </c>
      <c r="F13" s="26" t="str">
        <f>IFERROR(VLOOKUP($B13,Infemp_p!$B$2:$AG$157,32,FALSE),"")</f>
        <v/>
      </c>
      <c r="G13" s="26" t="str">
        <f>IFERROR(VLOOKUP($B13,Infsize_p!$B$2:$AG$157,32,FALSE),"")</f>
        <v/>
      </c>
    </row>
    <row r="14" spans="1:7" x14ac:dyDescent="0.25">
      <c r="A14" s="5" t="s">
        <v>16</v>
      </c>
      <c r="B14" s="5" t="s">
        <v>209</v>
      </c>
      <c r="C14" s="26">
        <f>IFERROR(VLOOKUP($B14,DGE_p!$B$2:$AG$157,32,FALSE),"")</f>
        <v>32.165426601063125</v>
      </c>
      <c r="D14" s="26">
        <f>IFERROR(VLOOKUP($B14,MIMIC_p!$B$2:$AG$157,32,FALSE),"")</f>
        <v>35.709624550559305</v>
      </c>
      <c r="E14" s="26">
        <f>IFERROR(VLOOKUP($B14,SEMP_p!$B$2:$AG$157,32,FALSE),"")</f>
        <v>61.952091217041016</v>
      </c>
      <c r="F14" s="26">
        <f>IFERROR(VLOOKUP($B14,Infemp_p!$B$2:$AG$157,32,FALSE),"")</f>
        <v>88.634999999999991</v>
      </c>
      <c r="G14" s="26">
        <f>IFERROR(VLOOKUP($B14,Infsize_p!$B$2:$AG$157,32,FALSE),"")</f>
        <v>79.344999999999999</v>
      </c>
    </row>
    <row r="15" spans="1:7" x14ac:dyDescent="0.25">
      <c r="A15" s="5" t="s">
        <v>26</v>
      </c>
      <c r="B15" s="5" t="s">
        <v>219</v>
      </c>
      <c r="C15" s="26">
        <f>IFERROR(VLOOKUP($B15,DGE_p!$B$2:$AG$157,32,FALSE),"")</f>
        <v>23.983887585726652</v>
      </c>
      <c r="D15" s="26" t="str">
        <f>IFERROR(VLOOKUP($B15,MIMIC_p!$B$2:$AG$157,32,FALSE),"")</f>
        <v/>
      </c>
      <c r="E15" s="26">
        <f>IFERROR(VLOOKUP($B15,SEMP_p!$B$2:$AG$157,32,FALSE),"")</f>
        <v>16.700000762939453</v>
      </c>
      <c r="F15" s="26" t="str">
        <f>IFERROR(VLOOKUP($B15,Infemp_p!$B$2:$AG$157,32,FALSE),"")</f>
        <v/>
      </c>
      <c r="G15" s="26" t="str">
        <f>IFERROR(VLOOKUP($B15,Infsize_p!$B$2:$AG$157,32,FALSE),"")</f>
        <v/>
      </c>
    </row>
    <row r="16" spans="1:7" x14ac:dyDescent="0.25">
      <c r="A16" s="5" t="s">
        <v>21</v>
      </c>
      <c r="B16" s="5" t="s">
        <v>214</v>
      </c>
      <c r="C16" s="26">
        <f>IFERROR(VLOOKUP($B16,DGE_p!$B$2:$AG$157,32,FALSE),"")</f>
        <v>41.150533502752133</v>
      </c>
      <c r="D16" s="26">
        <f>IFERROR(VLOOKUP($B16,MIMIC_p!$B$2:$AG$157,32,FALSE),"")</f>
        <v>44.848690032958984</v>
      </c>
      <c r="E16" s="26">
        <f>IFERROR(VLOOKUP($B16,SEMP_p!$B$2:$AG$157,32,FALSE),"")</f>
        <v>0.77499997615814209</v>
      </c>
      <c r="F16" s="26" t="str">
        <f>IFERROR(VLOOKUP($B16,Infemp_p!$B$2:$AG$157,32,FALSE),"")</f>
        <v/>
      </c>
      <c r="G16" s="26" t="str">
        <f>IFERROR(VLOOKUP($B16,Infsize_p!$B$2:$AG$157,32,FALSE),"")</f>
        <v/>
      </c>
    </row>
    <row r="17" spans="1:7" x14ac:dyDescent="0.25">
      <c r="A17" s="5" t="s">
        <v>13</v>
      </c>
      <c r="B17" s="5" t="s">
        <v>206</v>
      </c>
      <c r="C17" s="26">
        <f>IFERROR(VLOOKUP($B17,DGE_p!$B$2:$AG$157,32,FALSE),"")</f>
        <v>21.012107675725762</v>
      </c>
      <c r="D17" s="26">
        <f>IFERROR(VLOOKUP($B17,MIMIC_p!$B$2:$AG$157,32,FALSE),"")</f>
        <v>22.364185333251953</v>
      </c>
      <c r="E17" s="26">
        <f>IFERROR(VLOOKUP($B17,SEMP_p!$B$2:$AG$157,32,FALSE),"")</f>
        <v>14.730158025568182</v>
      </c>
      <c r="F17" s="26" t="str">
        <f>IFERROR(VLOOKUP($B17,Infemp_p!$B$2:$AG$157,32,FALSE),"")</f>
        <v/>
      </c>
      <c r="G17" s="26" t="str">
        <f>IFERROR(VLOOKUP($B17,Infsize_p!$B$2:$AG$157,32,FALSE),"")</f>
        <v/>
      </c>
    </row>
    <row r="18" spans="1:7" x14ac:dyDescent="0.25">
      <c r="A18" s="5" t="s">
        <v>22</v>
      </c>
      <c r="B18" s="5" t="s">
        <v>215</v>
      </c>
      <c r="C18" s="26">
        <f>IFERROR(VLOOKUP($B18,DGE_p!$B$2:$AG$157,32,FALSE),"")</f>
        <v>41.65536256269975</v>
      </c>
      <c r="D18" s="26">
        <f>IFERROR(VLOOKUP($B18,MIMIC_p!$B$2:$AG$157,32,FALSE),"")</f>
        <v>43.951758991588243</v>
      </c>
      <c r="E18" s="26">
        <f>IFERROR(VLOOKUP($B18,SEMP_p!$B$2:$AG$157,32,FALSE),"")</f>
        <v>29.395596981048584</v>
      </c>
      <c r="F18" s="26" t="str">
        <f>IFERROR(VLOOKUP($B18,Infemp_p!$B$2:$AG$157,32,FALSE),"")</f>
        <v/>
      </c>
      <c r="G18" s="26" t="str">
        <f>IFERROR(VLOOKUP($B18,Infsize_p!$B$2:$AG$157,32,FALSE),"")</f>
        <v/>
      </c>
    </row>
    <row r="19" spans="1:7" x14ac:dyDescent="0.25">
      <c r="A19" s="5" t="s">
        <v>14</v>
      </c>
      <c r="B19" s="5" t="s">
        <v>207</v>
      </c>
      <c r="C19" s="26">
        <f>IFERROR(VLOOKUP($B19,DGE_p!$B$2:$AG$157,32,FALSE),"")</f>
        <v>47.97208508578214</v>
      </c>
      <c r="D19" s="26">
        <f>IFERROR(VLOOKUP($B19,MIMIC_p!$B$2:$AG$157,32,FALSE),"")</f>
        <v>51.126063953746446</v>
      </c>
      <c r="E19" s="26">
        <f>IFERROR(VLOOKUP($B19,SEMP_p!$B$2:$AG$157,32,FALSE),"")</f>
        <v>88.900001525878906</v>
      </c>
      <c r="F19" s="26">
        <f>IFERROR(VLOOKUP($B19,Infemp_p!$B$2:$AG$157,32,FALSE),"")</f>
        <v>96.82</v>
      </c>
      <c r="G19" s="26">
        <f>IFERROR(VLOOKUP($B19,Infsize_p!$B$2:$AG$157,32,FALSE),"")</f>
        <v>92.93</v>
      </c>
    </row>
    <row r="20" spans="1:7" x14ac:dyDescent="0.25">
      <c r="A20" s="5" t="s">
        <v>23</v>
      </c>
      <c r="B20" s="5" t="s">
        <v>216</v>
      </c>
      <c r="C20" s="26" t="str">
        <f>IFERROR(VLOOKUP($B20,DGE_p!$B$2:$AG$157,32,FALSE),"")</f>
        <v/>
      </c>
      <c r="D20" s="26" t="str">
        <f>IFERROR(VLOOKUP($B20,MIMIC_p!$B$2:$AG$157,32,FALSE),"")</f>
        <v/>
      </c>
      <c r="E20" s="26">
        <f>IFERROR(VLOOKUP($B20,SEMP_p!$B$2:$AG$157,32,FALSE),"")</f>
        <v>13.466666539510092</v>
      </c>
      <c r="F20" s="26" t="str">
        <f>IFERROR(VLOOKUP($B20,Infemp_p!$B$2:$AG$157,32,FALSE),"")</f>
        <v/>
      </c>
      <c r="G20" s="26" t="str">
        <f>IFERROR(VLOOKUP($B20,Infsize_p!$B$2:$AG$157,32,FALSE),"")</f>
        <v/>
      </c>
    </row>
    <row r="21" spans="1:7" x14ac:dyDescent="0.25">
      <c r="A21" s="5" t="s">
        <v>28</v>
      </c>
      <c r="B21" s="5" t="s">
        <v>221</v>
      </c>
      <c r="C21" s="26">
        <f>IFERROR(VLOOKUP($B21,DGE_p!$B$2:$AG$157,32,FALSE),"")</f>
        <v>26.222502274946734</v>
      </c>
      <c r="D21" s="26">
        <f>IFERROR(VLOOKUP($B21,MIMIC_p!$B$2:$AG$157,32,FALSE),"")</f>
        <v>28.299435355446555</v>
      </c>
      <c r="E21" s="26">
        <f>IFERROR(VLOOKUP($B21,SEMP_p!$B$2:$AG$157,32,FALSE),"")</f>
        <v>70.948215961456299</v>
      </c>
      <c r="F21" s="26" t="str">
        <f>IFERROR(VLOOKUP($B21,Infemp_p!$B$2:$AG$157,32,FALSE),"")</f>
        <v/>
      </c>
      <c r="G21" s="26" t="str">
        <f>IFERROR(VLOOKUP($B21,Infsize_p!$B$2:$AG$157,32,FALSE),"")</f>
        <v/>
      </c>
    </row>
    <row r="22" spans="1:7" x14ac:dyDescent="0.25">
      <c r="A22" s="5" t="s">
        <v>24</v>
      </c>
      <c r="B22" s="5" t="s">
        <v>217</v>
      </c>
      <c r="C22" s="26">
        <f>IFERROR(VLOOKUP($B22,DGE_p!$B$2:$AG$157,32,FALSE),"")</f>
        <v>61.314214186234906</v>
      </c>
      <c r="D22" s="26">
        <f>IFERROR(VLOOKUP($B22,MIMIC_p!$B$2:$AG$157,32,FALSE),"")</f>
        <v>64.453444740988985</v>
      </c>
      <c r="E22" s="26">
        <f>IFERROR(VLOOKUP($B22,SEMP_p!$B$2:$AG$157,32,FALSE),"")</f>
        <v>63.959999465942381</v>
      </c>
      <c r="F22" s="26">
        <f>IFERROR(VLOOKUP($B22,Infemp_p!$B$2:$AG$157,32,FALSE),"")</f>
        <v>86.156000000000006</v>
      </c>
      <c r="G22" s="26">
        <f>IFERROR(VLOOKUP($B22,Infsize_p!$B$2:$AG$157,32,FALSE),"")</f>
        <v>70.318000000000012</v>
      </c>
    </row>
    <row r="23" spans="1:7" x14ac:dyDescent="0.25">
      <c r="A23" s="5" t="s">
        <v>20</v>
      </c>
      <c r="B23" s="5" t="s">
        <v>213</v>
      </c>
      <c r="C23" s="26">
        <f>IFERROR(VLOOKUP($B23,DGE_p!$B$2:$AG$157,32,FALSE),"")</f>
        <v>31.180262132124469</v>
      </c>
      <c r="D23" s="26">
        <f>IFERROR(VLOOKUP($B23,MIMIC_p!$B$2:$AG$157,32,FALSE),"")</f>
        <v>33.3478345003995</v>
      </c>
      <c r="E23" s="26">
        <f>IFERROR(VLOOKUP($B23,SEMP_p!$B$2:$AG$157,32,FALSE),"")</f>
        <v>26.080000114440917</v>
      </c>
      <c r="F23" s="26">
        <f>IFERROR(VLOOKUP($B23,Infemp_p!$B$2:$AG$157,32,FALSE),"")</f>
        <v>33.225000000000001</v>
      </c>
      <c r="G23" s="26">
        <f>IFERROR(VLOOKUP($B23,Infsize_p!$B$2:$AG$157,32,FALSE),"")</f>
        <v>29.414999999999999</v>
      </c>
    </row>
    <row r="24" spans="1:7" x14ac:dyDescent="0.25">
      <c r="A24" s="5" t="s">
        <v>29</v>
      </c>
      <c r="B24" s="5" t="s">
        <v>222</v>
      </c>
      <c r="C24" s="26">
        <f>IFERROR(VLOOKUP($B24,DGE_p!$B$2:$AG$157,32,FALSE),"")</f>
        <v>30.18647575378418</v>
      </c>
      <c r="D24" s="26">
        <f>IFERROR(VLOOKUP($B24,MIMIC_p!$B$2:$AG$157,32,FALSE),"")</f>
        <v>31.104556170376863</v>
      </c>
      <c r="E24" s="26">
        <f>IFERROR(VLOOKUP($B24,SEMP_p!$B$2:$AG$157,32,FALSE),"")</f>
        <v>27.439079557146346</v>
      </c>
      <c r="F24" s="26" t="str">
        <f>IFERROR(VLOOKUP($B24,Infemp_p!$B$2:$AG$157,32,FALSE),"")</f>
        <v/>
      </c>
      <c r="G24" s="26">
        <f>IFERROR(VLOOKUP($B24,Infsize_p!$B$2:$AG$157,32,FALSE),"")</f>
        <v>43.6</v>
      </c>
    </row>
    <row r="25" spans="1:7" x14ac:dyDescent="0.25">
      <c r="A25" s="5" t="s">
        <v>25</v>
      </c>
      <c r="B25" s="5" t="s">
        <v>218</v>
      </c>
      <c r="C25" s="26">
        <f>IFERROR(VLOOKUP($B25,DGE_p!$B$2:$AG$157,32,FALSE),"")</f>
        <v>35.083977785977453</v>
      </c>
      <c r="D25" s="26">
        <f>IFERROR(VLOOKUP($B25,MIMIC_p!$B$2:$AG$157,32,FALSE),"")</f>
        <v>38.085605968128554</v>
      </c>
      <c r="E25" s="26">
        <f>IFERROR(VLOOKUP($B25,SEMP_p!$B$2:$AG$157,32,FALSE),"")</f>
        <v>33.341441726684572</v>
      </c>
      <c r="F25" s="26">
        <f>IFERROR(VLOOKUP($B25,Infemp_p!$B$2:$AG$157,32,FALSE),"")</f>
        <v>45.78</v>
      </c>
      <c r="G25" s="26">
        <f>IFERROR(VLOOKUP($B25,Infsize_p!$B$2:$AG$157,32,FALSE),"")</f>
        <v>38.218333333333334</v>
      </c>
    </row>
    <row r="26" spans="1:7" x14ac:dyDescent="0.25">
      <c r="A26" s="5" t="s">
        <v>27</v>
      </c>
      <c r="B26" s="5" t="s">
        <v>220</v>
      </c>
      <c r="C26" s="26">
        <f>IFERROR(VLOOKUP($B26,DGE_p!$B$2:$AG$157,32,FALSE),"")</f>
        <v>30.367940035733309</v>
      </c>
      <c r="D26" s="26">
        <f>IFERROR(VLOOKUP($B26,MIMIC_p!$B$2:$AG$157,32,FALSE),"")</f>
        <v>30.595548629760742</v>
      </c>
      <c r="E26" s="26" t="str">
        <f>IFERROR(VLOOKUP($B26,SEMP_p!$B$2:$AG$157,32,FALSE),"")</f>
        <v/>
      </c>
      <c r="F26" s="26">
        <f>IFERROR(VLOOKUP($B26,Infemp_p!$B$2:$AG$157,32,FALSE),"")</f>
        <v>33.020000000000003</v>
      </c>
      <c r="G26" s="26">
        <f>IFERROR(VLOOKUP($B26,Infsize_p!$B$2:$AG$157,32,FALSE),"")</f>
        <v>11.2</v>
      </c>
    </row>
    <row r="27" spans="1:7" x14ac:dyDescent="0.25">
      <c r="A27" s="5" t="s">
        <v>17</v>
      </c>
      <c r="B27" s="5" t="s">
        <v>210</v>
      </c>
      <c r="C27" s="26">
        <f>IFERROR(VLOOKUP($B27,DGE_p!$B$2:$AG$157,32,FALSE),"")</f>
        <v>30.810647964477539</v>
      </c>
      <c r="D27" s="26">
        <f>IFERROR(VLOOKUP($B27,MIMIC_p!$B$2:$AG$157,32,FALSE),"")</f>
        <v>33.64914807406339</v>
      </c>
      <c r="E27" s="26">
        <f>IFERROR(VLOOKUP($B27,SEMP_p!$B$2:$AG$157,32,FALSE),"")</f>
        <v>12.503644336353648</v>
      </c>
      <c r="F27" s="26" t="str">
        <f>IFERROR(VLOOKUP($B27,Infemp_p!$B$2:$AG$157,32,FALSE),"")</f>
        <v/>
      </c>
      <c r="G27" s="26" t="str">
        <f>IFERROR(VLOOKUP($B27,Infsize_p!$B$2:$AG$157,32,FALSE),"")</f>
        <v/>
      </c>
    </row>
    <row r="28" spans="1:7" x14ac:dyDescent="0.25">
      <c r="A28" s="5" t="s">
        <v>15</v>
      </c>
      <c r="B28" s="5" t="s">
        <v>208</v>
      </c>
      <c r="C28" s="26">
        <f>IFERROR(VLOOKUP($B28,DGE_p!$B$2:$AG$157,32,FALSE),"")</f>
        <v>36.937061309814453</v>
      </c>
      <c r="D28" s="26">
        <f>IFERROR(VLOOKUP($B28,MIMIC_p!$B$2:$AG$157,32,FALSE),"")</f>
        <v>39.928074229847304</v>
      </c>
      <c r="E28" s="26">
        <f>IFERROR(VLOOKUP($B28,SEMP_p!$B$2:$AG$157,32,FALSE),"")</f>
        <v>90.400001525878906</v>
      </c>
      <c r="F28" s="26" t="str">
        <f>IFERROR(VLOOKUP($B28,Infemp_p!$B$2:$AG$157,32,FALSE),"")</f>
        <v/>
      </c>
      <c r="G28" s="26" t="str">
        <f>IFERROR(VLOOKUP($B28,Infsize_p!$B$2:$AG$157,32,FALSE),"")</f>
        <v/>
      </c>
    </row>
    <row r="29" spans="1:7" x14ac:dyDescent="0.25">
      <c r="A29" s="5" t="s">
        <v>12</v>
      </c>
      <c r="B29" s="5" t="s">
        <v>205</v>
      </c>
      <c r="C29" s="26">
        <f>IFERROR(VLOOKUP($B29,DGE_p!$B$2:$AG$157,32,FALSE),"")</f>
        <v>38.48102361505682</v>
      </c>
      <c r="D29" s="26">
        <f>IFERROR(VLOOKUP($B29,MIMIC_p!$B$2:$AG$157,32,FALSE),"")</f>
        <v>39.166473041881211</v>
      </c>
      <c r="E29" s="26">
        <f>IFERROR(VLOOKUP($B29,SEMP_p!$B$2:$AG$157,32,FALSE),"")</f>
        <v>93.300001780192062</v>
      </c>
      <c r="F29" s="26">
        <f>IFERROR(VLOOKUP($B29,Infemp_p!$B$2:$AG$157,32,FALSE),"")</f>
        <v>98.31</v>
      </c>
      <c r="G29" s="26">
        <f>IFERROR(VLOOKUP($B29,Infsize_p!$B$2:$AG$157,32,FALSE),"")</f>
        <v>95.72</v>
      </c>
    </row>
    <row r="30" spans="1:7" x14ac:dyDescent="0.25">
      <c r="A30" s="5" t="s">
        <v>41</v>
      </c>
      <c r="B30" s="5" t="s">
        <v>234</v>
      </c>
      <c r="C30" s="26">
        <f>IFERROR(VLOOKUP($B30,DGE_p!$B$2:$AG$157,32,FALSE),"")</f>
        <v>31.957244006070223</v>
      </c>
      <c r="D30" s="26">
        <f>IFERROR(VLOOKUP($B30,MIMIC_p!$B$2:$AG$157,32,FALSE),"")</f>
        <v>35.218441356312148</v>
      </c>
      <c r="E30" s="26" t="str">
        <f>IFERROR(VLOOKUP($B30,SEMP_p!$B$2:$AG$157,32,FALSE),"")</f>
        <v/>
      </c>
      <c r="F30" s="26">
        <f>IFERROR(VLOOKUP($B30,Infemp_p!$B$2:$AG$157,32,FALSE),"")</f>
        <v>63.82</v>
      </c>
      <c r="G30" s="26">
        <f>IFERROR(VLOOKUP($B30,Infsize_p!$B$2:$AG$157,32,FALSE),"")</f>
        <v>54.23</v>
      </c>
    </row>
    <row r="31" spans="1:7" x14ac:dyDescent="0.25">
      <c r="A31" s="5" t="s">
        <v>93</v>
      </c>
      <c r="B31" s="5" t="s">
        <v>286</v>
      </c>
      <c r="C31" s="26">
        <f>IFERROR(VLOOKUP($B31,DGE_p!$B$2:$AG$157,32,FALSE),"")</f>
        <v>43.416423450816758</v>
      </c>
      <c r="D31" s="26">
        <f>IFERROR(VLOOKUP($B31,MIMIC_p!$B$2:$AG$157,32,FALSE),"")</f>
        <v>47.606998790394179</v>
      </c>
      <c r="E31" s="26">
        <f>IFERROR(VLOOKUP($B31,SEMP_p!$B$2:$AG$157,32,FALSE),"")</f>
        <v>66.799999660915802</v>
      </c>
      <c r="F31" s="26">
        <f>IFERROR(VLOOKUP($B31,Infemp_p!$B$2:$AG$157,32,FALSE),"")</f>
        <v>93.57</v>
      </c>
      <c r="G31" s="26">
        <f>IFERROR(VLOOKUP($B31,Infsize_p!$B$2:$AG$157,32,FALSE),"")</f>
        <v>81.290000000000006</v>
      </c>
    </row>
    <row r="32" spans="1:7" x14ac:dyDescent="0.25">
      <c r="A32" s="5" t="s">
        <v>36</v>
      </c>
      <c r="B32" s="5" t="s">
        <v>229</v>
      </c>
      <c r="C32" s="26">
        <f>IFERROR(VLOOKUP($B32,DGE_p!$B$2:$AG$157,32,FALSE),"")</f>
        <v>30.692955884066496</v>
      </c>
      <c r="D32" s="26">
        <f>IFERROR(VLOOKUP($B32,MIMIC_p!$B$2:$AG$157,32,FALSE),"")</f>
        <v>32.074593804099344</v>
      </c>
      <c r="E32" s="26">
        <f>IFERROR(VLOOKUP($B32,SEMP_p!$B$2:$AG$157,32,FALSE),"")</f>
        <v>80.450000762939453</v>
      </c>
      <c r="F32" s="26">
        <f>IFERROR(VLOOKUP($B32,Infemp_p!$B$2:$AG$157,32,FALSE),"")</f>
        <v>90.605000000000004</v>
      </c>
      <c r="G32" s="26">
        <f>IFERROR(VLOOKUP($B32,Infsize_p!$B$2:$AG$157,32,FALSE),"")</f>
        <v>82.789999999999992</v>
      </c>
    </row>
    <row r="33" spans="1:7" x14ac:dyDescent="0.25">
      <c r="A33" s="5" t="s">
        <v>31</v>
      </c>
      <c r="B33" s="5" t="s">
        <v>224</v>
      </c>
      <c r="C33" s="26">
        <f>IFERROR(VLOOKUP($B33,DGE_p!$B$2:$AG$157,32,FALSE),"")</f>
        <v>14.980813633311879</v>
      </c>
      <c r="D33" s="26">
        <f>IFERROR(VLOOKUP($B33,MIMIC_p!$B$2:$AG$157,32,FALSE),"")</f>
        <v>15.694427490234375</v>
      </c>
      <c r="E33" s="26">
        <f>IFERROR(VLOOKUP($B33,SEMP_p!$B$2:$AG$157,32,FALSE),"")</f>
        <v>9.0988382859663535</v>
      </c>
      <c r="F33" s="26" t="str">
        <f>IFERROR(VLOOKUP($B33,Infemp_p!$B$2:$AG$157,32,FALSE),"")</f>
        <v/>
      </c>
      <c r="G33" s="26" t="str">
        <f>IFERROR(VLOOKUP($B33,Infsize_p!$B$2:$AG$157,32,FALSE),"")</f>
        <v/>
      </c>
    </row>
    <row r="34" spans="1:7" x14ac:dyDescent="0.25">
      <c r="A34" s="5" t="s">
        <v>44</v>
      </c>
      <c r="B34" s="5" t="s">
        <v>237</v>
      </c>
      <c r="C34" s="26" t="str">
        <f>IFERROR(VLOOKUP($B34,DGE_p!$B$2:$AG$157,32,FALSE),"")</f>
        <v/>
      </c>
      <c r="D34" s="26" t="str">
        <f>IFERROR(VLOOKUP($B34,MIMIC_p!$B$2:$AG$157,32,FALSE),"")</f>
        <v/>
      </c>
      <c r="E34" s="26">
        <f>IFERROR(VLOOKUP($B34,SEMP_p!$B$2:$AG$157,32,FALSE),"")</f>
        <v>7.5108332335948944</v>
      </c>
      <c r="F34" s="26" t="str">
        <f>IFERROR(VLOOKUP($B34,Infemp_p!$B$2:$AG$157,32,FALSE),"")</f>
        <v/>
      </c>
      <c r="G34" s="26" t="str">
        <f>IFERROR(VLOOKUP($B34,Infsize_p!$B$2:$AG$157,32,FALSE),"")</f>
        <v/>
      </c>
    </row>
    <row r="35" spans="1:7" x14ac:dyDescent="0.25">
      <c r="A35" s="5" t="s">
        <v>167</v>
      </c>
      <c r="B35" s="5" t="s">
        <v>361</v>
      </c>
      <c r="C35" s="26">
        <f>IFERROR(VLOOKUP($B35,DGE_p!$B$2:$AG$157,32,FALSE),"")</f>
        <v>39.850775978781961</v>
      </c>
      <c r="D35" s="26">
        <f>IFERROR(VLOOKUP($B35,MIMIC_p!$B$2:$AG$157,32,FALSE),"")</f>
        <v>44.011456576260656</v>
      </c>
      <c r="E35" s="26" t="str">
        <f>IFERROR(VLOOKUP($B35,SEMP_p!$B$2:$AG$157,32,FALSE),"")</f>
        <v/>
      </c>
      <c r="F35" s="26" t="str">
        <f>IFERROR(VLOOKUP($B35,Infemp_p!$B$2:$AG$157,32,FALSE),"")</f>
        <v/>
      </c>
      <c r="G35" s="26" t="str">
        <f>IFERROR(VLOOKUP($B35,Infsize_p!$B$2:$AG$157,32,FALSE),"")</f>
        <v/>
      </c>
    </row>
    <row r="36" spans="1:7" x14ac:dyDescent="0.25">
      <c r="A36" s="5" t="s">
        <v>33</v>
      </c>
      <c r="B36" s="5" t="s">
        <v>226</v>
      </c>
      <c r="C36" s="26">
        <f>IFERROR(VLOOKUP($B36,DGE_p!$B$2:$AG$157,32,FALSE),"")</f>
        <v>17.721172679554332</v>
      </c>
      <c r="D36" s="26">
        <f>IFERROR(VLOOKUP($B36,MIMIC_p!$B$2:$AG$157,32,FALSE),"")</f>
        <v>18.56529287858443</v>
      </c>
      <c r="E36" s="26">
        <f>IFERROR(VLOOKUP($B36,SEMP_p!$B$2:$AG$157,32,FALSE),"")</f>
        <v>26.986932754516602</v>
      </c>
      <c r="F36" s="26" t="str">
        <f>IFERROR(VLOOKUP($B36,Infemp_p!$B$2:$AG$157,32,FALSE),"")</f>
        <v/>
      </c>
      <c r="G36" s="26" t="str">
        <f>IFERROR(VLOOKUP($B36,Infsize_p!$B$2:$AG$157,32,FALSE),"")</f>
        <v/>
      </c>
    </row>
    <row r="37" spans="1:7" x14ac:dyDescent="0.25">
      <c r="A37" s="5" t="s">
        <v>34</v>
      </c>
      <c r="B37" s="5" t="s">
        <v>227</v>
      </c>
      <c r="C37" s="26">
        <f>IFERROR(VLOOKUP($B37,DGE_p!$B$2:$AG$157,32,FALSE),"")</f>
        <v>10.842247616161</v>
      </c>
      <c r="D37" s="26">
        <f>IFERROR(VLOOKUP($B37,MIMIC_p!$B$2:$AG$157,32,FALSE),"")</f>
        <v>11.85521073774858</v>
      </c>
      <c r="E37" s="26">
        <f>IFERROR(VLOOKUP($B37,SEMP_p!$B$2:$AG$157,32,FALSE),"")</f>
        <v>9.8944157687100489</v>
      </c>
      <c r="F37" s="26" t="str">
        <f>IFERROR(VLOOKUP($B37,Infemp_p!$B$2:$AG$157,32,FALSE),"")</f>
        <v/>
      </c>
      <c r="G37" s="26" t="str">
        <f>IFERROR(VLOOKUP($B37,Infsize_p!$B$2:$AG$157,32,FALSE),"")</f>
        <v/>
      </c>
    </row>
    <row r="38" spans="1:7" x14ac:dyDescent="0.25">
      <c r="A38" s="5" t="s">
        <v>39</v>
      </c>
      <c r="B38" s="5" t="s">
        <v>232</v>
      </c>
      <c r="C38" s="26">
        <f>IFERROR(VLOOKUP($B38,DGE_p!$B$2:$AG$157,32,FALSE),"")</f>
        <v>32.811088041825727</v>
      </c>
      <c r="D38" s="26">
        <f>IFERROR(VLOOKUP($B38,MIMIC_p!$B$2:$AG$157,32,FALSE),"")</f>
        <v>35.832670731977984</v>
      </c>
      <c r="E38" s="26">
        <f>IFERROR(VLOOKUP($B38,SEMP_p!$B$2:$AG$157,32,FALSE),"")</f>
        <v>52.013050426136367</v>
      </c>
      <c r="F38" s="26">
        <f>IFERROR(VLOOKUP($B38,Infemp_p!$B$2:$AG$157,32,FALSE),"")</f>
        <v>65.448333333333338</v>
      </c>
      <c r="G38" s="26">
        <f>IFERROR(VLOOKUP($B38,Infsize_p!$B$2:$AG$157,32,FALSE),"")</f>
        <v>61.763333333333343</v>
      </c>
    </row>
    <row r="39" spans="1:7" x14ac:dyDescent="0.25">
      <c r="A39" s="5" t="s">
        <v>38</v>
      </c>
      <c r="B39" s="5" t="s">
        <v>231</v>
      </c>
      <c r="C39" s="26">
        <f>IFERROR(VLOOKUP($B39,DGE_p!$B$2:$AG$157,32,FALSE),"")</f>
        <v>43.169369090687148</v>
      </c>
      <c r="D39" s="26">
        <f>IFERROR(VLOOKUP($B39,MIMIC_p!$B$2:$AG$157,32,FALSE),"")</f>
        <v>45.022840673273258</v>
      </c>
      <c r="E39" s="26">
        <f>IFERROR(VLOOKUP($B39,SEMP_p!$B$2:$AG$157,32,FALSE),"")</f>
        <v>76.199996948242188</v>
      </c>
      <c r="F39" s="26" t="str">
        <f>IFERROR(VLOOKUP($B39,Infemp_p!$B$2:$AG$157,32,FALSE),"")</f>
        <v/>
      </c>
      <c r="G39" s="26" t="str">
        <f>IFERROR(VLOOKUP($B39,Infsize_p!$B$2:$AG$157,32,FALSE),"")</f>
        <v/>
      </c>
    </row>
    <row r="40" spans="1:7" x14ac:dyDescent="0.25">
      <c r="A40" s="5" t="s">
        <v>42</v>
      </c>
      <c r="B40" s="5" t="s">
        <v>235</v>
      </c>
      <c r="C40" s="26">
        <f>IFERROR(VLOOKUP($B40,DGE_p!$B$2:$AG$157,32,FALSE),"")</f>
        <v>23.009988784790039</v>
      </c>
      <c r="D40" s="26">
        <f>IFERROR(VLOOKUP($B40,MIMIC_p!$B$2:$AG$157,32,FALSE),"")</f>
        <v>25.590205452658914</v>
      </c>
      <c r="E40" s="26">
        <f>IFERROR(VLOOKUP($B40,SEMP_p!$B$2:$AG$157,32,FALSE),"")</f>
        <v>25.641395222056996</v>
      </c>
      <c r="F40" s="26">
        <f>IFERROR(VLOOKUP($B40,Infemp_p!$B$2:$AG$157,32,FALSE),"")</f>
        <v>37.788333333333334</v>
      </c>
      <c r="G40" s="26">
        <f>IFERROR(VLOOKUP($B40,Infsize_p!$B$2:$AG$157,32,FALSE),"")</f>
        <v>34.338333333333331</v>
      </c>
    </row>
    <row r="41" spans="1:7" x14ac:dyDescent="0.25">
      <c r="A41" s="5" t="s">
        <v>35</v>
      </c>
      <c r="B41" s="5" t="s">
        <v>228</v>
      </c>
      <c r="C41" s="26">
        <f>IFERROR(VLOOKUP($B41,DGE_p!$B$2:$AG$157,32,FALSE),"")</f>
        <v>46.271681005304508</v>
      </c>
      <c r="D41" s="26">
        <f>IFERROR(VLOOKUP($B41,MIMIC_p!$B$2:$AG$157,32,FALSE),"")</f>
        <v>43.605098030783914</v>
      </c>
      <c r="E41" s="26">
        <f>IFERROR(VLOOKUP($B41,SEMP_p!$B$2:$AG$157,32,FALSE),"")</f>
        <v>80.5</v>
      </c>
      <c r="F41" s="26">
        <f>IFERROR(VLOOKUP($B41,Infemp_p!$B$2:$AG$157,32,FALSE),"")</f>
        <v>96.24</v>
      </c>
      <c r="G41" s="26">
        <f>IFERROR(VLOOKUP($B41,Infsize_p!$B$2:$AG$157,32,FALSE),"")</f>
        <v>90.384999999999991</v>
      </c>
    </row>
    <row r="42" spans="1:7" x14ac:dyDescent="0.25">
      <c r="A42" s="5" t="s">
        <v>76</v>
      </c>
      <c r="B42" s="5" t="s">
        <v>269</v>
      </c>
      <c r="C42" s="26">
        <f>IFERROR(VLOOKUP($B42,DGE_p!$B$2:$AG$157,32,FALSE),"")</f>
        <v>29.65861043063077</v>
      </c>
      <c r="D42" s="26">
        <f>IFERROR(VLOOKUP($B42,MIMIC_p!$B$2:$AG$157,32,FALSE),"")</f>
        <v>30.949537103826348</v>
      </c>
      <c r="E42" s="26">
        <f>IFERROR(VLOOKUP($B42,SEMP_p!$B$2:$AG$157,32,FALSE),"")</f>
        <v>20.120281479575418</v>
      </c>
      <c r="F42" s="26" t="str">
        <f>IFERROR(VLOOKUP($B42,Infemp_p!$B$2:$AG$157,32,FALSE),"")</f>
        <v/>
      </c>
      <c r="G42" s="26" t="str">
        <f>IFERROR(VLOOKUP($B42,Infsize_p!$B$2:$AG$157,32,FALSE),"")</f>
        <v/>
      </c>
    </row>
    <row r="43" spans="1:7" x14ac:dyDescent="0.25">
      <c r="A43" s="5" t="s">
        <v>43</v>
      </c>
      <c r="B43" s="5" t="s">
        <v>236</v>
      </c>
      <c r="C43" s="26" t="str">
        <f>IFERROR(VLOOKUP($B43,DGE_p!$B$2:$AG$157,32,FALSE),"")</f>
        <v/>
      </c>
      <c r="D43" s="26" t="str">
        <f>IFERROR(VLOOKUP($B43,MIMIC_p!$B$2:$AG$157,32,FALSE),"")</f>
        <v/>
      </c>
      <c r="E43" s="26">
        <f>IFERROR(VLOOKUP($B43,SEMP_p!$B$2:$AG$157,32,FALSE),"")</f>
        <v>18.042857578822545</v>
      </c>
      <c r="F43" s="26" t="str">
        <f>IFERROR(VLOOKUP($B43,Infemp_p!$B$2:$AG$157,32,FALSE),"")</f>
        <v/>
      </c>
      <c r="G43" s="26" t="str">
        <f>IFERROR(VLOOKUP($B43,Infsize_p!$B$2:$AG$157,32,FALSE),"")</f>
        <v/>
      </c>
    </row>
    <row r="44" spans="1:7" x14ac:dyDescent="0.25">
      <c r="A44" s="5" t="s">
        <v>45</v>
      </c>
      <c r="B44" s="5" t="s">
        <v>238</v>
      </c>
      <c r="C44" s="26">
        <f>IFERROR(VLOOKUP($B44,DGE_p!$B$2:$AG$157,32,FALSE),"")</f>
        <v>25.885611274025656</v>
      </c>
      <c r="D44" s="26">
        <f>IFERROR(VLOOKUP($B44,MIMIC_p!$B$2:$AG$157,32,FALSE),"")</f>
        <v>28.319097345525567</v>
      </c>
      <c r="E44" s="26">
        <f>IFERROR(VLOOKUP($B44,SEMP_p!$B$2:$AG$157,32,FALSE),"")</f>
        <v>18.994207989085805</v>
      </c>
      <c r="F44" s="26" t="str">
        <f>IFERROR(VLOOKUP($B44,Infemp_p!$B$2:$AG$157,32,FALSE),"")</f>
        <v/>
      </c>
      <c r="G44" s="26" t="str">
        <f>IFERROR(VLOOKUP($B44,Infsize_p!$B$2:$AG$157,32,FALSE),"")</f>
        <v/>
      </c>
    </row>
    <row r="45" spans="1:7" x14ac:dyDescent="0.25">
      <c r="A45" s="5" t="s">
        <v>46</v>
      </c>
      <c r="B45" s="5" t="s">
        <v>239</v>
      </c>
      <c r="C45" s="26">
        <f>IFERROR(VLOOKUP($B45,DGE_p!$B$2:$AG$157,32,FALSE),"")</f>
        <v>16.807596033269707</v>
      </c>
      <c r="D45" s="26">
        <f>IFERROR(VLOOKUP($B45,MIMIC_p!$B$2:$AG$157,32,FALSE),"")</f>
        <v>17.829715555364434</v>
      </c>
      <c r="E45" s="26">
        <f>IFERROR(VLOOKUP($B45,SEMP_p!$B$2:$AG$157,32,FALSE),"")</f>
        <v>17.145685369318183</v>
      </c>
      <c r="F45" s="26" t="str">
        <f>IFERROR(VLOOKUP($B45,Infemp_p!$B$2:$AG$157,32,FALSE),"")</f>
        <v/>
      </c>
      <c r="G45" s="26" t="str">
        <f>IFERROR(VLOOKUP($B45,Infsize_p!$B$2:$AG$157,32,FALSE),"")</f>
        <v/>
      </c>
    </row>
    <row r="46" spans="1:7" x14ac:dyDescent="0.25">
      <c r="A46" s="5" t="s">
        <v>50</v>
      </c>
      <c r="B46" s="5" t="s">
        <v>243</v>
      </c>
      <c r="C46" s="26">
        <f>IFERROR(VLOOKUP($B46,DGE_p!$B$2:$AG$157,32,FALSE),"")</f>
        <v>16.674548755992543</v>
      </c>
      <c r="D46" s="26">
        <f>IFERROR(VLOOKUP($B46,MIMIC_p!$B$2:$AG$157,32,FALSE),"")</f>
        <v>18.060784946788441</v>
      </c>
      <c r="E46" s="26">
        <f>IFERROR(VLOOKUP($B46,SEMP_p!$B$2:$AG$157,32,FALSE),"")</f>
        <v>9.0143267024647109</v>
      </c>
      <c r="F46" s="26" t="str">
        <f>IFERROR(VLOOKUP($B46,Infemp_p!$B$2:$AG$157,32,FALSE),"")</f>
        <v/>
      </c>
      <c r="G46" s="26" t="str">
        <f>IFERROR(VLOOKUP($B46,Infsize_p!$B$2:$AG$157,32,FALSE),"")</f>
        <v/>
      </c>
    </row>
    <row r="47" spans="1:7" x14ac:dyDescent="0.25">
      <c r="A47" s="5" t="s">
        <v>48</v>
      </c>
      <c r="B47" s="5" t="s">
        <v>241</v>
      </c>
      <c r="C47" s="26" t="str">
        <f>IFERROR(VLOOKUP($B47,DGE_p!$B$2:$AG$157,32,FALSE),"")</f>
        <v/>
      </c>
      <c r="D47" s="26" t="str">
        <f>IFERROR(VLOOKUP($B47,MIMIC_p!$B$2:$AG$157,32,FALSE),"")</f>
        <v/>
      </c>
      <c r="E47" s="26" t="str">
        <f>IFERROR(VLOOKUP($B47,SEMP_p!$B$2:$AG$157,32,FALSE),"")</f>
        <v/>
      </c>
      <c r="F47" s="26" t="str">
        <f>IFERROR(VLOOKUP($B47,Infemp_p!$B$2:$AG$157,32,FALSE),"")</f>
        <v/>
      </c>
      <c r="G47" s="26" t="str">
        <f>IFERROR(VLOOKUP($B47,Infsize_p!$B$2:$AG$157,32,FALSE),"")</f>
        <v/>
      </c>
    </row>
    <row r="48" spans="1:7" x14ac:dyDescent="0.25">
      <c r="A48" s="5" t="s">
        <v>49</v>
      </c>
      <c r="B48" s="5" t="s">
        <v>242</v>
      </c>
      <c r="C48" s="26" t="str">
        <f>IFERROR(VLOOKUP($B48,DGE_p!$B$2:$AG$157,32,FALSE),"")</f>
        <v/>
      </c>
      <c r="D48" s="26" t="str">
        <f>IFERROR(VLOOKUP($B48,MIMIC_p!$B$2:$AG$157,32,FALSE),"")</f>
        <v/>
      </c>
      <c r="E48" s="26" t="str">
        <f>IFERROR(VLOOKUP($B48,SEMP_p!$B$2:$AG$157,32,FALSE),"")</f>
        <v/>
      </c>
      <c r="F48" s="26" t="str">
        <f>IFERROR(VLOOKUP($B48,Infemp_p!$B$2:$AG$157,32,FALSE),"")</f>
        <v/>
      </c>
      <c r="G48" s="26" t="str">
        <f>IFERROR(VLOOKUP($B48,Infsize_p!$B$2:$AG$157,32,FALSE),"")</f>
        <v/>
      </c>
    </row>
    <row r="49" spans="1:7" x14ac:dyDescent="0.25">
      <c r="A49" s="5" t="s">
        <v>51</v>
      </c>
      <c r="B49" s="5" t="s">
        <v>244</v>
      </c>
      <c r="C49" s="26">
        <f>IFERROR(VLOOKUP($B49,DGE_p!$B$2:$AG$157,32,FALSE),"")</f>
        <v>29.476794849742543</v>
      </c>
      <c r="D49" s="26">
        <f>IFERROR(VLOOKUP($B49,MIMIC_p!$B$2:$AG$157,32,FALSE),"")</f>
        <v>31.543081977150656</v>
      </c>
      <c r="E49" s="26">
        <f>IFERROR(VLOOKUP($B49,SEMP_p!$B$2:$AG$157,32,FALSE),"")</f>
        <v>45.957096793434836</v>
      </c>
      <c r="F49" s="26">
        <f>IFERROR(VLOOKUP($B49,Infemp_p!$B$2:$AG$157,32,FALSE),"")</f>
        <v>58.120909090909088</v>
      </c>
      <c r="G49" s="26">
        <f>IFERROR(VLOOKUP($B49,Infsize_p!$B$2:$AG$157,32,FALSE),"")</f>
        <v>45.443636363636365</v>
      </c>
    </row>
    <row r="50" spans="1:7" x14ac:dyDescent="0.25">
      <c r="A50" s="5" t="s">
        <v>53</v>
      </c>
      <c r="B50" s="5" t="s">
        <v>246</v>
      </c>
      <c r="C50" s="26">
        <f>IFERROR(VLOOKUP($B50,DGE_p!$B$2:$AG$157,32,FALSE),"")</f>
        <v>29.605488863858309</v>
      </c>
      <c r="D50" s="26">
        <f>IFERROR(VLOOKUP($B50,MIMIC_p!$B$2:$AG$157,32,FALSE),"")</f>
        <v>32.934896295720883</v>
      </c>
      <c r="E50" s="26">
        <f>IFERROR(VLOOKUP($B50,SEMP_p!$B$2:$AG$157,32,FALSE),"")</f>
        <v>46.666454661976211</v>
      </c>
      <c r="F50" s="26">
        <f>IFERROR(VLOOKUP($B50,Infemp_p!$B$2:$AG$157,32,FALSE),"")</f>
        <v>75.390909090909091</v>
      </c>
      <c r="G50" s="26">
        <f>IFERROR(VLOOKUP($B50,Infsize_p!$B$2:$AG$157,32,FALSE),"")</f>
        <v>53.099090909090911</v>
      </c>
    </row>
    <row r="51" spans="1:7" x14ac:dyDescent="0.25">
      <c r="A51" s="5" t="s">
        <v>54</v>
      </c>
      <c r="B51" s="5" t="s">
        <v>247</v>
      </c>
      <c r="C51" s="26">
        <f>IFERROR(VLOOKUP($B51,DGE_p!$B$2:$AG$157,32,FALSE),"")</f>
        <v>31.834273598410867</v>
      </c>
      <c r="D51" s="26">
        <f>IFERROR(VLOOKUP($B51,MIMIC_p!$B$2:$AG$157,32,FALSE),"")</f>
        <v>34.421351692893289</v>
      </c>
      <c r="E51" s="26">
        <f>IFERROR(VLOOKUP($B51,SEMP_p!$B$2:$AG$157,32,FALSE),"")</f>
        <v>39.012500286102295</v>
      </c>
      <c r="F51" s="26">
        <f>IFERROR(VLOOKUP($B51,Infemp_p!$B$2:$AG$157,32,FALSE),"")</f>
        <v>57.269999999999996</v>
      </c>
      <c r="G51" s="26">
        <f>IFERROR(VLOOKUP($B51,Infsize_p!$B$2:$AG$157,32,FALSE),"")</f>
        <v>56.154285714285713</v>
      </c>
    </row>
    <row r="52" spans="1:7" x14ac:dyDescent="0.25">
      <c r="A52" s="5" t="s">
        <v>155</v>
      </c>
      <c r="B52" s="5" t="s">
        <v>349</v>
      </c>
      <c r="C52" s="26">
        <f>IFERROR(VLOOKUP($B52,DGE_p!$B$2:$AG$157,32,FALSE),"")</f>
        <v>42.31279962713068</v>
      </c>
      <c r="D52" s="26">
        <f>IFERROR(VLOOKUP($B52,MIMIC_p!$B$2:$AG$157,32,FALSE),"")</f>
        <v>44.465024774724789</v>
      </c>
      <c r="E52" s="26">
        <f>IFERROR(VLOOKUP($B52,SEMP_p!$B$2:$AG$157,32,FALSE),"")</f>
        <v>42.066454453901812</v>
      </c>
      <c r="F52" s="26">
        <f>IFERROR(VLOOKUP($B52,Infemp_p!$B$2:$AG$157,32,FALSE),"")</f>
        <v>71.231666666666669</v>
      </c>
      <c r="G52" s="26">
        <f>IFERROR(VLOOKUP($B52,Infsize_p!$B$2:$AG$157,32,FALSE),"")</f>
        <v>70.37166666666667</v>
      </c>
    </row>
    <row r="53" spans="1:7" x14ac:dyDescent="0.25">
      <c r="A53" s="5" t="s">
        <v>57</v>
      </c>
      <c r="B53" s="5" t="s">
        <v>250</v>
      </c>
      <c r="C53" s="26">
        <f>IFERROR(VLOOKUP($B53,DGE_p!$B$2:$AG$157,32,FALSE),"")</f>
        <v>28.627333901145242</v>
      </c>
      <c r="D53" s="26">
        <f>IFERROR(VLOOKUP($B53,MIMIC_p!$B$2:$AG$157,32,FALSE),"")</f>
        <v>30.278092644431375</v>
      </c>
      <c r="E53" s="26">
        <f>IFERROR(VLOOKUP($B53,SEMP_p!$B$2:$AG$157,32,FALSE),"")</f>
        <v>8.6115335984663535</v>
      </c>
      <c r="F53" s="26" t="str">
        <f>IFERROR(VLOOKUP($B53,Infemp_p!$B$2:$AG$157,32,FALSE),"")</f>
        <v/>
      </c>
      <c r="G53" s="26" t="str">
        <f>IFERROR(VLOOKUP($B53,Infsize_p!$B$2:$AG$157,32,FALSE),"")</f>
        <v/>
      </c>
    </row>
    <row r="54" spans="1:7" x14ac:dyDescent="0.25">
      <c r="A54" s="5" t="s">
        <v>58</v>
      </c>
      <c r="B54" s="5" t="s">
        <v>251</v>
      </c>
      <c r="C54" s="26">
        <f>IFERROR(VLOOKUP($B54,DGE_p!$B$2:$AG$157,32,FALSE),"")</f>
        <v>32.167621092362836</v>
      </c>
      <c r="D54" s="26">
        <f>IFERROR(VLOOKUP($B54,MIMIC_p!$B$2:$AG$157,32,FALSE),"")</f>
        <v>36.213368849320844</v>
      </c>
      <c r="E54" s="26">
        <f>IFERROR(VLOOKUP($B54,SEMP_p!$B$2:$AG$157,32,FALSE),"")</f>
        <v>59.560088634490967</v>
      </c>
      <c r="F54" s="26" t="str">
        <f>IFERROR(VLOOKUP($B54,Infemp_p!$B$2:$AG$157,32,FALSE),"")</f>
        <v/>
      </c>
      <c r="G54" s="26">
        <f>IFERROR(VLOOKUP($B54,Infsize_p!$B$2:$AG$157,32,FALSE),"")</f>
        <v>26.85</v>
      </c>
    </row>
    <row r="55" spans="1:7" x14ac:dyDescent="0.25">
      <c r="A55" s="5" t="s">
        <v>60</v>
      </c>
      <c r="B55" s="5" t="s">
        <v>253</v>
      </c>
      <c r="C55" s="26">
        <f>IFERROR(VLOOKUP($B55,DGE_p!$B$2:$AG$157,32,FALSE),"")</f>
        <v>32.055332010442562</v>
      </c>
      <c r="D55" s="26">
        <f>IFERROR(VLOOKUP($B55,MIMIC_p!$B$2:$AG$157,32,FALSE),"")</f>
        <v>32.652242140336469</v>
      </c>
      <c r="E55" s="26">
        <f>IFERROR(VLOOKUP($B55,SEMP_p!$B$2:$AG$157,32,FALSE),"")</f>
        <v>32.944872379302979</v>
      </c>
      <c r="F55" s="26" t="str">
        <f>IFERROR(VLOOKUP($B55,Infemp_p!$B$2:$AG$157,32,FALSE),"")</f>
        <v/>
      </c>
      <c r="G55" s="26" t="str">
        <f>IFERROR(VLOOKUP($B55,Infsize_p!$B$2:$AG$157,32,FALSE),"")</f>
        <v/>
      </c>
    </row>
    <row r="56" spans="1:7" x14ac:dyDescent="0.25">
      <c r="A56" s="5" t="s">
        <v>59</v>
      </c>
      <c r="B56" s="5" t="s">
        <v>252</v>
      </c>
      <c r="C56" s="26">
        <f>IFERROR(VLOOKUP($B56,DGE_p!$B$2:$AG$157,32,FALSE),"")</f>
        <v>16.664909536188301</v>
      </c>
      <c r="D56" s="26">
        <f>IFERROR(VLOOKUP($B56,MIMIC_p!$B$2:$AG$157,32,FALSE),"")</f>
        <v>17.999146027998492</v>
      </c>
      <c r="E56" s="26">
        <f>IFERROR(VLOOKUP($B56,SEMP_p!$B$2:$AG$157,32,FALSE),"")</f>
        <v>13.320119944485752</v>
      </c>
      <c r="F56" s="26" t="str">
        <f>IFERROR(VLOOKUP($B56,Infemp_p!$B$2:$AG$157,32,FALSE),"")</f>
        <v/>
      </c>
      <c r="G56" s="26" t="str">
        <f>IFERROR(VLOOKUP($B56,Infsize_p!$B$2:$AG$157,32,FALSE),"")</f>
        <v/>
      </c>
    </row>
    <row r="57" spans="1:7" x14ac:dyDescent="0.25">
      <c r="A57" s="5" t="s">
        <v>61</v>
      </c>
      <c r="B57" s="5" t="s">
        <v>254</v>
      </c>
      <c r="C57" s="26">
        <f>IFERROR(VLOOKUP($B57,DGE_p!$B$2:$AG$157,32,FALSE),"")</f>
        <v>14.457744598388672</v>
      </c>
      <c r="D57" s="26">
        <f>IFERROR(VLOOKUP($B57,MIMIC_p!$B$2:$AG$157,32,FALSE),"")</f>
        <v>15.286721056157893</v>
      </c>
      <c r="E57" s="26">
        <f>IFERROR(VLOOKUP($B57,SEMP_p!$B$2:$AG$157,32,FALSE),"")</f>
        <v>11.252224575389516</v>
      </c>
      <c r="F57" s="26" t="str">
        <f>IFERROR(VLOOKUP($B57,Infemp_p!$B$2:$AG$157,32,FALSE),"")</f>
        <v/>
      </c>
      <c r="G57" s="26" t="str">
        <f>IFERROR(VLOOKUP($B57,Infsize_p!$B$2:$AG$157,32,FALSE),"")</f>
        <v/>
      </c>
    </row>
    <row r="58" spans="1:7" x14ac:dyDescent="0.25">
      <c r="A58" s="5" t="s">
        <v>144</v>
      </c>
      <c r="B58" s="5" t="s">
        <v>338</v>
      </c>
      <c r="C58" s="26" t="str">
        <f>IFERROR(VLOOKUP($B58,DGE_p!$B$2:$AG$157,32,FALSE),"")</f>
        <v/>
      </c>
      <c r="D58" s="26" t="str">
        <f>IFERROR(VLOOKUP($B58,MIMIC_p!$B$2:$AG$157,32,FALSE),"")</f>
        <v/>
      </c>
      <c r="E58" s="26">
        <f>IFERROR(VLOOKUP($B58,SEMP_p!$B$2:$AG$157,32,FALSE),"")</f>
        <v>15.899999618530273</v>
      </c>
      <c r="F58" s="26" t="str">
        <f>IFERROR(VLOOKUP($B58,Infemp_p!$B$2:$AG$157,32,FALSE),"")</f>
        <v/>
      </c>
      <c r="G58" s="26" t="str">
        <f>IFERROR(VLOOKUP($B58,Infsize_p!$B$2:$AG$157,32,FALSE),"")</f>
        <v/>
      </c>
    </row>
    <row r="59" spans="1:7" x14ac:dyDescent="0.25">
      <c r="A59" s="5" t="s">
        <v>63</v>
      </c>
      <c r="B59" s="5" t="s">
        <v>256</v>
      </c>
      <c r="C59" s="26">
        <f>IFERROR(VLOOKUP($B59,DGE_p!$B$2:$AG$157,32,FALSE),"")</f>
        <v>46.275489460338243</v>
      </c>
      <c r="D59" s="26">
        <f>IFERROR(VLOOKUP($B59,MIMIC_p!$B$2:$AG$157,32,FALSE),"")</f>
        <v>51.653238469904117</v>
      </c>
      <c r="E59" s="26">
        <f>IFERROR(VLOOKUP($B59,SEMP_p!$B$2:$AG$157,32,FALSE),"")</f>
        <v>43.899999618530273</v>
      </c>
      <c r="F59" s="26" t="str">
        <f>IFERROR(VLOOKUP($B59,Infemp_p!$B$2:$AG$157,32,FALSE),"")</f>
        <v/>
      </c>
      <c r="G59" s="26" t="str">
        <f>IFERROR(VLOOKUP($B59,Infsize_p!$B$2:$AG$157,32,FALSE),"")</f>
        <v/>
      </c>
    </row>
    <row r="60" spans="1:7" x14ac:dyDescent="0.25">
      <c r="A60" s="5" t="s">
        <v>68</v>
      </c>
      <c r="B60" s="5" t="s">
        <v>261</v>
      </c>
      <c r="C60" s="26">
        <f>IFERROR(VLOOKUP($B60,DGE_p!$B$2:$AG$157,32,FALSE),"")</f>
        <v>40.463456934148617</v>
      </c>
      <c r="D60" s="26">
        <f>IFERROR(VLOOKUP($B60,MIMIC_p!$B$2:$AG$157,32,FALSE),"")</f>
        <v>46.357074043967508</v>
      </c>
      <c r="E60" s="26">
        <f>IFERROR(VLOOKUP($B60,SEMP_p!$B$2:$AG$157,32,FALSE),"")</f>
        <v>74.599998474121094</v>
      </c>
      <c r="F60" s="26">
        <f>IFERROR(VLOOKUP($B60,Infemp_p!$B$2:$AG$157,32,FALSE),"")</f>
        <v>76.489999999999995</v>
      </c>
      <c r="G60" s="26">
        <f>IFERROR(VLOOKUP($B60,Infsize_p!$B$2:$AG$157,32,FALSE),"")</f>
        <v>69.3</v>
      </c>
    </row>
    <row r="61" spans="1:7" x14ac:dyDescent="0.25">
      <c r="A61" s="5" t="s">
        <v>65</v>
      </c>
      <c r="B61" s="5" t="s">
        <v>258</v>
      </c>
      <c r="C61" s="26">
        <f>IFERROR(VLOOKUP($B61,DGE_p!$B$2:$AG$157,32,FALSE),"")</f>
        <v>60.881810274991125</v>
      </c>
      <c r="D61" s="26">
        <f>IFERROR(VLOOKUP($B61,MIMIC_p!$B$2:$AG$157,32,FALSE),"")</f>
        <v>66.196574124422938</v>
      </c>
      <c r="E61" s="26">
        <f>IFERROR(VLOOKUP($B61,SEMP_p!$B$2:$AG$157,32,FALSE),"")</f>
        <v>60.454737923362039</v>
      </c>
      <c r="F61" s="26" t="str">
        <f>IFERROR(VLOOKUP($B61,Infemp_p!$B$2:$AG$157,32,FALSE),"")</f>
        <v/>
      </c>
      <c r="G61" s="26" t="str">
        <f>IFERROR(VLOOKUP($B61,Infsize_p!$B$2:$AG$157,32,FALSE),"")</f>
        <v/>
      </c>
    </row>
    <row r="62" spans="1:7" x14ac:dyDescent="0.25">
      <c r="A62" s="5" t="s">
        <v>47</v>
      </c>
      <c r="B62" s="5" t="s">
        <v>240</v>
      </c>
      <c r="C62" s="26">
        <f>IFERROR(VLOOKUP($B62,DGE_p!$B$2:$AG$157,32,FALSE),"")</f>
        <v>15.21933737668124</v>
      </c>
      <c r="D62" s="26">
        <f>IFERROR(VLOOKUP($B62,MIMIC_p!$B$2:$AG$157,32,FALSE),"")</f>
        <v>15.615128690546209</v>
      </c>
      <c r="E62" s="26">
        <f>IFERROR(VLOOKUP($B62,SEMP_p!$B$2:$AG$157,32,FALSE),"")</f>
        <v>11.58695090900768</v>
      </c>
      <c r="F62" s="26" t="str">
        <f>IFERROR(VLOOKUP($B62,Infemp_p!$B$2:$AG$157,32,FALSE),"")</f>
        <v/>
      </c>
      <c r="G62" s="26" t="str">
        <f>IFERROR(VLOOKUP($B62,Infsize_p!$B$2:$AG$157,32,FALSE),"")</f>
        <v/>
      </c>
    </row>
    <row r="63" spans="1:7" x14ac:dyDescent="0.25">
      <c r="A63" s="5" t="s">
        <v>66</v>
      </c>
      <c r="B63" s="5" t="s">
        <v>259</v>
      </c>
      <c r="C63" s="26">
        <f>IFERROR(VLOOKUP($B63,DGE_p!$B$2:$AG$157,32,FALSE),"")</f>
        <v>38.086472251198508</v>
      </c>
      <c r="D63" s="26">
        <f>IFERROR(VLOOKUP($B63,MIMIC_p!$B$2:$AG$157,32,FALSE),"")</f>
        <v>39.836078297008164</v>
      </c>
      <c r="E63" s="26">
        <f>IFERROR(VLOOKUP($B63,SEMP_p!$B$2:$AG$157,32,FALSE),"")</f>
        <v>76.766738891601563</v>
      </c>
      <c r="F63" s="26">
        <f>IFERROR(VLOOKUP($B63,Infemp_p!$B$2:$AG$157,32,FALSE),"")</f>
        <v>91.553333333333342</v>
      </c>
      <c r="G63" s="26">
        <f>IFERROR(VLOOKUP($B63,Infsize_p!$B$2:$AG$157,32,FALSE),"")</f>
        <v>87.76</v>
      </c>
    </row>
    <row r="64" spans="1:7" x14ac:dyDescent="0.25">
      <c r="A64" s="5" t="s">
        <v>71</v>
      </c>
      <c r="B64" s="5" t="s">
        <v>264</v>
      </c>
      <c r="C64" s="26">
        <f>IFERROR(VLOOKUP($B64,DGE_p!$B$2:$AG$157,32,FALSE),"")</f>
        <v>26.023983348499645</v>
      </c>
      <c r="D64" s="26">
        <f>IFERROR(VLOOKUP($B64,MIMIC_p!$B$2:$AG$157,32,FALSE),"")</f>
        <v>28.804734316739168</v>
      </c>
      <c r="E64" s="26">
        <f>IFERROR(VLOOKUP($B64,SEMP_p!$B$2:$AG$157,32,FALSE),"")</f>
        <v>35.820942618630149</v>
      </c>
      <c r="F64" s="26" t="str">
        <f>IFERROR(VLOOKUP($B64,Infemp_p!$B$2:$AG$157,32,FALSE),"")</f>
        <v/>
      </c>
      <c r="G64" s="26" t="str">
        <f>IFERROR(VLOOKUP($B64,Infsize_p!$B$2:$AG$157,32,FALSE),"")</f>
        <v/>
      </c>
    </row>
    <row r="65" spans="1:7" x14ac:dyDescent="0.25">
      <c r="A65" s="5" t="s">
        <v>72</v>
      </c>
      <c r="B65" s="5" t="s">
        <v>265</v>
      </c>
      <c r="C65" s="26" t="str">
        <f>IFERROR(VLOOKUP($B65,DGE_p!$B$2:$AG$157,32,FALSE),"")</f>
        <v/>
      </c>
      <c r="D65" s="26" t="str">
        <f>IFERROR(VLOOKUP($B65,MIMIC_p!$B$2:$AG$157,32,FALSE),"")</f>
        <v/>
      </c>
      <c r="E65" s="26" t="str">
        <f>IFERROR(VLOOKUP($B65,SEMP_p!$B$2:$AG$157,32,FALSE),"")</f>
        <v/>
      </c>
      <c r="F65" s="26" t="str">
        <f>IFERROR(VLOOKUP($B65,Infemp_p!$B$2:$AG$157,32,FALSE),"")</f>
        <v/>
      </c>
      <c r="G65" s="26" t="str">
        <f>IFERROR(VLOOKUP($B65,Infsize_p!$B$2:$AG$157,32,FALSE),"")</f>
        <v/>
      </c>
    </row>
    <row r="66" spans="1:7" x14ac:dyDescent="0.25">
      <c r="A66" s="5" t="s">
        <v>73</v>
      </c>
      <c r="B66" s="5" t="s">
        <v>266</v>
      </c>
      <c r="C66" s="26">
        <f>IFERROR(VLOOKUP($B66,DGE_p!$B$2:$AG$157,32,FALSE),"")</f>
        <v>47.530603928999469</v>
      </c>
      <c r="D66" s="26">
        <f>IFERROR(VLOOKUP($B66,MIMIC_p!$B$2:$AG$157,32,FALSE),"")</f>
        <v>51.914762670343571</v>
      </c>
      <c r="E66" s="26">
        <f>IFERROR(VLOOKUP($B66,SEMP_p!$B$2:$AG$157,32,FALSE),"")</f>
        <v>35.686500549316406</v>
      </c>
      <c r="F66" s="26">
        <f>IFERROR(VLOOKUP($B66,Infemp_p!$B$2:$AG$157,32,FALSE),"")</f>
        <v>80.385714285714272</v>
      </c>
      <c r="G66" s="26">
        <f>IFERROR(VLOOKUP($B66,Infsize_p!$B$2:$AG$157,32,FALSE),"")</f>
        <v>73.424285714285702</v>
      </c>
    </row>
    <row r="67" spans="1:7" x14ac:dyDescent="0.25">
      <c r="A67" s="5" t="s">
        <v>67</v>
      </c>
      <c r="B67" s="5" t="s">
        <v>260</v>
      </c>
      <c r="C67" s="26">
        <f>IFERROR(VLOOKUP($B67,DGE_p!$B$2:$AG$157,32,FALSE),"")</f>
        <v>36.54962227561257</v>
      </c>
      <c r="D67" s="26">
        <f>IFERROR(VLOOKUP($B67,MIMIC_p!$B$2:$AG$157,32,FALSE),"")</f>
        <v>39.459579120982774</v>
      </c>
      <c r="E67" s="26">
        <f>IFERROR(VLOOKUP($B67,SEMP_p!$B$2:$AG$157,32,FALSE),"")</f>
        <v>90.300003051757813</v>
      </c>
      <c r="F67" s="26" t="str">
        <f>IFERROR(VLOOKUP($B67,Infemp_p!$B$2:$AG$157,32,FALSE),"")</f>
        <v/>
      </c>
      <c r="G67" s="26" t="str">
        <f>IFERROR(VLOOKUP($B67,Infsize_p!$B$2:$AG$157,32,FALSE),"")</f>
        <v/>
      </c>
    </row>
    <row r="68" spans="1:7" x14ac:dyDescent="0.25">
      <c r="A68" s="5" t="s">
        <v>74</v>
      </c>
      <c r="B68" s="5" t="s">
        <v>267</v>
      </c>
      <c r="C68" s="26" t="str">
        <f>IFERROR(VLOOKUP($B68,DGE_p!$B$2:$AG$157,32,FALSE),"")</f>
        <v/>
      </c>
      <c r="D68" s="26">
        <f>IFERROR(VLOOKUP($B68,MIMIC_p!$B$2:$AG$157,32,FALSE),"")</f>
        <v>31.493277809836648</v>
      </c>
      <c r="E68" s="26" t="str">
        <f>IFERROR(VLOOKUP($B68,SEMP_p!$B$2:$AG$157,32,FALSE),"")</f>
        <v/>
      </c>
      <c r="F68" s="26" t="str">
        <f>IFERROR(VLOOKUP($B68,Infemp_p!$B$2:$AG$157,32,FALSE),"")</f>
        <v/>
      </c>
      <c r="G68" s="26" t="str">
        <f>IFERROR(VLOOKUP($B68,Infsize_p!$B$2:$AG$157,32,FALSE),"")</f>
        <v/>
      </c>
    </row>
    <row r="69" spans="1:7" x14ac:dyDescent="0.25">
      <c r="A69" s="5" t="s">
        <v>77</v>
      </c>
      <c r="B69" s="5" t="s">
        <v>270</v>
      </c>
      <c r="C69" s="26" t="str">
        <f>IFERROR(VLOOKUP($B69,DGE_p!$B$2:$AG$157,32,FALSE),"")</f>
        <v/>
      </c>
      <c r="D69" s="26">
        <f>IFERROR(VLOOKUP($B69,MIMIC_p!$B$2:$AG$157,32,FALSE),"")</f>
        <v>59.98396960171786</v>
      </c>
      <c r="E69" s="26" t="str">
        <f>IFERROR(VLOOKUP($B69,SEMP_p!$B$2:$AG$157,32,FALSE),"")</f>
        <v/>
      </c>
      <c r="F69" s="26">
        <f>IFERROR(VLOOKUP($B69,Infemp_p!$B$2:$AG$157,32,FALSE),"")</f>
        <v>91.51</v>
      </c>
      <c r="G69" s="26">
        <f>IFERROR(VLOOKUP($B69,Infsize_p!$B$2:$AG$157,32,FALSE),"")</f>
        <v>84.2</v>
      </c>
    </row>
    <row r="70" spans="1:7" x14ac:dyDescent="0.25">
      <c r="A70" s="5" t="s">
        <v>75</v>
      </c>
      <c r="B70" s="5" t="s">
        <v>268</v>
      </c>
      <c r="C70" s="26">
        <f>IFERROR(VLOOKUP($B70,DGE_p!$B$2:$AG$157,32,FALSE),"")</f>
        <v>44.639056465842508</v>
      </c>
      <c r="D70" s="26">
        <f>IFERROR(VLOOKUP($B70,MIMIC_p!$B$2:$AG$157,32,FALSE),"")</f>
        <v>48.458736419677734</v>
      </c>
      <c r="E70" s="26">
        <f>IFERROR(VLOOKUP($B70,SEMP_p!$B$2:$AG$157,32,FALSE),"")</f>
        <v>54.906545465642758</v>
      </c>
      <c r="F70" s="26">
        <f>IFERROR(VLOOKUP($B70,Infemp_p!$B$2:$AG$157,32,FALSE),"")</f>
        <v>82.415999999999997</v>
      </c>
      <c r="G70" s="26">
        <f>IFERROR(VLOOKUP($B70,Infsize_p!$B$2:$AG$157,32,FALSE),"")</f>
        <v>79.608000000000018</v>
      </c>
    </row>
    <row r="71" spans="1:7" x14ac:dyDescent="0.25">
      <c r="A71" s="5" t="s">
        <v>78</v>
      </c>
      <c r="B71" s="5" t="s">
        <v>271</v>
      </c>
      <c r="C71" s="26">
        <f>IFERROR(VLOOKUP($B71,DGE_p!$B$2:$AG$157,32,FALSE),"")</f>
        <v>23.348562240600586</v>
      </c>
      <c r="D71" s="26">
        <f>IFERROR(VLOOKUP($B71,MIMIC_p!$B$2:$AG$157,32,FALSE),"")</f>
        <v>24.366539868441496</v>
      </c>
      <c r="E71" s="26">
        <f>IFERROR(VLOOKUP($B71,SEMP_p!$B$2:$AG$157,32,FALSE),"")</f>
        <v>12.087721824645996</v>
      </c>
      <c r="F71" s="26" t="str">
        <f>IFERROR(VLOOKUP($B71,Infemp_p!$B$2:$AG$157,32,FALSE),"")</f>
        <v/>
      </c>
      <c r="G71" s="26" t="str">
        <f>IFERROR(VLOOKUP($B71,Infsize_p!$B$2:$AG$157,32,FALSE),"")</f>
        <v/>
      </c>
    </row>
    <row r="72" spans="1:7" x14ac:dyDescent="0.25">
      <c r="A72" s="5" t="s">
        <v>84</v>
      </c>
      <c r="B72" s="5" t="s">
        <v>277</v>
      </c>
      <c r="C72" s="26">
        <f>IFERROR(VLOOKUP($B72,DGE_p!$B$2:$AG$157,32,FALSE),"")</f>
        <v>14.973403670571066</v>
      </c>
      <c r="D72" s="26">
        <f>IFERROR(VLOOKUP($B72,MIMIC_p!$B$2:$AG$157,32,FALSE),"")</f>
        <v>15.851395520296963</v>
      </c>
      <c r="E72" s="26">
        <f>IFERROR(VLOOKUP($B72,SEMP_p!$B$2:$AG$157,32,FALSE),"")</f>
        <v>12.747003295204856</v>
      </c>
      <c r="F72" s="26" t="str">
        <f>IFERROR(VLOOKUP($B72,Infemp_p!$B$2:$AG$157,32,FALSE),"")</f>
        <v/>
      </c>
      <c r="G72" s="26" t="str">
        <f>IFERROR(VLOOKUP($B72,Infsize_p!$B$2:$AG$157,32,FALSE),"")</f>
        <v/>
      </c>
    </row>
    <row r="73" spans="1:7" x14ac:dyDescent="0.25">
      <c r="A73" s="5" t="s">
        <v>80</v>
      </c>
      <c r="B73" s="5" t="s">
        <v>273</v>
      </c>
      <c r="C73" s="26">
        <f>IFERROR(VLOOKUP($B73,DGE_p!$B$2:$AG$157,32,FALSE),"")</f>
        <v>19.434831619262695</v>
      </c>
      <c r="D73" s="26">
        <f>IFERROR(VLOOKUP($B73,MIMIC_p!$B$2:$AG$157,32,FALSE),"")</f>
        <v>21.169872457330879</v>
      </c>
      <c r="E73" s="26">
        <f>IFERROR(VLOOKUP($B73,SEMP_p!$B$2:$AG$157,32,FALSE),"")</f>
        <v>80.466505570845172</v>
      </c>
      <c r="F73" s="26">
        <f>IFERROR(VLOOKUP($B73,Infemp_p!$B$2:$AG$157,32,FALSE),"")</f>
        <v>87.210000000000008</v>
      </c>
      <c r="G73" s="26">
        <f>IFERROR(VLOOKUP($B73,Infsize_p!$B$2:$AG$157,32,FALSE),"")</f>
        <v>84.39</v>
      </c>
    </row>
    <row r="74" spans="1:7" x14ac:dyDescent="0.25">
      <c r="A74" s="5" t="s">
        <v>79</v>
      </c>
      <c r="B74" s="5" t="s">
        <v>272</v>
      </c>
      <c r="C74" s="26">
        <f>IFERROR(VLOOKUP($B74,DGE_p!$B$2:$AG$157,32,FALSE),"")</f>
        <v>17.181174711747602</v>
      </c>
      <c r="D74" s="26">
        <f>IFERROR(VLOOKUP($B74,MIMIC_p!$B$2:$AG$157,32,FALSE),"")</f>
        <v>19.250281940806996</v>
      </c>
      <c r="E74" s="26">
        <f>IFERROR(VLOOKUP($B74,SEMP_p!$B$2:$AG$157,32,FALSE),"")</f>
        <v>60.141511396928266</v>
      </c>
      <c r="F74" s="26" t="str">
        <f>IFERROR(VLOOKUP($B74,Infemp_p!$B$2:$AG$157,32,FALSE),"")</f>
        <v/>
      </c>
      <c r="G74" s="26" t="str">
        <f>IFERROR(VLOOKUP($B74,Infsize_p!$B$2:$AG$157,32,FALSE),"")</f>
        <v/>
      </c>
    </row>
    <row r="75" spans="1:7" x14ac:dyDescent="0.25">
      <c r="A75" s="5" t="s">
        <v>82</v>
      </c>
      <c r="B75" s="5" t="s">
        <v>275</v>
      </c>
      <c r="C75" s="26">
        <f>IFERROR(VLOOKUP($B75,DGE_p!$B$2:$AG$157,32,FALSE),"")</f>
        <v>16.710560538552024</v>
      </c>
      <c r="D75" s="26">
        <f>IFERROR(VLOOKUP($B75,MIMIC_p!$B$2:$AG$157,32,FALSE),"")</f>
        <v>17.565190228548918</v>
      </c>
      <c r="E75" s="26">
        <f>IFERROR(VLOOKUP($B75,SEMP_p!$B$2:$AG$157,32,FALSE),"")</f>
        <v>45.08999938964844</v>
      </c>
      <c r="F75" s="26" t="str">
        <f>IFERROR(VLOOKUP($B75,Infemp_p!$B$2:$AG$157,32,FALSE),"")</f>
        <v/>
      </c>
      <c r="G75" s="26" t="str">
        <f>IFERROR(VLOOKUP($B75,Infsize_p!$B$2:$AG$157,32,FALSE),"")</f>
        <v/>
      </c>
    </row>
    <row r="76" spans="1:7" x14ac:dyDescent="0.25">
      <c r="A76" s="5" t="s">
        <v>83</v>
      </c>
      <c r="B76" s="5" t="s">
        <v>276</v>
      </c>
      <c r="C76" s="26" t="str">
        <f>IFERROR(VLOOKUP($B76,DGE_p!$B$2:$AG$157,32,FALSE),"")</f>
        <v/>
      </c>
      <c r="D76" s="26" t="str">
        <f>IFERROR(VLOOKUP($B76,MIMIC_p!$B$2:$AG$157,32,FALSE),"")</f>
        <v/>
      </c>
      <c r="E76" s="26">
        <f>IFERROR(VLOOKUP($B76,SEMP_p!$B$2:$AG$157,32,FALSE),"")</f>
        <v>34.299999237060547</v>
      </c>
      <c r="F76" s="26" t="str">
        <f>IFERROR(VLOOKUP($B76,Infemp_p!$B$2:$AG$157,32,FALSE),"")</f>
        <v/>
      </c>
      <c r="G76" s="26" t="str">
        <f>IFERROR(VLOOKUP($B76,Infsize_p!$B$2:$AG$157,32,FALSE),"")</f>
        <v/>
      </c>
    </row>
    <row r="77" spans="1:7" x14ac:dyDescent="0.25">
      <c r="A77" s="5" t="s">
        <v>81</v>
      </c>
      <c r="B77" s="5" t="s">
        <v>274</v>
      </c>
      <c r="C77" s="26">
        <f>IFERROR(VLOOKUP($B77,DGE_p!$B$2:$AG$157,32,FALSE),"")</f>
        <v>14.875142791054465</v>
      </c>
      <c r="D77" s="26">
        <f>IFERROR(VLOOKUP($B77,MIMIC_p!$B$2:$AG$157,32,FALSE),"")</f>
        <v>16.093135920437899</v>
      </c>
      <c r="E77" s="26">
        <f>IFERROR(VLOOKUP($B77,SEMP_p!$B$2:$AG$157,32,FALSE),"")</f>
        <v>16.815684578635476</v>
      </c>
      <c r="F77" s="26" t="str">
        <f>IFERROR(VLOOKUP($B77,Infemp_p!$B$2:$AG$157,32,FALSE),"")</f>
        <v/>
      </c>
      <c r="G77" s="26" t="str">
        <f>IFERROR(VLOOKUP($B77,Infsize_p!$B$2:$AG$157,32,FALSE),"")</f>
        <v/>
      </c>
    </row>
    <row r="78" spans="1:7" x14ac:dyDescent="0.25">
      <c r="A78" s="5" t="s">
        <v>85</v>
      </c>
      <c r="B78" s="5" t="s">
        <v>278</v>
      </c>
      <c r="C78" s="26">
        <f>IFERROR(VLOOKUP($B78,DGE_p!$B$2:$AG$157,32,FALSE),"")</f>
        <v>20.512021845037285</v>
      </c>
      <c r="D78" s="26">
        <f>IFERROR(VLOOKUP($B78,MIMIC_p!$B$2:$AG$157,32,FALSE),"")</f>
        <v>20.697512019764293</v>
      </c>
      <c r="E78" s="26">
        <f>IFERROR(VLOOKUP($B78,SEMP_p!$B$2:$AG$157,32,FALSE),"")</f>
        <v>12.750480044971813</v>
      </c>
      <c r="F78" s="26" t="str">
        <f>IFERROR(VLOOKUP($B78,Infemp_p!$B$2:$AG$157,32,FALSE),"")</f>
        <v/>
      </c>
      <c r="G78" s="26" t="str">
        <f>IFERROR(VLOOKUP($B78,Infsize_p!$B$2:$AG$157,32,FALSE),"")</f>
        <v/>
      </c>
    </row>
    <row r="79" spans="1:7" x14ac:dyDescent="0.25">
      <c r="A79" s="5" t="s">
        <v>86</v>
      </c>
      <c r="B79" s="5" t="s">
        <v>279</v>
      </c>
      <c r="C79" s="26">
        <f>IFERROR(VLOOKUP($B79,DGE_p!$B$2:$AG$157,32,FALSE),"")</f>
        <v>26.404472177678887</v>
      </c>
      <c r="D79" s="26">
        <f>IFERROR(VLOOKUP($B79,MIMIC_p!$B$2:$AG$157,32,FALSE),"")</f>
        <v>28.333090522072531</v>
      </c>
      <c r="E79" s="26">
        <f>IFERROR(VLOOKUP($B79,SEMP_p!$B$2:$AG$157,32,FALSE),"")</f>
        <v>25.341596429998223</v>
      </c>
      <c r="F79" s="26" t="str">
        <f>IFERROR(VLOOKUP($B79,Infemp_p!$B$2:$AG$157,32,FALSE),"")</f>
        <v/>
      </c>
      <c r="G79" s="26" t="str">
        <f>IFERROR(VLOOKUP($B79,Infsize_p!$B$2:$AG$157,32,FALSE),"")</f>
        <v/>
      </c>
    </row>
    <row r="80" spans="1:7" x14ac:dyDescent="0.25">
      <c r="A80" s="5" t="s">
        <v>87</v>
      </c>
      <c r="B80" s="5" t="s">
        <v>280</v>
      </c>
      <c r="C80" s="26">
        <f>IFERROR(VLOOKUP($B80,DGE_p!$B$2:$AG$157,32,FALSE),"")</f>
        <v>32.074772748080164</v>
      </c>
      <c r="D80" s="26">
        <f>IFERROR(VLOOKUP($B80,MIMIC_p!$B$2:$AG$157,32,FALSE),"")</f>
        <v>34.688541932539508</v>
      </c>
      <c r="E80" s="26">
        <f>IFERROR(VLOOKUP($B80,SEMP_p!$B$2:$AG$157,32,FALSE),"")</f>
        <v>39.45355436537001</v>
      </c>
      <c r="F80" s="26" t="str">
        <f>IFERROR(VLOOKUP($B80,Infemp_p!$B$2:$AG$157,32,FALSE),"")</f>
        <v/>
      </c>
      <c r="G80" s="26" t="str">
        <f>IFERROR(VLOOKUP($B80,Infsize_p!$B$2:$AG$157,32,FALSE),"")</f>
        <v/>
      </c>
    </row>
    <row r="81" spans="1:7" x14ac:dyDescent="0.25">
      <c r="A81" s="5" t="s">
        <v>89</v>
      </c>
      <c r="B81" s="5" t="s">
        <v>282</v>
      </c>
      <c r="C81" s="26">
        <f>IFERROR(VLOOKUP($B81,DGE_p!$B$2:$AG$157,32,FALSE),"")</f>
        <v>10.257451577620072</v>
      </c>
      <c r="D81" s="26">
        <f>IFERROR(VLOOKUP($B81,MIMIC_p!$B$2:$AG$157,32,FALSE),"")</f>
        <v>10.872066671198064</v>
      </c>
      <c r="E81" s="26">
        <f>IFERROR(VLOOKUP($B81,SEMP_p!$B$2:$AG$157,32,FALSE),"")</f>
        <v>12.406308174133301</v>
      </c>
      <c r="F81" s="26" t="str">
        <f>IFERROR(VLOOKUP($B81,Infemp_p!$B$2:$AG$157,32,FALSE),"")</f>
        <v/>
      </c>
      <c r="G81" s="26" t="str">
        <f>IFERROR(VLOOKUP($B81,Infsize_p!$B$2:$AG$157,32,FALSE),"")</f>
        <v/>
      </c>
    </row>
    <row r="82" spans="1:7" x14ac:dyDescent="0.25">
      <c r="A82" s="5" t="s">
        <v>88</v>
      </c>
      <c r="B82" s="5" t="s">
        <v>281</v>
      </c>
      <c r="C82" s="26">
        <f>IFERROR(VLOOKUP($B82,DGE_p!$B$2:$AG$157,32,FALSE),"")</f>
        <v>16.714053414084695</v>
      </c>
      <c r="D82" s="26">
        <f>IFERROR(VLOOKUP($B82,MIMIC_p!$B$2:$AG$157,32,FALSE),"")</f>
        <v>17.583412170410156</v>
      </c>
      <c r="E82" s="26">
        <f>IFERROR(VLOOKUP($B82,SEMP_p!$B$2:$AG$157,32,FALSE),"")</f>
        <v>14.987500031789144</v>
      </c>
      <c r="F82" s="26" t="str">
        <f>IFERROR(VLOOKUP($B82,Infemp_p!$B$2:$AG$157,32,FALSE),"")</f>
        <v/>
      </c>
      <c r="G82" s="26" t="str">
        <f>IFERROR(VLOOKUP($B82,Infsize_p!$B$2:$AG$157,32,FALSE),"")</f>
        <v/>
      </c>
    </row>
    <row r="83" spans="1:7" x14ac:dyDescent="0.25">
      <c r="A83" s="5" t="s">
        <v>90</v>
      </c>
      <c r="B83" s="5" t="s">
        <v>283</v>
      </c>
      <c r="C83" s="26">
        <f>IFERROR(VLOOKUP($B83,DGE_p!$B$2:$AG$157,32,FALSE),"")</f>
        <v>37.5468469099565</v>
      </c>
      <c r="D83" s="26">
        <f>IFERROR(VLOOKUP($B83,MIMIC_p!$B$2:$AG$157,32,FALSE),"")</f>
        <v>39.374646273526281</v>
      </c>
      <c r="E83" s="26">
        <f>IFERROR(VLOOKUP($B83,SEMP_p!$B$2:$AG$157,32,FALSE),"")</f>
        <v>32.349398699673742</v>
      </c>
      <c r="F83" s="26" t="str">
        <f>IFERROR(VLOOKUP($B83,Infemp_p!$B$2:$AG$157,32,FALSE),"")</f>
        <v/>
      </c>
      <c r="G83" s="26" t="str">
        <f>IFERROR(VLOOKUP($B83,Infsize_p!$B$2:$AG$157,32,FALSE),"")</f>
        <v/>
      </c>
    </row>
    <row r="84" spans="1:7" x14ac:dyDescent="0.25">
      <c r="A84" s="5" t="s">
        <v>91</v>
      </c>
      <c r="B84" s="5" t="s">
        <v>284</v>
      </c>
      <c r="C84" s="26">
        <f>IFERROR(VLOOKUP($B84,DGE_p!$B$2:$AG$157,32,FALSE),"")</f>
        <v>28.462474129416726</v>
      </c>
      <c r="D84" s="26">
        <f>IFERROR(VLOOKUP($B84,MIMIC_p!$B$2:$AG$157,32,FALSE),"")</f>
        <v>32.470868544145063</v>
      </c>
      <c r="E84" s="26">
        <f>IFERROR(VLOOKUP($B84,SEMP_p!$B$2:$AG$157,32,FALSE),"")</f>
        <v>81.051170349121094</v>
      </c>
      <c r="F84" s="26" t="str">
        <f>IFERROR(VLOOKUP($B84,Infemp_p!$B$2:$AG$157,32,FALSE),"")</f>
        <v/>
      </c>
      <c r="G84" s="26" t="str">
        <f>IFERROR(VLOOKUP($B84,Infsize_p!$B$2:$AG$157,32,FALSE),"")</f>
        <v/>
      </c>
    </row>
    <row r="85" spans="1:7" x14ac:dyDescent="0.25">
      <c r="A85" s="5" t="s">
        <v>94</v>
      </c>
      <c r="B85" s="5" t="s">
        <v>287</v>
      </c>
      <c r="C85" s="26" t="str">
        <f>IFERROR(VLOOKUP($B85,DGE_p!$B$2:$AG$157,32,FALSE),"")</f>
        <v/>
      </c>
      <c r="D85" s="26" t="str">
        <f>IFERROR(VLOOKUP($B85,MIMIC_p!$B$2:$AG$157,32,FALSE),"")</f>
        <v/>
      </c>
      <c r="E85" s="26">
        <f>IFERROR(VLOOKUP($B85,SEMP_p!$B$2:$AG$157,32,FALSE),"")</f>
        <v>32.450000762939453</v>
      </c>
      <c r="F85" s="26" t="str">
        <f>IFERROR(VLOOKUP($B85,Infemp_p!$B$2:$AG$157,32,FALSE),"")</f>
        <v/>
      </c>
      <c r="G85" s="26" t="str">
        <f>IFERROR(VLOOKUP($B85,Infsize_p!$B$2:$AG$157,32,FALSE),"")</f>
        <v/>
      </c>
    </row>
    <row r="86" spans="1:7" x14ac:dyDescent="0.25">
      <c r="A86" s="5" t="s">
        <v>96</v>
      </c>
      <c r="B86" s="5" t="s">
        <v>289</v>
      </c>
      <c r="C86" s="26">
        <f>IFERROR(VLOOKUP($B86,DGE_p!$B$2:$AG$157,32,FALSE),"")</f>
        <v>24.797474774447355</v>
      </c>
      <c r="D86" s="26">
        <f>IFERROR(VLOOKUP($B86,MIMIC_p!$B$2:$AG$157,32,FALSE),"")</f>
        <v>26.610817822543058</v>
      </c>
      <c r="E86" s="26">
        <f>IFERROR(VLOOKUP($B86,SEMP_p!$B$2:$AG$157,32,FALSE),"")</f>
        <v>29.488704681396484</v>
      </c>
      <c r="F86" s="26" t="str">
        <f>IFERROR(VLOOKUP($B86,Infemp_p!$B$2:$AG$157,32,FALSE),"")</f>
        <v/>
      </c>
      <c r="G86" s="26" t="str">
        <f>IFERROR(VLOOKUP($B86,Infsize_p!$B$2:$AG$157,32,FALSE),"")</f>
        <v/>
      </c>
    </row>
    <row r="87" spans="1:7" x14ac:dyDescent="0.25">
      <c r="A87" s="5" t="s">
        <v>188</v>
      </c>
      <c r="B87" s="5" t="s">
        <v>382</v>
      </c>
      <c r="C87" s="26" t="str">
        <f>IFERROR(VLOOKUP($B87,DGE_p!$B$2:$AG$157,32,FALSE),"")</f>
        <v/>
      </c>
      <c r="D87" s="26" t="str">
        <f>IFERROR(VLOOKUP($B87,MIMIC_p!$B$2:$AG$157,32,FALSE),"")</f>
        <v/>
      </c>
      <c r="E87" s="26">
        <f>IFERROR(VLOOKUP($B87,SEMP_p!$B$2:$AG$157,32,FALSE),"")</f>
        <v>29.249999523162842</v>
      </c>
      <c r="F87" s="26" t="str">
        <f>IFERROR(VLOOKUP($B87,Infemp_p!$B$2:$AG$157,32,FALSE),"")</f>
        <v/>
      </c>
      <c r="G87" s="26" t="str">
        <f>IFERROR(VLOOKUP($B87,Infsize_p!$B$2:$AG$157,32,FALSE),"")</f>
        <v/>
      </c>
    </row>
    <row r="88" spans="1:7" x14ac:dyDescent="0.25">
      <c r="A88" s="5" t="s">
        <v>97</v>
      </c>
      <c r="B88" s="5" t="s">
        <v>290</v>
      </c>
      <c r="C88" s="26">
        <f>IFERROR(VLOOKUP($B88,DGE_p!$B$2:$AG$157,32,FALSE),"")</f>
        <v>16.688072377985176</v>
      </c>
      <c r="D88" s="26">
        <f>IFERROR(VLOOKUP($B88,MIMIC_p!$B$2:$AG$157,32,FALSE),"")</f>
        <v>19.088741302490234</v>
      </c>
      <c r="E88" s="26">
        <f>IFERROR(VLOOKUP($B88,SEMP_p!$B$2:$AG$157,32,FALSE),"")</f>
        <v>1.8595521092414855</v>
      </c>
      <c r="F88" s="26" t="str">
        <f>IFERROR(VLOOKUP($B88,Infemp_p!$B$2:$AG$157,32,FALSE),"")</f>
        <v/>
      </c>
      <c r="G88" s="26" t="str">
        <f>IFERROR(VLOOKUP($B88,Infsize_p!$B$2:$AG$157,32,FALSE),"")</f>
        <v/>
      </c>
    </row>
    <row r="89" spans="1:7" x14ac:dyDescent="0.25">
      <c r="A89" s="5" t="s">
        <v>92</v>
      </c>
      <c r="B89" s="5" t="s">
        <v>285</v>
      </c>
      <c r="C89" s="26">
        <f>IFERROR(VLOOKUP($B89,DGE_p!$B$2:$AG$157,32,FALSE),"")</f>
        <v>37.709466067227453</v>
      </c>
      <c r="D89" s="26">
        <f>IFERROR(VLOOKUP($B89,MIMIC_p!$B$2:$AG$157,32,FALSE),"")</f>
        <v>38.68558606234464</v>
      </c>
      <c r="E89" s="26">
        <f>IFERROR(VLOOKUP($B89,SEMP_p!$B$2:$AG$157,32,FALSE),"")</f>
        <v>41.47177791595459</v>
      </c>
      <c r="F89" s="26" t="str">
        <f>IFERROR(VLOOKUP($B89,Infemp_p!$B$2:$AG$157,32,FALSE),"")</f>
        <v/>
      </c>
      <c r="G89" s="26" t="str">
        <f>IFERROR(VLOOKUP($B89,Infsize_p!$B$2:$AG$157,32,FALSE),"")</f>
        <v/>
      </c>
    </row>
    <row r="90" spans="1:7" x14ac:dyDescent="0.25">
      <c r="A90" s="5" t="s">
        <v>98</v>
      </c>
      <c r="B90" s="5" t="s">
        <v>291</v>
      </c>
      <c r="C90" s="26">
        <f>IFERROR(VLOOKUP($B90,DGE_p!$B$2:$AG$157,32,FALSE),"")</f>
        <v>25.891280260953035</v>
      </c>
      <c r="D90" s="26">
        <f>IFERROR(VLOOKUP($B90,MIMIC_p!$B$2:$AG$157,32,FALSE),"")</f>
        <v>29.876393751664594</v>
      </c>
      <c r="E90" s="26">
        <f>IFERROR(VLOOKUP($B90,SEMP_p!$B$2:$AG$157,32,FALSE),"")</f>
        <v>86.350002288818359</v>
      </c>
      <c r="F90" s="26" t="str">
        <f>IFERROR(VLOOKUP($B90,Infemp_p!$B$2:$AG$157,32,FALSE),"")</f>
        <v/>
      </c>
      <c r="G90" s="26" t="str">
        <f>IFERROR(VLOOKUP($B90,Infsize_p!$B$2:$AG$157,32,FALSE),"")</f>
        <v/>
      </c>
    </row>
    <row r="91" spans="1:7" x14ac:dyDescent="0.25">
      <c r="A91" s="5" t="s">
        <v>107</v>
      </c>
      <c r="B91" s="5" t="s">
        <v>300</v>
      </c>
      <c r="C91" s="26">
        <f>IFERROR(VLOOKUP($B91,DGE_p!$B$2:$AG$157,32,FALSE),"")</f>
        <v>26.469312321056019</v>
      </c>
      <c r="D91" s="26">
        <f>IFERROR(VLOOKUP($B91,MIMIC_p!$B$2:$AG$157,32,FALSE),"")</f>
        <v>27.889389731667258</v>
      </c>
      <c r="E91" s="26">
        <f>IFERROR(VLOOKUP($B91,SEMP_p!$B$2:$AG$157,32,FALSE),"")</f>
        <v>11.439920078624379</v>
      </c>
      <c r="F91" s="26" t="str">
        <f>IFERROR(VLOOKUP($B91,Infemp_p!$B$2:$AG$157,32,FALSE),"")</f>
        <v/>
      </c>
      <c r="G91" s="26" t="str">
        <f>IFERROR(VLOOKUP($B91,Infsize_p!$B$2:$AG$157,32,FALSE),"")</f>
        <v/>
      </c>
    </row>
    <row r="92" spans="1:7" x14ac:dyDescent="0.25">
      <c r="A92" s="5" t="s">
        <v>99</v>
      </c>
      <c r="B92" s="5" t="s">
        <v>292</v>
      </c>
      <c r="C92" s="26">
        <f>IFERROR(VLOOKUP($B92,DGE_p!$B$2:$AG$157,32,FALSE),"")</f>
        <v>31.700122139670633</v>
      </c>
      <c r="D92" s="26">
        <f>IFERROR(VLOOKUP($B92,MIMIC_p!$B$2:$AG$157,32,FALSE),"")</f>
        <v>31.267447038130328</v>
      </c>
      <c r="E92" s="26">
        <f>IFERROR(VLOOKUP($B92,SEMP_p!$B$2:$AG$157,32,FALSE),"")</f>
        <v>43.778812408447266</v>
      </c>
      <c r="F92" s="26" t="str">
        <f>IFERROR(VLOOKUP($B92,Infemp_p!$B$2:$AG$157,32,FALSE),"")</f>
        <v/>
      </c>
      <c r="G92" s="26" t="str">
        <f>IFERROR(VLOOKUP($B92,Infsize_p!$B$2:$AG$157,32,FALSE),"")</f>
        <v/>
      </c>
    </row>
    <row r="93" spans="1:7" x14ac:dyDescent="0.25">
      <c r="A93" s="5" t="s">
        <v>104</v>
      </c>
      <c r="B93" s="5" t="s">
        <v>297</v>
      </c>
      <c r="C93" s="26">
        <f>IFERROR(VLOOKUP($B93,DGE_p!$B$2:$AG$157,32,FALSE),"")</f>
        <v>28.215742631392047</v>
      </c>
      <c r="D93" s="26">
        <f>IFERROR(VLOOKUP($B93,MIMIC_p!$B$2:$AG$157,32,FALSE),"")</f>
        <v>30.272671612826262</v>
      </c>
      <c r="E93" s="26">
        <f>IFERROR(VLOOKUP($B93,SEMP_p!$B$2:$AG$157,32,FALSE),"")</f>
        <v>18.100000381469727</v>
      </c>
      <c r="F93" s="26" t="str">
        <f>IFERROR(VLOOKUP($B93,Infemp_p!$B$2:$AG$157,32,FALSE),"")</f>
        <v/>
      </c>
      <c r="G93" s="26" t="str">
        <f>IFERROR(VLOOKUP($B93,Infsize_p!$B$2:$AG$157,32,FALSE),"")</f>
        <v/>
      </c>
    </row>
    <row r="94" spans="1:7" x14ac:dyDescent="0.25">
      <c r="A94" s="5" t="s">
        <v>100</v>
      </c>
      <c r="B94" s="5" t="s">
        <v>293</v>
      </c>
      <c r="C94" s="26">
        <f>IFERROR(VLOOKUP($B94,DGE_p!$B$2:$AG$157,32,FALSE),"")</f>
        <v>42.821357727050781</v>
      </c>
      <c r="D94" s="26">
        <f>IFERROR(VLOOKUP($B94,MIMIC_p!$B$2:$AG$157,32,FALSE),"")</f>
        <v>44.293082150545985</v>
      </c>
      <c r="E94" s="26">
        <f>IFERROR(VLOOKUP($B94,SEMP_p!$B$2:$AG$157,32,FALSE),"")</f>
        <v>81.949996948242188</v>
      </c>
      <c r="F94" s="26">
        <f>IFERROR(VLOOKUP($B94,Infemp_p!$B$2:$AG$157,32,FALSE),"")</f>
        <v>90.77</v>
      </c>
      <c r="G94" s="26">
        <f>IFERROR(VLOOKUP($B94,Infsize_p!$B$2:$AG$157,32,FALSE),"")</f>
        <v>82.856666666666669</v>
      </c>
    </row>
    <row r="95" spans="1:7" x14ac:dyDescent="0.25">
      <c r="A95" s="5" t="s">
        <v>105</v>
      </c>
      <c r="B95" s="5" t="s">
        <v>298</v>
      </c>
      <c r="C95" s="26">
        <f>IFERROR(VLOOKUP($B95,DGE_p!$B$2:$AG$157,32,FALSE),"")</f>
        <v>28.903561852195047</v>
      </c>
      <c r="D95" s="26">
        <f>IFERROR(VLOOKUP($B95,MIMIC_p!$B$2:$AG$157,32,FALSE),"")</f>
        <v>30.594386534257367</v>
      </c>
      <c r="E95" s="26">
        <f>IFERROR(VLOOKUP($B95,SEMP_p!$B$2:$AG$157,32,FALSE),"")</f>
        <v>12.821566408330744</v>
      </c>
      <c r="F95" s="26" t="str">
        <f>IFERROR(VLOOKUP($B95,Infemp_p!$B$2:$AG$157,32,FALSE),"")</f>
        <v/>
      </c>
      <c r="G95" s="26" t="str">
        <f>IFERROR(VLOOKUP($B95,Infsize_p!$B$2:$AG$157,32,FALSE),"")</f>
        <v/>
      </c>
    </row>
    <row r="96" spans="1:7" x14ac:dyDescent="0.25">
      <c r="A96" s="5" t="s">
        <v>106</v>
      </c>
      <c r="B96" s="5" t="s">
        <v>299</v>
      </c>
      <c r="C96" s="26">
        <f>IFERROR(VLOOKUP($B96,DGE_p!$B$2:$AG$157,32,FALSE),"")</f>
        <v>9.2847306511618868</v>
      </c>
      <c r="D96" s="26">
        <f>IFERROR(VLOOKUP($B96,MIMIC_p!$B$2:$AG$157,32,FALSE),"")</f>
        <v>10.13168681751598</v>
      </c>
      <c r="E96" s="26">
        <f>IFERROR(VLOOKUP($B96,SEMP_p!$B$2:$AG$157,32,FALSE),"")</f>
        <v>8.2687393968755547</v>
      </c>
      <c r="F96" s="26" t="str">
        <f>IFERROR(VLOOKUP($B96,Infemp_p!$B$2:$AG$157,32,FALSE),"")</f>
        <v/>
      </c>
      <c r="G96" s="26" t="str">
        <f>IFERROR(VLOOKUP($B96,Infsize_p!$B$2:$AG$157,32,FALSE),"")</f>
        <v/>
      </c>
    </row>
    <row r="97" spans="1:7" x14ac:dyDescent="0.25">
      <c r="A97" s="5" t="s">
        <v>110</v>
      </c>
      <c r="B97" s="5" t="s">
        <v>303</v>
      </c>
      <c r="C97" s="26">
        <f>IFERROR(VLOOKUP($B97,DGE_p!$B$2:$AG$157,32,FALSE),"")</f>
        <v>37.596405376087539</v>
      </c>
      <c r="D97" s="26">
        <f>IFERROR(VLOOKUP($B97,MIMIC_p!$B$2:$AG$157,32,FALSE),"")</f>
        <v>42.280774203213781</v>
      </c>
      <c r="E97" s="26">
        <f>IFERROR(VLOOKUP($B97,SEMP_p!$B$2:$AG$157,32,FALSE),"")</f>
        <v>88.566668192545578</v>
      </c>
      <c r="F97" s="26">
        <f>IFERROR(VLOOKUP($B97,Infemp_p!$B$2:$AG$157,32,FALSE),"")</f>
        <v>95.2</v>
      </c>
      <c r="G97" s="26">
        <f>IFERROR(VLOOKUP($B97,Infsize_p!$B$2:$AG$157,32,FALSE),"")</f>
        <v>90.335000000000008</v>
      </c>
    </row>
    <row r="98" spans="1:7" x14ac:dyDescent="0.25">
      <c r="A98" s="5" t="s">
        <v>122</v>
      </c>
      <c r="B98" s="5" t="s">
        <v>316</v>
      </c>
      <c r="C98" s="26">
        <f>IFERROR(VLOOKUP($B98,DGE_p!$B$2:$AG$157,32,FALSE),"")</f>
        <v>39.946496443314985</v>
      </c>
      <c r="D98" s="26">
        <f>IFERROR(VLOOKUP($B98,MIMIC_p!$B$2:$AG$157,32,FALSE),"")</f>
        <v>38.968260331587359</v>
      </c>
      <c r="E98" s="26">
        <f>IFERROR(VLOOKUP($B98,SEMP_p!$B$2:$AG$157,32,FALSE),"")</f>
        <v>53.779822485787527</v>
      </c>
      <c r="F98" s="26" t="str">
        <f>IFERROR(VLOOKUP($B98,Infemp_p!$B$2:$AG$157,32,FALSE),"")</f>
        <v/>
      </c>
      <c r="G98" s="26" t="str">
        <f>IFERROR(VLOOKUP($B98,Infsize_p!$B$2:$AG$157,32,FALSE),"")</f>
        <v/>
      </c>
    </row>
    <row r="99" spans="1:7" x14ac:dyDescent="0.25">
      <c r="A99" s="5" t="s">
        <v>123</v>
      </c>
      <c r="B99" s="5" t="s">
        <v>317</v>
      </c>
      <c r="C99" s="26">
        <f>IFERROR(VLOOKUP($B99,DGE_p!$B$2:$AG$157,32,FALSE),"")</f>
        <v>29.044341347434305</v>
      </c>
      <c r="D99" s="26">
        <f>IFERROR(VLOOKUP($B99,MIMIC_p!$B$2:$AG$157,32,FALSE),"")</f>
        <v>31.009294683283027</v>
      </c>
      <c r="E99" s="26">
        <f>IFERROR(VLOOKUP($B99,SEMP_p!$B$2:$AG$157,32,FALSE),"")</f>
        <v>25.180000114440919</v>
      </c>
      <c r="F99" s="26" t="str">
        <f>IFERROR(VLOOKUP($B99,Infemp_p!$B$2:$AG$157,32,FALSE),"")</f>
        <v/>
      </c>
      <c r="G99" s="26" t="str">
        <f>IFERROR(VLOOKUP($B99,Infsize_p!$B$2:$AG$157,32,FALSE),"")</f>
        <v/>
      </c>
    </row>
    <row r="100" spans="1:7" x14ac:dyDescent="0.25">
      <c r="A100" s="5" t="s">
        <v>111</v>
      </c>
      <c r="B100" s="5" t="s">
        <v>304</v>
      </c>
      <c r="C100" s="26">
        <f>IFERROR(VLOOKUP($B100,DGE_p!$B$2:$AG$157,32,FALSE),"")</f>
        <v>26.688775322654031</v>
      </c>
      <c r="D100" s="26">
        <f>IFERROR(VLOOKUP($B100,MIMIC_p!$B$2:$AG$157,32,FALSE),"")</f>
        <v>30.196203751997515</v>
      </c>
      <c r="E100" s="26">
        <f>IFERROR(VLOOKUP($B100,SEMP_p!$B$2:$AG$157,32,FALSE),"")</f>
        <v>30.5</v>
      </c>
      <c r="F100" s="26" t="str">
        <f>IFERROR(VLOOKUP($B100,Infemp_p!$B$2:$AG$157,32,FALSE),"")</f>
        <v/>
      </c>
      <c r="G100" s="26" t="str">
        <f>IFERROR(VLOOKUP($B100,Infsize_p!$B$2:$AG$157,32,FALSE),"")</f>
        <v/>
      </c>
    </row>
    <row r="101" spans="1:7" x14ac:dyDescent="0.25">
      <c r="A101" s="5" t="s">
        <v>114</v>
      </c>
      <c r="B101" s="5" t="s">
        <v>308</v>
      </c>
      <c r="C101" s="26">
        <f>IFERROR(VLOOKUP($B101,DGE_p!$B$2:$AG$157,32,FALSE),"")</f>
        <v>38.281873529607601</v>
      </c>
      <c r="D101" s="26">
        <f>IFERROR(VLOOKUP($B101,MIMIC_p!$B$2:$AG$157,32,FALSE),"")</f>
        <v>40.023031408136539</v>
      </c>
      <c r="E101" s="26">
        <f>IFERROR(VLOOKUP($B101,SEMP_p!$B$2:$AG$157,32,FALSE),"")</f>
        <v>85.400001525878906</v>
      </c>
      <c r="F101" s="26">
        <f>IFERROR(VLOOKUP($B101,Infemp_p!$B$2:$AG$157,32,FALSE),"")</f>
        <v>93.773333333333326</v>
      </c>
      <c r="G101" s="26">
        <f>IFERROR(VLOOKUP($B101,Infsize_p!$B$2:$AG$157,32,FALSE),"")</f>
        <v>84.896666666666661</v>
      </c>
    </row>
    <row r="102" spans="1:7" x14ac:dyDescent="0.25">
      <c r="A102" s="5" t="s">
        <v>115</v>
      </c>
      <c r="B102" s="5" t="s">
        <v>309</v>
      </c>
      <c r="C102" s="26">
        <f>IFERROR(VLOOKUP($B102,DGE_p!$B$2:$AG$157,32,FALSE),"")</f>
        <v>26.070362611250445</v>
      </c>
      <c r="D102" s="26">
        <f>IFERROR(VLOOKUP($B102,MIMIC_p!$B$2:$AG$157,32,FALSE),"")</f>
        <v>26.844630674882367</v>
      </c>
      <c r="E102" s="26">
        <f>IFERROR(VLOOKUP($B102,SEMP_p!$B$2:$AG$157,32,FALSE),"")</f>
        <v>13.80374813079834</v>
      </c>
      <c r="F102" s="26" t="str">
        <f>IFERROR(VLOOKUP($B102,Infemp_p!$B$2:$AG$157,32,FALSE),"")</f>
        <v/>
      </c>
      <c r="G102" s="26" t="str">
        <f>IFERROR(VLOOKUP($B102,Infsize_p!$B$2:$AG$157,32,FALSE),"")</f>
        <v/>
      </c>
    </row>
    <row r="103" spans="1:7" x14ac:dyDescent="0.25">
      <c r="A103" s="5" t="s">
        <v>113</v>
      </c>
      <c r="B103" s="5" t="s">
        <v>306</v>
      </c>
      <c r="C103" s="26" t="str">
        <f>IFERROR(VLOOKUP($B103,DGE_p!$B$2:$AG$157,32,FALSE),"")</f>
        <v/>
      </c>
      <c r="D103" s="26" t="str">
        <f>IFERROR(VLOOKUP($B103,MIMIC_p!$B$2:$AG$157,32,FALSE),"")</f>
        <v/>
      </c>
      <c r="E103" s="26" t="str">
        <f>IFERROR(VLOOKUP($B103,SEMP_p!$B$2:$AG$157,32,FALSE),"")</f>
        <v/>
      </c>
      <c r="F103" s="26" t="str">
        <f>IFERROR(VLOOKUP($B103,Infemp_p!$B$2:$AG$157,32,FALSE),"")</f>
        <v/>
      </c>
      <c r="G103" s="26" t="str">
        <f>IFERROR(VLOOKUP($B103,Infsize_p!$B$2:$AG$157,32,FALSE),"")</f>
        <v/>
      </c>
    </row>
    <row r="104" spans="1:7" x14ac:dyDescent="0.25">
      <c r="A104" s="5" t="s">
        <v>121</v>
      </c>
      <c r="B104" s="5" t="s">
        <v>315</v>
      </c>
      <c r="C104" s="26">
        <f>IFERROR(VLOOKUP($B104,DGE_p!$B$2:$AG$157,32,FALSE),"")</f>
        <v>21.232642260464754</v>
      </c>
      <c r="D104" s="26">
        <f>IFERROR(VLOOKUP($B104,MIMIC_p!$B$2:$AG$157,32,FALSE),"")</f>
        <v>21.845623016357422</v>
      </c>
      <c r="E104" s="26">
        <f>IFERROR(VLOOKUP($B104,SEMP_p!$B$2:$AG$157,32,FALSE),"")</f>
        <v>19.75</v>
      </c>
      <c r="F104" s="26">
        <f>IFERROR(VLOOKUP($B104,Infemp_p!$B$2:$AG$157,32,FALSE),"")</f>
        <v>52.717500000000001</v>
      </c>
      <c r="G104" s="26">
        <f>IFERROR(VLOOKUP($B104,Infsize_p!$B$2:$AG$157,32,FALSE),"")</f>
        <v>39.877499999999998</v>
      </c>
    </row>
    <row r="105" spans="1:7" x14ac:dyDescent="0.25">
      <c r="A105" s="5" t="s">
        <v>112</v>
      </c>
      <c r="B105" s="5" t="s">
        <v>305</v>
      </c>
      <c r="C105" s="26">
        <f>IFERROR(VLOOKUP($B105,DGE_p!$B$2:$AG$157,32,FALSE),"")</f>
        <v>28.352978793057527</v>
      </c>
      <c r="D105" s="26">
        <f>IFERROR(VLOOKUP($B105,MIMIC_p!$B$2:$AG$157,32,FALSE),"")</f>
        <v>30.760864777998492</v>
      </c>
      <c r="E105" s="26">
        <f>IFERROR(VLOOKUP($B105,SEMP_p!$B$2:$AG$157,32,FALSE),"")</f>
        <v>33.624104933305219</v>
      </c>
      <c r="F105" s="26" t="str">
        <f>IFERROR(VLOOKUP($B105,Infemp_p!$B$2:$AG$157,32,FALSE),"")</f>
        <v/>
      </c>
      <c r="G105" s="26" t="str">
        <f>IFERROR(VLOOKUP($B105,Infsize_p!$B$2:$AG$157,32,FALSE),"")</f>
        <v/>
      </c>
    </row>
    <row r="106" spans="1:7" x14ac:dyDescent="0.25">
      <c r="A106" s="5" t="s">
        <v>109</v>
      </c>
      <c r="B106" s="5" t="s">
        <v>302</v>
      </c>
      <c r="C106" s="26">
        <f>IFERROR(VLOOKUP($B106,DGE_p!$B$2:$AG$157,32,FALSE),"")</f>
        <v>43.252531225031071</v>
      </c>
      <c r="D106" s="26">
        <f>IFERROR(VLOOKUP($B106,MIMIC_p!$B$2:$AG$157,32,FALSE),"")</f>
        <v>42.761728113347836</v>
      </c>
      <c r="E106" s="26">
        <f>IFERROR(VLOOKUP($B106,SEMP_p!$B$2:$AG$157,32,FALSE),"")</f>
        <v>31.912815440784801</v>
      </c>
      <c r="F106" s="26" t="str">
        <f>IFERROR(VLOOKUP($B106,Infemp_p!$B$2:$AG$157,32,FALSE),"")</f>
        <v/>
      </c>
      <c r="G106" s="26" t="str">
        <f>IFERROR(VLOOKUP($B106,Infsize_p!$B$2:$AG$157,32,FALSE),"")</f>
        <v/>
      </c>
    </row>
    <row r="107" spans="1:7" x14ac:dyDescent="0.25">
      <c r="A107" s="5" t="s">
        <v>118</v>
      </c>
      <c r="B107" s="5" t="s">
        <v>312</v>
      </c>
      <c r="C107" s="26">
        <f>IFERROR(VLOOKUP($B107,DGE_p!$B$2:$AG$157,32,FALSE),"")</f>
        <v>16.178760008378461</v>
      </c>
      <c r="D107" s="26">
        <f>IFERROR(VLOOKUP($B107,MIMIC_p!$B$2:$AG$157,32,FALSE),"")</f>
        <v>17.464862650090996</v>
      </c>
      <c r="E107" s="26">
        <f>IFERROR(VLOOKUP($B107,SEMP_p!$B$2:$AG$157,32,FALSE),"")</f>
        <v>55.366571214463974</v>
      </c>
      <c r="F107" s="26">
        <f>IFERROR(VLOOKUP($B107,Infemp_p!$B$2:$AG$157,32,FALSE),"")</f>
        <v>52.296250000000008</v>
      </c>
      <c r="G107" s="26">
        <f>IFERROR(VLOOKUP($B107,Infsize_p!$B$2:$AG$157,32,FALSE),"")</f>
        <v>48.262500000000003</v>
      </c>
    </row>
    <row r="108" spans="1:7" x14ac:dyDescent="0.25">
      <c r="A108" s="5" t="s">
        <v>117</v>
      </c>
      <c r="B108" s="5" t="s">
        <v>311</v>
      </c>
      <c r="C108" s="26" t="str">
        <f>IFERROR(VLOOKUP($B108,DGE_p!$B$2:$AG$157,32,FALSE),"")</f>
        <v/>
      </c>
      <c r="D108" s="26" t="str">
        <f>IFERROR(VLOOKUP($B108,MIMIC_p!$B$2:$AG$157,32,FALSE),"")</f>
        <v/>
      </c>
      <c r="E108" s="26">
        <f>IFERROR(VLOOKUP($B108,SEMP_p!$B$2:$AG$157,32,FALSE),"")</f>
        <v>18.595416450500487</v>
      </c>
      <c r="F108" s="26" t="str">
        <f>IFERROR(VLOOKUP($B108,Infemp_p!$B$2:$AG$157,32,FALSE),"")</f>
        <v/>
      </c>
      <c r="G108" s="26" t="str">
        <f>IFERROR(VLOOKUP($B108,Infsize_p!$B$2:$AG$157,32,FALSE),"")</f>
        <v/>
      </c>
    </row>
    <row r="109" spans="1:7" x14ac:dyDescent="0.25">
      <c r="A109" s="5" t="s">
        <v>108</v>
      </c>
      <c r="B109" s="5" t="s">
        <v>301</v>
      </c>
      <c r="C109" s="26">
        <f>IFERROR(VLOOKUP($B109,DGE_p!$B$2:$AG$157,32,FALSE),"")</f>
        <v>32.358595067804508</v>
      </c>
      <c r="D109" s="26">
        <f>IFERROR(VLOOKUP($B109,MIMIC_p!$B$2:$AG$157,32,FALSE),"")</f>
        <v>34.795420906760476</v>
      </c>
      <c r="E109" s="26">
        <f>IFERROR(VLOOKUP($B109,SEMP_p!$B$2:$AG$157,32,FALSE),"")</f>
        <v>55.931698885830968</v>
      </c>
      <c r="F109" s="26" t="str">
        <f>IFERROR(VLOOKUP($B109,Infemp_p!$B$2:$AG$157,32,FALSE),"")</f>
        <v/>
      </c>
      <c r="G109" s="26" t="str">
        <f>IFERROR(VLOOKUP($B109,Infsize_p!$B$2:$AG$157,32,FALSE),"")</f>
        <v/>
      </c>
    </row>
    <row r="110" spans="1:7" x14ac:dyDescent="0.25">
      <c r="A110" s="5" t="s">
        <v>119</v>
      </c>
      <c r="B110" s="5" t="s">
        <v>313</v>
      </c>
      <c r="C110" s="26">
        <f>IFERROR(VLOOKUP($B110,DGE_p!$B$2:$AG$157,32,FALSE),"")</f>
        <v>34.23085455460982</v>
      </c>
      <c r="D110" s="26">
        <f>IFERROR(VLOOKUP($B110,MIMIC_p!$B$2:$AG$157,32,FALSE),"")</f>
        <v>38.734640294855289</v>
      </c>
      <c r="E110" s="26" t="str">
        <f>IFERROR(VLOOKUP($B110,SEMP_p!$B$2:$AG$157,32,FALSE),"")</f>
        <v/>
      </c>
      <c r="F110" s="26">
        <f>IFERROR(VLOOKUP($B110,Infemp_p!$B$2:$AG$157,32,FALSE),"")</f>
        <v>95.67</v>
      </c>
      <c r="G110" s="26">
        <f>IFERROR(VLOOKUP($B110,Infsize_p!$B$2:$AG$157,32,FALSE),"")</f>
        <v>92.07</v>
      </c>
    </row>
    <row r="111" spans="1:7" x14ac:dyDescent="0.25">
      <c r="A111" s="5" t="s">
        <v>116</v>
      </c>
      <c r="B111" s="5" t="s">
        <v>310</v>
      </c>
      <c r="C111" s="26">
        <f>IFERROR(VLOOKUP($B111,DGE_p!$B$2:$AG$157,32,FALSE),"")</f>
        <v>36.703982786698774</v>
      </c>
      <c r="D111" s="26">
        <f>IFERROR(VLOOKUP($B111,MIMIC_p!$B$2:$AG$157,32,FALSE),"")</f>
        <v>49.887140100652523</v>
      </c>
      <c r="E111" s="26">
        <f>IFERROR(VLOOKUP($B111,SEMP_p!$B$2:$AG$157,32,FALSE),"")</f>
        <v>61.366666158040367</v>
      </c>
      <c r="F111" s="26">
        <f>IFERROR(VLOOKUP($B111,Infemp_p!$B$2:$AG$157,32,FALSE),"")</f>
        <v>82.56</v>
      </c>
      <c r="G111" s="26">
        <f>IFERROR(VLOOKUP($B111,Infsize_p!$B$2:$AG$157,32,FALSE),"")</f>
        <v>70.349999999999994</v>
      </c>
    </row>
    <row r="112" spans="1:7" x14ac:dyDescent="0.25">
      <c r="A112" s="5" t="s">
        <v>124</v>
      </c>
      <c r="B112" s="5" t="s">
        <v>318</v>
      </c>
      <c r="C112" s="26">
        <f>IFERROR(VLOOKUP($B112,DGE_p!$B$2:$AG$157,32,FALSE),"")</f>
        <v>26.897421576760031</v>
      </c>
      <c r="D112" s="26">
        <f>IFERROR(VLOOKUP($B112,MIMIC_p!$B$2:$AG$157,32,FALSE),"")</f>
        <v>29.967423005537555</v>
      </c>
      <c r="E112" s="26">
        <f>IFERROR(VLOOKUP($B112,SEMP_p!$B$2:$AG$157,32,FALSE),"")</f>
        <v>31.7</v>
      </c>
      <c r="F112" s="26">
        <f>IFERROR(VLOOKUP($B112,Infemp_p!$B$2:$AG$157,32,FALSE),"")</f>
        <v>56.686666666666667</v>
      </c>
      <c r="G112" s="26">
        <f>IFERROR(VLOOKUP($B112,Infsize_p!$B$2:$AG$157,32,FALSE),"")</f>
        <v>57.76</v>
      </c>
    </row>
    <row r="113" spans="1:7" x14ac:dyDescent="0.25">
      <c r="A113" s="5" t="s">
        <v>131</v>
      </c>
      <c r="B113" s="5" t="s">
        <v>325</v>
      </c>
      <c r="C113" s="26">
        <f>IFERROR(VLOOKUP($B113,DGE_p!$B$2:$AG$157,32,FALSE),"")</f>
        <v>35.096770199862391</v>
      </c>
      <c r="D113" s="26">
        <f>IFERROR(VLOOKUP($B113,MIMIC_p!$B$2:$AG$157,32,FALSE),"")</f>
        <v>36.476660294966265</v>
      </c>
      <c r="E113" s="26">
        <f>IFERROR(VLOOKUP($B113,SEMP_p!$B$2:$AG$157,32,FALSE),"")</f>
        <v>74</v>
      </c>
      <c r="F113" s="26">
        <f>IFERROR(VLOOKUP($B113,Infemp_p!$B$2:$AG$157,32,FALSE),"")</f>
        <v>99.65</v>
      </c>
      <c r="G113" s="26">
        <f>IFERROR(VLOOKUP($B113,Infsize_p!$B$2:$AG$157,32,FALSE),"")</f>
        <v>90.94</v>
      </c>
    </row>
    <row r="114" spans="1:7" x14ac:dyDescent="0.25">
      <c r="A114" s="5" t="s">
        <v>129</v>
      </c>
      <c r="B114" s="5" t="s">
        <v>323</v>
      </c>
      <c r="C114" s="26">
        <f>IFERROR(VLOOKUP($B114,DGE_p!$B$2:$AG$157,32,FALSE),"")</f>
        <v>12.803363626653498</v>
      </c>
      <c r="D114" s="26">
        <f>IFERROR(VLOOKUP($B114,MIMIC_p!$B$2:$AG$157,32,FALSE),"")</f>
        <v>13.468471613797275</v>
      </c>
      <c r="E114" s="26">
        <f>IFERROR(VLOOKUP($B114,SEMP_p!$B$2:$AG$157,32,FALSE),"")</f>
        <v>15.085268280722879</v>
      </c>
      <c r="F114" s="26" t="str">
        <f>IFERROR(VLOOKUP($B114,Infemp_p!$B$2:$AG$157,32,FALSE),"")</f>
        <v/>
      </c>
      <c r="G114" s="26" t="str">
        <f>IFERROR(VLOOKUP($B114,Infsize_p!$B$2:$AG$157,32,FALSE),"")</f>
        <v/>
      </c>
    </row>
    <row r="115" spans="1:7" x14ac:dyDescent="0.25">
      <c r="A115" s="5" t="s">
        <v>125</v>
      </c>
      <c r="B115" s="5" t="s">
        <v>319</v>
      </c>
      <c r="C115" s="26" t="str">
        <f>IFERROR(VLOOKUP($B115,DGE_p!$B$2:$AG$157,32,FALSE),"")</f>
        <v/>
      </c>
      <c r="D115" s="26" t="str">
        <f>IFERROR(VLOOKUP($B115,MIMIC_p!$B$2:$AG$157,32,FALSE),"")</f>
        <v/>
      </c>
      <c r="E115" s="26" t="str">
        <f>IFERROR(VLOOKUP($B115,SEMP_p!$B$2:$AG$157,32,FALSE),"")</f>
        <v/>
      </c>
      <c r="F115" s="26" t="str">
        <f>IFERROR(VLOOKUP($B115,Infemp_p!$B$2:$AG$157,32,FALSE),"")</f>
        <v/>
      </c>
      <c r="G115" s="26" t="str">
        <f>IFERROR(VLOOKUP($B115,Infsize_p!$B$2:$AG$157,32,FALSE),"")</f>
        <v/>
      </c>
    </row>
    <row r="116" spans="1:7" x14ac:dyDescent="0.25">
      <c r="A116" s="5" t="s">
        <v>132</v>
      </c>
      <c r="B116" s="5" t="s">
        <v>326</v>
      </c>
      <c r="C116" s="26">
        <f>IFERROR(VLOOKUP($B116,DGE_p!$B$2:$AG$157,32,FALSE),"")</f>
        <v>11.788192749023438</v>
      </c>
      <c r="D116" s="26">
        <f>IFERROR(VLOOKUP($B116,MIMIC_p!$B$2:$AG$157,32,FALSE),"")</f>
        <v>12.443246754732998</v>
      </c>
      <c r="E116" s="26">
        <f>IFERROR(VLOOKUP($B116,SEMP_p!$B$2:$AG$157,32,FALSE),"")</f>
        <v>16.560247681357644</v>
      </c>
      <c r="F116" s="26" t="str">
        <f>IFERROR(VLOOKUP($B116,Infemp_p!$B$2:$AG$157,32,FALSE),"")</f>
        <v/>
      </c>
      <c r="G116" s="26" t="str">
        <f>IFERROR(VLOOKUP($B116,Infsize_p!$B$2:$AG$157,32,FALSE),"")</f>
        <v/>
      </c>
    </row>
    <row r="117" spans="1:7" x14ac:dyDescent="0.25">
      <c r="A117" s="5" t="s">
        <v>128</v>
      </c>
      <c r="B117" s="5" t="s">
        <v>322</v>
      </c>
      <c r="C117" s="26">
        <f>IFERROR(VLOOKUP($B117,DGE_p!$B$2:$AG$157,32,FALSE),"")</f>
        <v>42.751391670920633</v>
      </c>
      <c r="D117" s="26">
        <f>IFERROR(VLOOKUP($B117,MIMIC_p!$B$2:$AG$157,32,FALSE),"")</f>
        <v>45.153156280517578</v>
      </c>
      <c r="E117" s="26">
        <f>IFERROR(VLOOKUP($B117,SEMP_p!$B$2:$AG$157,32,FALSE),"")</f>
        <v>51.450496673583984</v>
      </c>
      <c r="F117" s="26">
        <f>IFERROR(VLOOKUP($B117,Infemp_p!$B$2:$AG$157,32,FALSE),"")</f>
        <v>81.790000000000006</v>
      </c>
      <c r="G117" s="26">
        <f>IFERROR(VLOOKUP($B117,Infsize_p!$B$2:$AG$157,32,FALSE),"")</f>
        <v>74.88</v>
      </c>
    </row>
    <row r="118" spans="1:7" x14ac:dyDescent="0.25">
      <c r="A118" s="5" t="s">
        <v>126</v>
      </c>
      <c r="B118" s="5" t="s">
        <v>320</v>
      </c>
      <c r="C118" s="26">
        <f>IFERROR(VLOOKUP($B118,DGE_p!$B$2:$AG$157,32,FALSE),"")</f>
        <v>37.839456038041547</v>
      </c>
      <c r="D118" s="26">
        <f>IFERROR(VLOOKUP($B118,MIMIC_p!$B$2:$AG$157,32,FALSE),"")</f>
        <v>41.466363733465023</v>
      </c>
      <c r="E118" s="26">
        <f>IFERROR(VLOOKUP($B118,SEMP_p!$B$2:$AG$157,32,FALSE),"")</f>
        <v>85.400001525878906</v>
      </c>
      <c r="F118" s="26">
        <f>IFERROR(VLOOKUP($B118,Infemp_p!$B$2:$AG$157,32,FALSE),"")</f>
        <v>95.38</v>
      </c>
      <c r="G118" s="26">
        <f>IFERROR(VLOOKUP($B118,Infsize_p!$B$2:$AG$157,32,FALSE),"")</f>
        <v>93.25</v>
      </c>
    </row>
    <row r="119" spans="1:7" x14ac:dyDescent="0.25">
      <c r="A119" s="5" t="s">
        <v>127</v>
      </c>
      <c r="B119" s="5" t="s">
        <v>321</v>
      </c>
      <c r="C119" s="26">
        <f>IFERROR(VLOOKUP($B119,DGE_p!$B$2:$AG$157,32,FALSE),"")</f>
        <v>51.424292824485086</v>
      </c>
      <c r="D119" s="26">
        <f>IFERROR(VLOOKUP($B119,MIMIC_p!$B$2:$AG$157,32,FALSE),"")</f>
        <v>56.231235504150391</v>
      </c>
      <c r="E119" s="26">
        <f>IFERROR(VLOOKUP($B119,SEMP_p!$B$2:$AG$157,32,FALSE),"")</f>
        <v>38.798200607299805</v>
      </c>
      <c r="F119" s="26" t="str">
        <f>IFERROR(VLOOKUP($B119,Infemp_p!$B$2:$AG$157,32,FALSE),"")</f>
        <v/>
      </c>
      <c r="G119" s="26" t="str">
        <f>IFERROR(VLOOKUP($B119,Infsize_p!$B$2:$AG$157,32,FALSE),"")</f>
        <v/>
      </c>
    </row>
    <row r="120" spans="1:7" x14ac:dyDescent="0.25">
      <c r="A120" s="5" t="s">
        <v>408</v>
      </c>
      <c r="B120" s="5" t="s">
        <v>307</v>
      </c>
      <c r="C120" s="26">
        <f>IFERROR(VLOOKUP($B120,DGE_p!$B$2:$AG$157,32,FALSE),"")</f>
        <v>34.624726035378195</v>
      </c>
      <c r="D120" s="26">
        <f>IFERROR(VLOOKUP($B120,MIMIC_p!$B$2:$AG$157,32,FALSE),"")</f>
        <v>36.29201958396218</v>
      </c>
      <c r="E120" s="26">
        <f>IFERROR(VLOOKUP($B120,SEMP_p!$B$2:$AG$157,32,FALSE),"")</f>
        <v>27.867917320945047</v>
      </c>
      <c r="F120" s="26" t="str">
        <f>IFERROR(VLOOKUP($B120,Infemp_p!$B$2:$AG$157,32,FALSE),"")</f>
        <v/>
      </c>
      <c r="G120" s="26" t="str">
        <f>IFERROR(VLOOKUP($B120,Infsize_p!$B$2:$AG$157,32,FALSE),"")</f>
        <v/>
      </c>
    </row>
    <row r="121" spans="1:7" x14ac:dyDescent="0.25">
      <c r="A121" s="5" t="s">
        <v>130</v>
      </c>
      <c r="B121" s="5" t="s">
        <v>324</v>
      </c>
      <c r="C121" s="26">
        <f>IFERROR(VLOOKUP($B121,DGE_p!$B$2:$AG$157,32,FALSE),"")</f>
        <v>17.681003917347301</v>
      </c>
      <c r="D121" s="26">
        <f>IFERROR(VLOOKUP($B121,MIMIC_p!$B$2:$AG$157,32,FALSE),"")</f>
        <v>18.827102314342152</v>
      </c>
      <c r="E121" s="26">
        <f>IFERROR(VLOOKUP($B121,SEMP_p!$B$2:$AG$157,32,FALSE),"")</f>
        <v>7.5119034160267226</v>
      </c>
      <c r="F121" s="26" t="str">
        <f>IFERROR(VLOOKUP($B121,Infemp_p!$B$2:$AG$157,32,FALSE),"")</f>
        <v/>
      </c>
      <c r="G121" s="26" t="str">
        <f>IFERROR(VLOOKUP($B121,Infsize_p!$B$2:$AG$157,32,FALSE),"")</f>
        <v/>
      </c>
    </row>
    <row r="122" spans="1:7" x14ac:dyDescent="0.25">
      <c r="A122" s="5" t="s">
        <v>133</v>
      </c>
      <c r="B122" s="5" t="s">
        <v>327</v>
      </c>
      <c r="C122" s="26">
        <f>IFERROR(VLOOKUP($B122,DGE_p!$B$2:$AG$157,32,FALSE),"")</f>
        <v>17.751391670920633</v>
      </c>
      <c r="D122" s="26">
        <f>IFERROR(VLOOKUP($B122,MIMIC_p!$B$2:$AG$157,32,FALSE),"")</f>
        <v>19.049263000488281</v>
      </c>
      <c r="E122" s="26">
        <f>IFERROR(VLOOKUP($B122,SEMP_p!$B$2:$AG$157,32,FALSE),"")</f>
        <v>3.5</v>
      </c>
      <c r="F122" s="26" t="str">
        <f>IFERROR(VLOOKUP($B122,Infemp_p!$B$2:$AG$157,32,FALSE),"")</f>
        <v/>
      </c>
      <c r="G122" s="26" t="str">
        <f>IFERROR(VLOOKUP($B122,Infsize_p!$B$2:$AG$157,32,FALSE),"")</f>
        <v/>
      </c>
    </row>
    <row r="123" spans="1:7" x14ac:dyDescent="0.25">
      <c r="A123" s="5" t="s">
        <v>134</v>
      </c>
      <c r="B123" s="5" t="s">
        <v>328</v>
      </c>
      <c r="C123" s="26">
        <f>IFERROR(VLOOKUP($B123,DGE_p!$B$2:$AG$157,32,FALSE),"")</f>
        <v>33.427989266135476</v>
      </c>
      <c r="D123" s="26">
        <f>IFERROR(VLOOKUP($B123,MIMIC_p!$B$2:$AG$157,32,FALSE),"")</f>
        <v>35.321059487082742</v>
      </c>
      <c r="E123" s="26">
        <f>IFERROR(VLOOKUP($B123,SEMP_p!$B$2:$AG$157,32,FALSE),"")</f>
        <v>62.748000717163087</v>
      </c>
      <c r="F123" s="26">
        <f>IFERROR(VLOOKUP($B123,Infemp_p!$B$2:$AG$157,32,FALSE),"")</f>
        <v>82.056666666666658</v>
      </c>
      <c r="G123" s="26">
        <f>IFERROR(VLOOKUP($B123,Infsize_p!$B$2:$AG$157,32,FALSE),"")</f>
        <v>82.766666666666666</v>
      </c>
    </row>
    <row r="124" spans="1:7" x14ac:dyDescent="0.25">
      <c r="A124" s="5" t="s">
        <v>135</v>
      </c>
      <c r="B124" s="5" t="s">
        <v>329</v>
      </c>
      <c r="C124" s="26">
        <f>IFERROR(VLOOKUP($B124,DGE_p!$B$2:$AG$157,32,FALSE),"")</f>
        <v>55.646810358220883</v>
      </c>
      <c r="D124" s="26">
        <f>IFERROR(VLOOKUP($B124,MIMIC_p!$B$2:$AG$157,32,FALSE),"")</f>
        <v>59.70409670743075</v>
      </c>
      <c r="E124" s="26">
        <f>IFERROR(VLOOKUP($B124,SEMP_p!$B$2:$AG$157,32,FALSE),"")</f>
        <v>32.943454222245649</v>
      </c>
      <c r="F124" s="26">
        <f>IFERROR(VLOOKUP($B124,Infemp_p!$B$2:$AG$157,32,FALSE),"")</f>
        <v>47.45</v>
      </c>
      <c r="G124" s="26">
        <f>IFERROR(VLOOKUP($B124,Infsize_p!$B$2:$AG$157,32,FALSE),"")</f>
        <v>40.17</v>
      </c>
    </row>
    <row r="125" spans="1:7" x14ac:dyDescent="0.25">
      <c r="A125" s="5" t="s">
        <v>142</v>
      </c>
      <c r="B125" s="5" t="s">
        <v>336</v>
      </c>
      <c r="C125" s="26">
        <f>IFERROR(VLOOKUP($B125,DGE_p!$B$2:$AG$157,32,FALSE),"")</f>
        <v>36.969893022017047</v>
      </c>
      <c r="D125" s="26">
        <f>IFERROR(VLOOKUP($B125,MIMIC_p!$B$2:$AG$157,32,FALSE),"")</f>
        <v>37.128436001864344</v>
      </c>
      <c r="E125" s="26">
        <f>IFERROR(VLOOKUP($B125,SEMP_p!$B$2:$AG$157,32,FALSE),"")</f>
        <v>48.862545707009055</v>
      </c>
      <c r="F125" s="26">
        <f>IFERROR(VLOOKUP($B125,Infemp_p!$B$2:$AG$157,32,FALSE),"")</f>
        <v>74.056250000000006</v>
      </c>
      <c r="G125" s="26">
        <f>IFERROR(VLOOKUP($B125,Infsize_p!$B$2:$AG$157,32,FALSE),"")</f>
        <v>58.228749999999998</v>
      </c>
    </row>
    <row r="126" spans="1:7" x14ac:dyDescent="0.25">
      <c r="A126" s="5" t="s">
        <v>136</v>
      </c>
      <c r="B126" s="5" t="s">
        <v>330</v>
      </c>
      <c r="C126" s="26">
        <f>IFERROR(VLOOKUP($B126,DGE_p!$B$2:$AG$157,32,FALSE),"")</f>
        <v>50.765888907692649</v>
      </c>
      <c r="D126" s="26">
        <f>IFERROR(VLOOKUP($B126,MIMIC_p!$B$2:$AG$157,32,FALSE),"")</f>
        <v>56.638434323397547</v>
      </c>
      <c r="E126" s="26">
        <f>IFERROR(VLOOKUP($B126,SEMP_p!$B$2:$AG$157,32,FALSE),"")</f>
        <v>53.341090809215196</v>
      </c>
      <c r="F126" s="26">
        <f>IFERROR(VLOOKUP($B126,Infemp_p!$B$2:$AG$157,32,FALSE),"")</f>
        <v>76.182727272727277</v>
      </c>
      <c r="G126" s="26">
        <f>IFERROR(VLOOKUP($B126,Infsize_p!$B$2:$AG$157,32,FALSE),"")</f>
        <v>68.430000000000007</v>
      </c>
    </row>
    <row r="127" spans="1:7" x14ac:dyDescent="0.25">
      <c r="A127" s="5" t="s">
        <v>137</v>
      </c>
      <c r="B127" s="5" t="s">
        <v>331</v>
      </c>
      <c r="C127" s="26">
        <f>IFERROR(VLOOKUP($B127,DGE_p!$B$2:$AG$157,32,FALSE),"")</f>
        <v>37.64763780073686</v>
      </c>
      <c r="D127" s="26">
        <f>IFERROR(VLOOKUP($B127,MIMIC_p!$B$2:$AG$157,32,FALSE),"")</f>
        <v>39.809838381680578</v>
      </c>
      <c r="E127" s="26">
        <f>IFERROR(VLOOKUP($B127,SEMP_p!$B$2:$AG$157,32,FALSE),"")</f>
        <v>45.659999465942384</v>
      </c>
      <c r="F127" s="26" t="str">
        <f>IFERROR(VLOOKUP($B127,Infemp_p!$B$2:$AG$157,32,FALSE),"")</f>
        <v/>
      </c>
      <c r="G127" s="26" t="str">
        <f>IFERROR(VLOOKUP($B127,Infsize_p!$B$2:$AG$157,32,FALSE),"")</f>
        <v/>
      </c>
    </row>
    <row r="128" spans="1:7" x14ac:dyDescent="0.25">
      <c r="A128" s="5" t="s">
        <v>139</v>
      </c>
      <c r="B128" s="5" t="s">
        <v>333</v>
      </c>
      <c r="C128" s="26">
        <f>IFERROR(VLOOKUP($B128,DGE_p!$B$2:$AG$157,32,FALSE),"")</f>
        <v>25.114186547019266</v>
      </c>
      <c r="D128" s="26">
        <f>IFERROR(VLOOKUP($B128,MIMIC_p!$B$2:$AG$157,32,FALSE),"")</f>
        <v>26.361801320856269</v>
      </c>
      <c r="E128" s="26">
        <f>IFERROR(VLOOKUP($B128,SEMP_p!$B$2:$AG$157,32,FALSE),"")</f>
        <v>22.904532866044477</v>
      </c>
      <c r="F128" s="26" t="str">
        <f>IFERROR(VLOOKUP($B128,Infemp_p!$B$2:$AG$157,32,FALSE),"")</f>
        <v/>
      </c>
      <c r="G128" s="26" t="str">
        <f>IFERROR(VLOOKUP($B128,Infsize_p!$B$2:$AG$157,32,FALSE),"")</f>
        <v/>
      </c>
    </row>
    <row r="129" spans="1:7" x14ac:dyDescent="0.25">
      <c r="A129" s="5" t="s">
        <v>141</v>
      </c>
      <c r="B129" s="5" t="s">
        <v>335</v>
      </c>
      <c r="C129" s="26">
        <f>IFERROR(VLOOKUP($B129,DGE_p!$B$2:$AG$157,32,FALSE),"")</f>
        <v>22.614264921708539</v>
      </c>
      <c r="D129" s="26">
        <f>IFERROR(VLOOKUP($B129,MIMIC_p!$B$2:$AG$157,32,FALSE),"")</f>
        <v>22.956383271650836</v>
      </c>
      <c r="E129" s="26">
        <f>IFERROR(VLOOKUP($B129,SEMP_p!$B$2:$AG$157,32,FALSE),"")</f>
        <v>22.775781284679066</v>
      </c>
      <c r="F129" s="26" t="str">
        <f>IFERROR(VLOOKUP($B129,Infemp_p!$B$2:$AG$157,32,FALSE),"")</f>
        <v/>
      </c>
      <c r="G129" s="26" t="str">
        <f>IFERROR(VLOOKUP($B129,Infsize_p!$B$2:$AG$157,32,FALSE),"")</f>
        <v/>
      </c>
    </row>
    <row r="130" spans="1:7" x14ac:dyDescent="0.25">
      <c r="A130" s="5" t="s">
        <v>140</v>
      </c>
      <c r="B130" s="5" t="s">
        <v>334</v>
      </c>
      <c r="C130" s="26" t="str">
        <f>IFERROR(VLOOKUP($B130,DGE_p!$B$2:$AG$157,32,FALSE),"")</f>
        <v/>
      </c>
      <c r="D130" s="26" t="str">
        <f>IFERROR(VLOOKUP($B130,MIMIC_p!$B$2:$AG$157,32,FALSE),"")</f>
        <v/>
      </c>
      <c r="E130" s="26">
        <f>IFERROR(VLOOKUP($B130,SEMP_p!$B$2:$AG$157,32,FALSE),"")</f>
        <v>14.987500071525574</v>
      </c>
      <c r="F130" s="26" t="str">
        <f>IFERROR(VLOOKUP($B130,Infemp_p!$B$2:$AG$157,32,FALSE),"")</f>
        <v/>
      </c>
      <c r="G130" s="26" t="str">
        <f>IFERROR(VLOOKUP($B130,Infsize_p!$B$2:$AG$157,32,FALSE),"")</f>
        <v/>
      </c>
    </row>
    <row r="131" spans="1:7" x14ac:dyDescent="0.25">
      <c r="A131" s="5" t="s">
        <v>145</v>
      </c>
      <c r="B131" s="5" t="s">
        <v>339</v>
      </c>
      <c r="C131" s="26">
        <f>IFERROR(VLOOKUP($B131,DGE_p!$B$2:$AG$157,32,FALSE),"")</f>
        <v>17.467551664872602</v>
      </c>
      <c r="D131" s="26">
        <f>IFERROR(VLOOKUP($B131,MIMIC_p!$B$2:$AG$157,32,FALSE),"")</f>
        <v>18.056493759155273</v>
      </c>
      <c r="E131" s="26">
        <f>IFERROR(VLOOKUP($B131,SEMP_p!$B$2:$AG$157,32,FALSE),"")</f>
        <v>0.53567858537038171</v>
      </c>
      <c r="F131" s="26" t="str">
        <f>IFERROR(VLOOKUP($B131,Infemp_p!$B$2:$AG$157,32,FALSE),"")</f>
        <v/>
      </c>
      <c r="G131" s="26" t="str">
        <f>IFERROR(VLOOKUP($B131,Infsize_p!$B$2:$AG$157,32,FALSE),"")</f>
        <v/>
      </c>
    </row>
    <row r="132" spans="1:7" x14ac:dyDescent="0.25">
      <c r="A132" s="5" t="s">
        <v>146</v>
      </c>
      <c r="B132" s="5" t="s">
        <v>340</v>
      </c>
      <c r="C132" s="26">
        <f>IFERROR(VLOOKUP($B132,DGE_p!$B$2:$AG$157,32,FALSE),"")</f>
        <v>28.821589209816672</v>
      </c>
      <c r="D132" s="26">
        <f>IFERROR(VLOOKUP($B132,MIMIC_p!$B$2:$AG$157,32,FALSE),"")</f>
        <v>31.883969740434125</v>
      </c>
      <c r="E132" s="26">
        <f>IFERROR(VLOOKUP($B132,SEMP_p!$B$2:$AG$157,32,FALSE),"")</f>
        <v>33.308861992575906</v>
      </c>
      <c r="F132" s="26" t="str">
        <f>IFERROR(VLOOKUP($B132,Infemp_p!$B$2:$AG$157,32,FALSE),"")</f>
        <v/>
      </c>
      <c r="G132" s="26" t="str">
        <f>IFERROR(VLOOKUP($B132,Infsize_p!$B$2:$AG$157,32,FALSE),"")</f>
        <v/>
      </c>
    </row>
    <row r="133" spans="1:7" x14ac:dyDescent="0.25">
      <c r="A133" s="5" t="s">
        <v>147</v>
      </c>
      <c r="B133" s="5" t="s">
        <v>341</v>
      </c>
      <c r="C133" s="26">
        <f>IFERROR(VLOOKUP($B133,DGE_p!$B$2:$AG$157,32,FALSE),"")</f>
        <v>40.392709211869672</v>
      </c>
      <c r="D133" s="26">
        <f>IFERROR(VLOOKUP($B133,MIMIC_p!$B$2:$AG$157,32,FALSE),"")</f>
        <v>43.694167744029649</v>
      </c>
      <c r="E133" s="26">
        <f>IFERROR(VLOOKUP($B133,SEMP_p!$B$2:$AG$157,32,FALSE),"")</f>
        <v>7.2839397083629258</v>
      </c>
      <c r="F133" s="26" t="str">
        <f>IFERROR(VLOOKUP($B133,Infemp_p!$B$2:$AG$157,32,FALSE),"")</f>
        <v/>
      </c>
      <c r="G133" s="26">
        <f>IFERROR(VLOOKUP($B133,Infsize_p!$B$2:$AG$157,32,FALSE),"")</f>
        <v>17.215</v>
      </c>
    </row>
    <row r="134" spans="1:7" x14ac:dyDescent="0.25">
      <c r="A134" s="5" t="s">
        <v>148</v>
      </c>
      <c r="B134" s="5" t="s">
        <v>342</v>
      </c>
      <c r="C134" s="26">
        <f>IFERROR(VLOOKUP($B134,DGE_p!$B$2:$AG$157,32,FALSE),"")</f>
        <v>35.290158878673203</v>
      </c>
      <c r="D134" s="26">
        <f>IFERROR(VLOOKUP($B134,MIMIC_p!$B$2:$AG$157,32,FALSE),"")</f>
        <v>37.407149921764024</v>
      </c>
      <c r="E134" s="26">
        <f>IFERROR(VLOOKUP($B134,SEMP_p!$B$2:$AG$157,32,FALSE),"")</f>
        <v>78.5</v>
      </c>
      <c r="F134" s="26" t="str">
        <f>IFERROR(VLOOKUP($B134,Infemp_p!$B$2:$AG$157,32,FALSE),"")</f>
        <v/>
      </c>
      <c r="G134" s="26" t="str">
        <f>IFERROR(VLOOKUP($B134,Infsize_p!$B$2:$AG$157,32,FALSE),"")</f>
        <v/>
      </c>
    </row>
    <row r="135" spans="1:7" x14ac:dyDescent="0.25">
      <c r="A135" s="5" t="s">
        <v>95</v>
      </c>
      <c r="B135" s="5" t="s">
        <v>288</v>
      </c>
      <c r="C135" s="26" t="str">
        <f>IFERROR(VLOOKUP($B135,DGE_p!$B$2:$AG$157,32,FALSE),"")</f>
        <v/>
      </c>
      <c r="D135" s="26" t="str">
        <f>IFERROR(VLOOKUP($B135,MIMIC_p!$B$2:$AG$157,32,FALSE),"")</f>
        <v/>
      </c>
      <c r="E135" s="26" t="str">
        <f>IFERROR(VLOOKUP($B135,SEMP_p!$B$2:$AG$157,32,FALSE),"")</f>
        <v/>
      </c>
      <c r="F135" s="26" t="str">
        <f>IFERROR(VLOOKUP($B135,Infemp_p!$B$2:$AG$157,32,FALSE),"")</f>
        <v/>
      </c>
      <c r="G135" s="26" t="str">
        <f>IFERROR(VLOOKUP($B135,Infsize_p!$B$2:$AG$157,32,FALSE),"")</f>
        <v/>
      </c>
    </row>
    <row r="136" spans="1:7" x14ac:dyDescent="0.25">
      <c r="A136" s="5" t="s">
        <v>187</v>
      </c>
      <c r="B136" s="5" t="s">
        <v>381</v>
      </c>
      <c r="C136" s="26" t="str">
        <f>IFERROR(VLOOKUP($B136,DGE_p!$B$2:$AG$157,32,FALSE),"")</f>
        <v/>
      </c>
      <c r="D136" s="26" t="str">
        <f>IFERROR(VLOOKUP($B136,MIMIC_p!$B$2:$AG$157,32,FALSE),"")</f>
        <v/>
      </c>
      <c r="E136" s="26">
        <f>IFERROR(VLOOKUP($B136,SEMP_p!$B$2:$AG$157,32,FALSE),"")</f>
        <v>43.234537887573239</v>
      </c>
      <c r="F136" s="26">
        <f>IFERROR(VLOOKUP($B136,Infemp_p!$B$2:$AG$157,32,FALSE),"")</f>
        <v>50.75</v>
      </c>
      <c r="G136" s="26">
        <f>IFERROR(VLOOKUP($B136,Infsize_p!$B$2:$AG$157,32,FALSE),"")</f>
        <v>44.25</v>
      </c>
    </row>
    <row r="137" spans="1:7" x14ac:dyDescent="0.25">
      <c r="A137" s="5" t="s">
        <v>158</v>
      </c>
      <c r="B137" s="5" t="s">
        <v>352</v>
      </c>
      <c r="C137" s="26" t="str">
        <f>IFERROR(VLOOKUP($B137,DGE_p!$B$2:$AG$157,32,FALSE),"")</f>
        <v/>
      </c>
      <c r="D137" s="26" t="str">
        <f>IFERROR(VLOOKUP($B137,MIMIC_p!$B$2:$AG$157,32,FALSE),"")</f>
        <v/>
      </c>
      <c r="E137" s="26">
        <f>IFERROR(VLOOKUP($B137,SEMP_p!$B$2:$AG$157,32,FALSE),"")</f>
        <v>44.268634796142578</v>
      </c>
      <c r="F137" s="26" t="str">
        <f>IFERROR(VLOOKUP($B137,Infemp_p!$B$2:$AG$157,32,FALSE),"")</f>
        <v/>
      </c>
      <c r="G137" s="26" t="str">
        <f>IFERROR(VLOOKUP($B137,Infsize_p!$B$2:$AG$157,32,FALSE),"")</f>
        <v/>
      </c>
    </row>
    <row r="138" spans="1:7" x14ac:dyDescent="0.25">
      <c r="A138" s="5" t="s">
        <v>149</v>
      </c>
      <c r="B138" s="5" t="s">
        <v>343</v>
      </c>
      <c r="C138" s="26">
        <f>IFERROR(VLOOKUP($B138,DGE_p!$B$2:$AG$157,32,FALSE),"")</f>
        <v>16.246493079445578</v>
      </c>
      <c r="D138" s="26">
        <f>IFERROR(VLOOKUP($B138,MIMIC_p!$B$2:$AG$157,32,FALSE),"")</f>
        <v>17.382088747891512</v>
      </c>
      <c r="E138" s="26">
        <f>IFERROR(VLOOKUP($B138,SEMP_p!$B$2:$AG$157,32,FALSE),"")</f>
        <v>5.0431789557139082</v>
      </c>
      <c r="F138" s="26" t="str">
        <f>IFERROR(VLOOKUP($B138,Infemp_p!$B$2:$AG$157,32,FALSE),"")</f>
        <v/>
      </c>
      <c r="G138" s="26" t="str">
        <f>IFERROR(VLOOKUP($B138,Infsize_p!$B$2:$AG$157,32,FALSE),"")</f>
        <v/>
      </c>
    </row>
    <row r="139" spans="1:7" x14ac:dyDescent="0.25">
      <c r="A139" s="5" t="s">
        <v>151</v>
      </c>
      <c r="B139" s="5" t="s">
        <v>345</v>
      </c>
      <c r="C139" s="26">
        <f>IFERROR(VLOOKUP($B139,DGE_p!$B$2:$AG$157,32,FALSE),"")</f>
        <v>40.801526849920101</v>
      </c>
      <c r="D139" s="26">
        <f>IFERROR(VLOOKUP($B139,MIMIC_p!$B$2:$AG$157,32,FALSE),"")</f>
        <v>44.726925589821555</v>
      </c>
      <c r="E139" s="26">
        <f>IFERROR(VLOOKUP($B139,SEMP_p!$B$2:$AG$157,32,FALSE),"")</f>
        <v>58.299999237060547</v>
      </c>
      <c r="F139" s="26">
        <f>IFERROR(VLOOKUP($B139,Infemp_p!$B$2:$AG$157,32,FALSE),"")</f>
        <v>93.43</v>
      </c>
      <c r="G139" s="26">
        <f>IFERROR(VLOOKUP($B139,Infsize_p!$B$2:$AG$157,32,FALSE),"")</f>
        <v>84.04</v>
      </c>
    </row>
    <row r="140" spans="1:7" x14ac:dyDescent="0.25">
      <c r="A140" s="5" t="s">
        <v>156</v>
      </c>
      <c r="B140" s="5" t="s">
        <v>350</v>
      </c>
      <c r="C140" s="26" t="str">
        <f>IFERROR(VLOOKUP($B140,DGE_p!$B$2:$AG$157,32,FALSE),"")</f>
        <v/>
      </c>
      <c r="D140" s="26" t="str">
        <f>IFERROR(VLOOKUP($B140,MIMIC_p!$B$2:$AG$157,32,FALSE),"")</f>
        <v/>
      </c>
      <c r="E140" s="26">
        <f>IFERROR(VLOOKUP($B140,SEMP_p!$B$2:$AG$157,32,FALSE),"")</f>
        <v>30.560197483409535</v>
      </c>
      <c r="F140" s="26">
        <f>IFERROR(VLOOKUP($B140,Infemp_p!$B$2:$AG$157,32,FALSE),"")</f>
        <v>26.768749999999997</v>
      </c>
      <c r="G140" s="26">
        <f>IFERROR(VLOOKUP($B140,Infsize_p!$B$2:$AG$157,32,FALSE),"")</f>
        <v>15.812857142857141</v>
      </c>
    </row>
    <row r="141" spans="1:7" x14ac:dyDescent="0.25">
      <c r="A141" s="5" t="s">
        <v>164</v>
      </c>
      <c r="B141" s="5" t="s">
        <v>358</v>
      </c>
      <c r="C141" s="26" t="str">
        <f>IFERROR(VLOOKUP($B141,DGE_p!$B$2:$AG$157,32,FALSE),"")</f>
        <v/>
      </c>
      <c r="D141" s="26" t="str">
        <f>IFERROR(VLOOKUP($B141,MIMIC_p!$B$2:$AG$157,32,FALSE),"")</f>
        <v/>
      </c>
      <c r="E141" s="26">
        <f>IFERROR(VLOOKUP($B141,SEMP_p!$B$2:$AG$157,32,FALSE),"")</f>
        <v>13.600000381469727</v>
      </c>
      <c r="F141" s="26" t="str">
        <f>IFERROR(VLOOKUP($B141,Infemp_p!$B$2:$AG$157,32,FALSE),"")</f>
        <v/>
      </c>
      <c r="G141" s="26" t="str">
        <f>IFERROR(VLOOKUP($B141,Infsize_p!$B$2:$AG$157,32,FALSE),"")</f>
        <v/>
      </c>
    </row>
    <row r="142" spans="1:7" x14ac:dyDescent="0.25">
      <c r="A142" s="5" t="s">
        <v>154</v>
      </c>
      <c r="B142" s="5" t="s">
        <v>348</v>
      </c>
      <c r="C142" s="26">
        <f>IFERROR(VLOOKUP($B142,DGE_p!$B$2:$AG$157,32,FALSE),"")</f>
        <v>40.358580155806109</v>
      </c>
      <c r="D142" s="26">
        <f>IFERROR(VLOOKUP($B142,MIMIC_p!$B$2:$AG$157,32,FALSE),"")</f>
        <v>44.030377474698156</v>
      </c>
      <c r="E142" s="26" t="str">
        <f>IFERROR(VLOOKUP($B142,SEMP_p!$B$2:$AG$157,32,FALSE),"")</f>
        <v/>
      </c>
      <c r="F142" s="26" t="str">
        <f>IFERROR(VLOOKUP($B142,Infemp_p!$B$2:$AG$157,32,FALSE),"")</f>
        <v/>
      </c>
      <c r="G142" s="26" t="str">
        <f>IFERROR(VLOOKUP($B142,Infsize_p!$B$2:$AG$157,32,FALSE),"")</f>
        <v/>
      </c>
    </row>
    <row r="143" spans="1:7" x14ac:dyDescent="0.25">
      <c r="A143" s="5" t="s">
        <v>152</v>
      </c>
      <c r="B143" s="5" t="s">
        <v>346</v>
      </c>
      <c r="C143" s="26">
        <f>IFERROR(VLOOKUP($B143,DGE_p!$B$2:$AG$157,32,FALSE),"")</f>
        <v>11.978691794655539</v>
      </c>
      <c r="D143" s="26">
        <f>IFERROR(VLOOKUP($B143,MIMIC_p!$B$2:$AG$157,32,FALSE),"")</f>
        <v>12.309198899702592</v>
      </c>
      <c r="E143" s="26">
        <f>IFERROR(VLOOKUP($B143,SEMP_p!$B$2:$AG$157,32,FALSE),"")</f>
        <v>15.00000011920929</v>
      </c>
      <c r="F143" s="26" t="str">
        <f>IFERROR(VLOOKUP($B143,Infemp_p!$B$2:$AG$157,32,FALSE),"")</f>
        <v/>
      </c>
      <c r="G143" s="26" t="str">
        <f>IFERROR(VLOOKUP($B143,Infsize_p!$B$2:$AG$157,32,FALSE),"")</f>
        <v/>
      </c>
    </row>
    <row r="144" spans="1:7" x14ac:dyDescent="0.25">
      <c r="A144" s="5" t="s">
        <v>160</v>
      </c>
      <c r="B144" s="5" t="s">
        <v>354</v>
      </c>
      <c r="C144" s="26">
        <f>IFERROR(VLOOKUP($B144,DGE_p!$B$2:$AG$157,32,FALSE),"")</f>
        <v>16.524171309037641</v>
      </c>
      <c r="D144" s="26">
        <f>IFERROR(VLOOKUP($B144,MIMIC_p!$B$2:$AG$157,32,FALSE),"")</f>
        <v>17.332088297063653</v>
      </c>
      <c r="E144" s="26">
        <f>IFERROR(VLOOKUP($B144,SEMP_p!$B$2:$AG$157,32,FALSE),"")</f>
        <v>14.628529288552024</v>
      </c>
      <c r="F144" s="26" t="str">
        <f>IFERROR(VLOOKUP($B144,Infemp_p!$B$2:$AG$157,32,FALSE),"")</f>
        <v/>
      </c>
      <c r="G144" s="26" t="str">
        <f>IFERROR(VLOOKUP($B144,Infsize_p!$B$2:$AG$157,32,FALSE),"")</f>
        <v/>
      </c>
    </row>
    <row r="145" spans="1:7" x14ac:dyDescent="0.25">
      <c r="A145" s="5" t="s">
        <v>161</v>
      </c>
      <c r="B145" s="5" t="s">
        <v>355</v>
      </c>
      <c r="C145" s="26">
        <f>IFERROR(VLOOKUP($B145,DGE_p!$B$2:$AG$157,32,FALSE),"")</f>
        <v>24.281848907470703</v>
      </c>
      <c r="D145" s="26">
        <f>IFERROR(VLOOKUP($B145,MIMIC_p!$B$2:$AG$157,32,FALSE),"")</f>
        <v>26.024817033247515</v>
      </c>
      <c r="E145" s="26">
        <f>IFERROR(VLOOKUP($B145,SEMP_p!$B$2:$AG$157,32,FALSE),"")</f>
        <v>16.344268365339801</v>
      </c>
      <c r="F145" s="26" t="str">
        <f>IFERROR(VLOOKUP($B145,Infemp_p!$B$2:$AG$157,32,FALSE),"")</f>
        <v/>
      </c>
      <c r="G145" s="26" t="str">
        <f>IFERROR(VLOOKUP($B145,Infsize_p!$B$2:$AG$157,32,FALSE),"")</f>
        <v/>
      </c>
    </row>
    <row r="146" spans="1:7" x14ac:dyDescent="0.25">
      <c r="A146" s="5" t="s">
        <v>190</v>
      </c>
      <c r="B146" s="5" t="s">
        <v>384</v>
      </c>
      <c r="C146" s="26">
        <f>IFERROR(VLOOKUP($B146,DGE_p!$B$2:$AG$157,32,FALSE),"")</f>
        <v>24.570994810624555</v>
      </c>
      <c r="D146" s="26">
        <f>IFERROR(VLOOKUP($B146,MIMIC_p!$B$2:$AG$157,32,FALSE),"")</f>
        <v>27.349224610762164</v>
      </c>
      <c r="E146" s="26">
        <f>IFERROR(VLOOKUP($B146,SEMP_p!$B$2:$AG$157,32,FALSE),"")</f>
        <v>14.700067606839267</v>
      </c>
      <c r="F146" s="26">
        <f>IFERROR(VLOOKUP($B146,Infemp_p!$B$2:$AG$157,32,FALSE),"")</f>
        <v>38.99545454545455</v>
      </c>
      <c r="G146" s="26">
        <f>IFERROR(VLOOKUP($B146,Infsize_p!$B$2:$AG$157,32,FALSE),"")</f>
        <v>38.941818181818185</v>
      </c>
    </row>
    <row r="147" spans="1:7" x14ac:dyDescent="0.25">
      <c r="A147" s="5" t="s">
        <v>56</v>
      </c>
      <c r="B147" s="5" t="s">
        <v>249</v>
      </c>
      <c r="C147" s="26">
        <f>IFERROR(VLOOKUP($B147,DGE_p!$B$2:$AG$157,32,FALSE),"")</f>
        <v>21.416726372458719</v>
      </c>
      <c r="D147" s="26">
        <f>IFERROR(VLOOKUP($B147,MIMIC_p!$B$2:$AG$157,32,FALSE),"")</f>
        <v>23.176573146473277</v>
      </c>
      <c r="E147" s="26">
        <f>IFERROR(VLOOKUP($B147,SEMP_p!$B$2:$AG$157,32,FALSE),"")</f>
        <v>17.337346337058328</v>
      </c>
      <c r="F147" s="26" t="str">
        <f>IFERROR(VLOOKUP($B147,Infemp_p!$B$2:$AG$157,32,FALSE),"")</f>
        <v/>
      </c>
      <c r="G147" s="26" t="str">
        <f>IFERROR(VLOOKUP($B147,Infsize_p!$B$2:$AG$157,32,FALSE),"")</f>
        <v/>
      </c>
    </row>
    <row r="148" spans="1:7" x14ac:dyDescent="0.25">
      <c r="A148" s="5" t="s">
        <v>103</v>
      </c>
      <c r="B148" s="5" t="s">
        <v>296</v>
      </c>
      <c r="C148" s="26">
        <f>IFERROR(VLOOKUP($B148,DGE_p!$B$2:$AG$157,32,FALSE),"")</f>
        <v>40.399886044588953</v>
      </c>
      <c r="D148" s="26">
        <f>IFERROR(VLOOKUP($B148,MIMIC_p!$B$2:$AG$157,32,FALSE),"")</f>
        <v>42.466167449951172</v>
      </c>
      <c r="E148" s="26">
        <f>IFERROR(VLOOKUP($B148,SEMP_p!$B$2:$AG$157,32,FALSE),"")</f>
        <v>43.581817973743789</v>
      </c>
      <c r="F148" s="26">
        <f>IFERROR(VLOOKUP($B148,Infemp_p!$B$2:$AG$157,32,FALSE),"")</f>
        <v>70.41</v>
      </c>
      <c r="G148" s="26">
        <f>IFERROR(VLOOKUP($B148,Infsize_p!$B$2:$AG$157,32,FALSE),"")</f>
        <v>63.124000000000002</v>
      </c>
    </row>
    <row r="149" spans="1:7" x14ac:dyDescent="0.25">
      <c r="A149" s="5" t="s">
        <v>102</v>
      </c>
      <c r="B149" s="5" t="s">
        <v>295</v>
      </c>
      <c r="C149" s="26">
        <f>IFERROR(VLOOKUP($B149,DGE_p!$B$2:$AG$157,32,FALSE),"")</f>
        <v>39.157386779785156</v>
      </c>
      <c r="D149" s="26" t="str">
        <f>IFERROR(VLOOKUP($B149,MIMIC_p!$B$2:$AG$157,32,FALSE),"")</f>
        <v/>
      </c>
      <c r="E149" s="26" t="str">
        <f>IFERROR(VLOOKUP($B149,SEMP_p!$B$2:$AG$157,32,FALSE),"")</f>
        <v/>
      </c>
      <c r="F149" s="26" t="str">
        <f>IFERROR(VLOOKUP($B149,Infemp_p!$B$2:$AG$157,32,FALSE),"")</f>
        <v/>
      </c>
      <c r="G149" s="26" t="str">
        <f>IFERROR(VLOOKUP($B149,Infsize_p!$B$2:$AG$157,32,FALSE),"")</f>
        <v/>
      </c>
    </row>
    <row r="150" spans="1:7" x14ac:dyDescent="0.25">
      <c r="A150" s="5" t="s">
        <v>183</v>
      </c>
      <c r="B150" s="5" t="s">
        <v>377</v>
      </c>
      <c r="C150" s="26">
        <f>IFERROR(VLOOKUP($B150,DGE_p!$B$2:$AG$157,32,FALSE),"")</f>
        <v>47.123344074596055</v>
      </c>
      <c r="D150" s="26" t="str">
        <f>IFERROR(VLOOKUP($B150,MIMIC_p!$B$2:$AG$157,32,FALSE),"")</f>
        <v/>
      </c>
      <c r="E150" s="26">
        <f>IFERROR(VLOOKUP($B150,SEMP_p!$B$2:$AG$157,32,FALSE),"")</f>
        <v>20.5</v>
      </c>
      <c r="F150" s="26" t="str">
        <f>IFERROR(VLOOKUP($B150,Infemp_p!$B$2:$AG$157,32,FALSE),"")</f>
        <v/>
      </c>
      <c r="G150" s="26" t="str">
        <f>IFERROR(VLOOKUP($B150,Infsize_p!$B$2:$AG$157,32,FALSE),"")</f>
        <v/>
      </c>
    </row>
    <row r="151" spans="1:7" x14ac:dyDescent="0.25">
      <c r="A151" s="5" t="s">
        <v>159</v>
      </c>
      <c r="B151" s="5" t="s">
        <v>353</v>
      </c>
      <c r="C151" s="26">
        <f>IFERROR(VLOOKUP($B151,DGE_p!$B$2:$AG$157,32,FALSE),"")</f>
        <v>34.201156269420274</v>
      </c>
      <c r="D151" s="26">
        <f>IFERROR(VLOOKUP($B151,MIMIC_p!$B$2:$AG$157,32,FALSE),"")</f>
        <v>36.449495142156429</v>
      </c>
      <c r="E151" s="26">
        <f>IFERROR(VLOOKUP($B151,SEMP_p!$B$2:$AG$157,32,FALSE),"")</f>
        <v>12.222222328186035</v>
      </c>
      <c r="F151" s="26" t="str">
        <f>IFERROR(VLOOKUP($B151,Infemp_p!$B$2:$AG$157,32,FALSE),"")</f>
        <v/>
      </c>
      <c r="G151" s="26" t="str">
        <f>IFERROR(VLOOKUP($B151,Infsize_p!$B$2:$AG$157,32,FALSE),"")</f>
        <v/>
      </c>
    </row>
    <row r="152" spans="1:7" x14ac:dyDescent="0.25">
      <c r="A152" s="5" t="s">
        <v>162</v>
      </c>
      <c r="B152" s="5" t="s">
        <v>356</v>
      </c>
      <c r="C152" s="26">
        <f>IFERROR(VLOOKUP($B152,DGE_p!$B$2:$AG$157,32,FALSE),"")</f>
        <v>17.737744418057527</v>
      </c>
      <c r="D152" s="26">
        <f>IFERROR(VLOOKUP($B152,MIMIC_p!$B$2:$AG$157,32,FALSE),"")</f>
        <v>18.939716165715996</v>
      </c>
      <c r="E152" s="26">
        <f>IFERROR(VLOOKUP($B152,SEMP_p!$B$2:$AG$157,32,FALSE),"")</f>
        <v>10.560410152782094</v>
      </c>
      <c r="F152" s="26" t="str">
        <f>IFERROR(VLOOKUP($B152,Infemp_p!$B$2:$AG$157,32,FALSE),"")</f>
        <v/>
      </c>
      <c r="G152" s="26" t="str">
        <f>IFERROR(VLOOKUP($B152,Infsize_p!$B$2:$AG$157,32,FALSE),"")</f>
        <v/>
      </c>
    </row>
    <row r="153" spans="1:7" x14ac:dyDescent="0.25">
      <c r="A153" s="5" t="s">
        <v>32</v>
      </c>
      <c r="B153" s="5" t="s">
        <v>225</v>
      </c>
      <c r="C153" s="26">
        <f>IFERROR(VLOOKUP($B153,DGE_p!$B$2:$AG$157,32,FALSE),"")</f>
        <v>8.074251521717418</v>
      </c>
      <c r="D153" s="26">
        <f>IFERROR(VLOOKUP($B153,MIMIC_p!$B$2:$AG$157,32,FALSE),"")</f>
        <v>8.4635195298628378</v>
      </c>
      <c r="E153" s="26">
        <f>IFERROR(VLOOKUP($B153,SEMP_p!$B$2:$AG$157,32,FALSE),"")</f>
        <v>15.747334653680975</v>
      </c>
      <c r="F153" s="26" t="str">
        <f>IFERROR(VLOOKUP($B153,Infemp_p!$B$2:$AG$157,32,FALSE),"")</f>
        <v/>
      </c>
      <c r="G153" s="26" t="str">
        <f>IFERROR(VLOOKUP($B153,Infsize_p!$B$2:$AG$157,32,FALSE),"")</f>
        <v/>
      </c>
    </row>
    <row r="154" spans="1:7" x14ac:dyDescent="0.25">
      <c r="A154" s="5" t="s">
        <v>165</v>
      </c>
      <c r="B154" s="5" t="s">
        <v>359</v>
      </c>
      <c r="C154" s="26">
        <f>IFERROR(VLOOKUP($B154,DGE_p!$B$2:$AG$157,32,FALSE),"")</f>
        <v>17.728412628173828</v>
      </c>
      <c r="D154" s="26">
        <f>IFERROR(VLOOKUP($B154,MIMIC_p!$B$2:$AG$157,32,FALSE),"")</f>
        <v>19.231375954367898</v>
      </c>
      <c r="E154" s="26">
        <f>IFERROR(VLOOKUP($B154,SEMP_p!$B$2:$AG$157,32,FALSE),"")</f>
        <v>38.983333587646484</v>
      </c>
      <c r="F154" s="26" t="str">
        <f>IFERROR(VLOOKUP($B154,Infemp_p!$B$2:$AG$157,32,FALSE),"")</f>
        <v/>
      </c>
      <c r="G154" s="26" t="str">
        <f>IFERROR(VLOOKUP($B154,Infsize_p!$B$2:$AG$157,32,FALSE),"")</f>
        <v/>
      </c>
    </row>
    <row r="155" spans="1:7" x14ac:dyDescent="0.25">
      <c r="A155" s="5" t="s">
        <v>170</v>
      </c>
      <c r="B155" s="5" t="s">
        <v>364</v>
      </c>
      <c r="C155" s="26">
        <f>IFERROR(VLOOKUP($B155,DGE_p!$B$2:$AG$157,32,FALSE),"")</f>
        <v>41.680454600941054</v>
      </c>
      <c r="D155" s="26">
        <f>IFERROR(VLOOKUP($B155,MIMIC_p!$B$2:$AG$157,32,FALSE),"")</f>
        <v>41.085337898947976</v>
      </c>
      <c r="E155" s="26">
        <f>IFERROR(VLOOKUP($B155,SEMP_p!$B$2:$AG$157,32,FALSE),"")</f>
        <v>45.323324203491211</v>
      </c>
      <c r="F155" s="26" t="str">
        <f>IFERROR(VLOOKUP($B155,Infemp_p!$B$2:$AG$157,32,FALSE),"")</f>
        <v/>
      </c>
      <c r="G155" s="26" t="str">
        <f>IFERROR(VLOOKUP($B155,Infsize_p!$B$2:$AG$157,32,FALSE),"")</f>
        <v/>
      </c>
    </row>
    <row r="156" spans="1:7" x14ac:dyDescent="0.25">
      <c r="A156" s="5" t="s">
        <v>177</v>
      </c>
      <c r="B156" s="5" t="s">
        <v>371</v>
      </c>
      <c r="C156" s="26">
        <f>IFERROR(VLOOKUP($B156,DGE_p!$B$2:$AG$157,32,FALSE),"")</f>
        <v>50.811234214089133</v>
      </c>
      <c r="D156" s="26">
        <f>IFERROR(VLOOKUP($B156,MIMIC_p!$B$2:$AG$157,32,FALSE),"")</f>
        <v>56.000850677490234</v>
      </c>
      <c r="E156" s="26">
        <f>IFERROR(VLOOKUP($B156,SEMP_p!$B$2:$AG$157,32,FALSE),"")</f>
        <v>76.617511749267578</v>
      </c>
      <c r="F156" s="26">
        <f>IFERROR(VLOOKUP($B156,Infemp_p!$B$2:$AG$157,32,FALSE),"")</f>
        <v>90.84</v>
      </c>
      <c r="G156" s="26">
        <f>IFERROR(VLOOKUP($B156,Infsize_p!$B$2:$AG$157,32,FALSE),"")</f>
        <v>87.08</v>
      </c>
    </row>
    <row r="157" spans="1:7" x14ac:dyDescent="0.25">
      <c r="A157" s="5" t="s">
        <v>169</v>
      </c>
      <c r="B157" s="5" t="s">
        <v>363</v>
      </c>
      <c r="C157" s="26">
        <f>IFERROR(VLOOKUP($B157,DGE_p!$B$2:$AG$157,32,FALSE),"")</f>
        <v>47.455858057195492</v>
      </c>
      <c r="D157" s="26">
        <f>IFERROR(VLOOKUP($B157,MIMIC_p!$B$2:$AG$157,32,FALSE),"")</f>
        <v>49.686494653875179</v>
      </c>
      <c r="E157" s="26">
        <f>IFERROR(VLOOKUP($B157,SEMP_p!$B$2:$AG$157,32,FALSE),"")</f>
        <v>56.13318495316939</v>
      </c>
      <c r="F157" s="26">
        <f>IFERROR(VLOOKUP($B157,Infemp_p!$B$2:$AG$157,32,FALSE),"")</f>
        <v>62.54</v>
      </c>
      <c r="G157" s="26">
        <f>IFERROR(VLOOKUP($B157,Infsize_p!$B$2:$AG$157,32,FALSE),"")</f>
        <v>56.72</v>
      </c>
    </row>
    <row r="158" spans="1:7" x14ac:dyDescent="0.25">
      <c r="A158" s="5" t="s">
        <v>171</v>
      </c>
      <c r="B158" s="5" t="s">
        <v>365</v>
      </c>
      <c r="C158" s="26" t="str">
        <f>IFERROR(VLOOKUP($B158,DGE_p!$B$2:$AG$157,32,FALSE),"")</f>
        <v/>
      </c>
      <c r="D158" s="26" t="str">
        <f>IFERROR(VLOOKUP($B158,MIMIC_p!$B$2:$AG$157,32,FALSE),"")</f>
        <v/>
      </c>
      <c r="E158" s="26" t="str">
        <f>IFERROR(VLOOKUP($B158,SEMP_p!$B$2:$AG$157,32,FALSE),"")</f>
        <v/>
      </c>
      <c r="F158" s="26">
        <f>IFERROR(VLOOKUP($B158,Infemp_p!$B$2:$AG$157,32,FALSE),"")</f>
        <v>71.490000000000009</v>
      </c>
      <c r="G158" s="26">
        <f>IFERROR(VLOOKUP($B158,Infsize_p!$B$2:$AG$157,32,FALSE),"")</f>
        <v>63.54</v>
      </c>
    </row>
    <row r="159" spans="1:7" x14ac:dyDescent="0.25">
      <c r="A159" s="5" t="s">
        <v>168</v>
      </c>
      <c r="B159" s="5" t="s">
        <v>362</v>
      </c>
      <c r="C159" s="26">
        <f>IFERROR(VLOOKUP($B159,DGE_p!$B$2:$AG$157,32,FALSE),"")</f>
        <v>33.531319704922765</v>
      </c>
      <c r="D159" s="26">
        <f>IFERROR(VLOOKUP($B159,MIMIC_p!$B$2:$AG$157,32,FALSE),"")</f>
        <v>35.142539978027344</v>
      </c>
      <c r="E159" s="26" t="str">
        <f>IFERROR(VLOOKUP($B159,SEMP_p!$B$2:$AG$157,32,FALSE),"")</f>
        <v/>
      </c>
      <c r="F159" s="26">
        <f>IFERROR(VLOOKUP($B159,Infemp_p!$B$2:$AG$157,32,FALSE),"")</f>
        <v>95.08</v>
      </c>
      <c r="G159" s="26">
        <f>IFERROR(VLOOKUP($B159,Infsize_p!$B$2:$AG$157,32,FALSE),"")</f>
        <v>91.47</v>
      </c>
    </row>
    <row r="160" spans="1:7" x14ac:dyDescent="0.25">
      <c r="A160" s="5" t="s">
        <v>172</v>
      </c>
      <c r="B160" s="5" t="s">
        <v>366</v>
      </c>
      <c r="C160" s="26" t="str">
        <f>IFERROR(VLOOKUP($B160,DGE_p!$B$2:$AG$157,32,FALSE),"")</f>
        <v/>
      </c>
      <c r="D160" s="26" t="str">
        <f>IFERROR(VLOOKUP($B160,MIMIC_p!$B$2:$AG$157,32,FALSE),"")</f>
        <v/>
      </c>
      <c r="E160" s="26" t="str">
        <f>IFERROR(VLOOKUP($B160,SEMP_p!$B$2:$AG$157,32,FALSE),"")</f>
        <v/>
      </c>
      <c r="F160" s="26" t="str">
        <f>IFERROR(VLOOKUP($B160,Infemp_p!$B$2:$AG$157,32,FALSE),"")</f>
        <v/>
      </c>
      <c r="G160" s="26" t="str">
        <f>IFERROR(VLOOKUP($B160,Infsize_p!$B$2:$AG$157,32,FALSE),"")</f>
        <v/>
      </c>
    </row>
    <row r="161" spans="1:7" x14ac:dyDescent="0.25">
      <c r="A161" s="5" t="s">
        <v>173</v>
      </c>
      <c r="B161" s="5" t="s">
        <v>367</v>
      </c>
      <c r="C161" s="26">
        <f>IFERROR(VLOOKUP($B161,DGE_p!$B$2:$AG$157,32,FALSE),"")</f>
        <v>30.007150303233754</v>
      </c>
      <c r="D161" s="26">
        <f>IFERROR(VLOOKUP($B161,MIMIC_p!$B$2:$AG$157,32,FALSE),"")</f>
        <v>32.553986289284445</v>
      </c>
      <c r="E161" s="26" t="str">
        <f>IFERROR(VLOOKUP($B161,SEMP_p!$B$2:$AG$157,32,FALSE),"")</f>
        <v/>
      </c>
      <c r="F161" s="26" t="str">
        <f>IFERROR(VLOOKUP($B161,Infemp_p!$B$2:$AG$157,32,FALSE),"")</f>
        <v/>
      </c>
      <c r="G161" s="26" t="str">
        <f>IFERROR(VLOOKUP($B161,Infsize_p!$B$2:$AG$157,32,FALSE),"")</f>
        <v/>
      </c>
    </row>
    <row r="162" spans="1:7" x14ac:dyDescent="0.25">
      <c r="A162" s="5" t="s">
        <v>174</v>
      </c>
      <c r="B162" s="5" t="s">
        <v>368</v>
      </c>
      <c r="C162" s="26">
        <f>IFERROR(VLOOKUP($B162,DGE_p!$B$2:$AG$157,32,FALSE),"")</f>
        <v>34.33246473832564</v>
      </c>
      <c r="D162" s="26">
        <f>IFERROR(VLOOKUP($B162,MIMIC_p!$B$2:$AG$157,32,FALSE),"")</f>
        <v>36.809090354225852</v>
      </c>
      <c r="E162" s="26" t="str">
        <f>IFERROR(VLOOKUP($B162,SEMP_p!$B$2:$AG$157,32,FALSE),"")</f>
        <v/>
      </c>
      <c r="F162" s="26" t="str">
        <f>IFERROR(VLOOKUP($B162,Infemp_p!$B$2:$AG$157,32,FALSE),"")</f>
        <v/>
      </c>
      <c r="G162" s="26" t="str">
        <f>IFERROR(VLOOKUP($B162,Infsize_p!$B$2:$AG$157,32,FALSE),"")</f>
        <v/>
      </c>
    </row>
    <row r="163" spans="1:7" x14ac:dyDescent="0.25">
      <c r="A163" s="5" t="s">
        <v>175</v>
      </c>
      <c r="B163" s="5" t="s">
        <v>369</v>
      </c>
      <c r="C163" s="26">
        <f>IFERROR(VLOOKUP($B163,DGE_p!$B$2:$AG$157,32,FALSE),"")</f>
        <v>28.289898785677824</v>
      </c>
      <c r="D163" s="26">
        <f>IFERROR(VLOOKUP($B163,MIMIC_p!$B$2:$AG$157,32,FALSE),"")</f>
        <v>31.720283681696113</v>
      </c>
      <c r="E163" s="26" t="str">
        <f>IFERROR(VLOOKUP($B163,SEMP_p!$B$2:$AG$157,32,FALSE),"")</f>
        <v/>
      </c>
      <c r="F163" s="26" t="str">
        <f>IFERROR(VLOOKUP($B163,Infemp_p!$B$2:$AG$157,32,FALSE),"")</f>
        <v/>
      </c>
      <c r="G163" s="26" t="str">
        <f>IFERROR(VLOOKUP($B163,Infsize_p!$B$2:$AG$157,32,FALSE),"")</f>
        <v/>
      </c>
    </row>
    <row r="164" spans="1:7" x14ac:dyDescent="0.25">
      <c r="A164" s="5" t="s">
        <v>166</v>
      </c>
      <c r="B164" s="5" t="s">
        <v>360</v>
      </c>
      <c r="C164" s="26" t="str">
        <f>IFERROR(VLOOKUP($B164,DGE_p!$B$2:$AG$157,32,FALSE),"")</f>
        <v/>
      </c>
      <c r="D164" s="26" t="str">
        <f>IFERROR(VLOOKUP($B164,MIMIC_p!$B$2:$AG$157,32,FALSE),"")</f>
        <v/>
      </c>
      <c r="E164" s="26" t="str">
        <f>IFERROR(VLOOKUP($B164,SEMP_p!$B$2:$AG$157,32,FALSE),"")</f>
        <v/>
      </c>
      <c r="F164" s="26" t="str">
        <f>IFERROR(VLOOKUP($B164,Infemp_p!$B$2:$AG$157,32,FALSE),"")</f>
        <v/>
      </c>
      <c r="G164" s="26" t="str">
        <f>IFERROR(VLOOKUP($B164,Infsize_p!$B$2:$AG$157,32,FALSE),"")</f>
        <v/>
      </c>
    </row>
    <row r="165" spans="1:7" x14ac:dyDescent="0.25">
      <c r="A165" s="5" t="s">
        <v>176</v>
      </c>
      <c r="B165" s="5" t="s">
        <v>370</v>
      </c>
      <c r="C165" s="26" t="str">
        <f>IFERROR(VLOOKUP($B165,DGE_p!$B$2:$AG$157,32,FALSE),"")</f>
        <v/>
      </c>
      <c r="D165" s="26" t="str">
        <f>IFERROR(VLOOKUP($B165,MIMIC_p!$B$2:$AG$157,32,FALSE),"")</f>
        <v/>
      </c>
      <c r="E165" s="26" t="str">
        <f>IFERROR(VLOOKUP($B165,SEMP_p!$B$2:$AG$157,32,FALSE),"")</f>
        <v/>
      </c>
      <c r="F165" s="26" t="str">
        <f>IFERROR(VLOOKUP($B165,Infemp_p!$B$2:$AG$157,32,FALSE),"")</f>
        <v/>
      </c>
      <c r="G165" s="26" t="str">
        <f>IFERROR(VLOOKUP($B165,Infsize_p!$B$2:$AG$157,32,FALSE),"")</f>
        <v/>
      </c>
    </row>
    <row r="166" spans="1:7" x14ac:dyDescent="0.25">
      <c r="A166" s="5" t="s">
        <v>178</v>
      </c>
      <c r="B166" s="5" t="s">
        <v>372</v>
      </c>
      <c r="C166" s="26">
        <f>IFERROR(VLOOKUP($B166,DGE_p!$B$2:$AG$157,32,FALSE),"")</f>
        <v>38.230351187966086</v>
      </c>
      <c r="D166" s="26">
        <f>IFERROR(VLOOKUP($B166,MIMIC_p!$B$2:$AG$157,32,FALSE),"")</f>
        <v>40.878031643954188</v>
      </c>
      <c r="E166" s="26" t="str">
        <f>IFERROR(VLOOKUP($B166,SEMP_p!$B$2:$AG$157,32,FALSE),"")</f>
        <v/>
      </c>
      <c r="F166" s="26">
        <f>IFERROR(VLOOKUP($B166,Infemp_p!$B$2:$AG$157,32,FALSE),"")</f>
        <v>91.7</v>
      </c>
      <c r="G166" s="26">
        <f>IFERROR(VLOOKUP($B166,Infsize_p!$B$2:$AG$157,32,FALSE),"")</f>
        <v>84.86</v>
      </c>
    </row>
    <row r="167" spans="1:7" x14ac:dyDescent="0.25">
      <c r="A167" s="5" t="s">
        <v>179</v>
      </c>
      <c r="B167" s="5" t="s">
        <v>373</v>
      </c>
      <c r="C167" s="26">
        <f>IFERROR(VLOOKUP($B167,DGE_p!$B$2:$AG$157,32,FALSE),"")</f>
        <v>46.382449410178445</v>
      </c>
      <c r="D167" s="26">
        <f>IFERROR(VLOOKUP($B167,MIMIC_p!$B$2:$AG$157,32,FALSE),"")</f>
        <v>47.190594066273086</v>
      </c>
      <c r="E167" s="26" t="str">
        <f>IFERROR(VLOOKUP($B167,SEMP_p!$B$2:$AG$157,32,FALSE),"")</f>
        <v/>
      </c>
      <c r="F167" s="26" t="str">
        <f>IFERROR(VLOOKUP($B167,Infemp_p!$B$2:$AG$157,32,FALSE),"")</f>
        <v/>
      </c>
      <c r="G167" s="26" t="str">
        <f>IFERROR(VLOOKUP($B167,Infsize_p!$B$2:$AG$157,32,FALSE),"")</f>
        <v/>
      </c>
    </row>
    <row r="168" spans="1:7" x14ac:dyDescent="0.25">
      <c r="A168" s="5" t="s">
        <v>5</v>
      </c>
      <c r="B168" s="5" t="s">
        <v>198</v>
      </c>
      <c r="C168" s="26">
        <f>IFERROR(VLOOKUP($B168,DGE_p!$B$2:$AG$157,32,FALSE),"")</f>
        <v>22.938794916326348</v>
      </c>
      <c r="D168" s="26">
        <f>IFERROR(VLOOKUP($B168,MIMIC_p!$B$2:$AG$157,32,FALSE),"")</f>
        <v>27.726507533680309</v>
      </c>
      <c r="E168" s="26" t="str">
        <f>IFERROR(VLOOKUP($B168,SEMP_p!$B$2:$AG$157,32,FALSE),"")</f>
        <v/>
      </c>
      <c r="F168" s="26" t="str">
        <f>IFERROR(VLOOKUP($B168,Infemp_p!$B$2:$AG$157,32,FALSE),"")</f>
        <v/>
      </c>
      <c r="G168" s="26" t="str">
        <f>IFERROR(VLOOKUP($B168,Infsize_p!$B$2:$AG$157,32,FALSE),"")</f>
        <v/>
      </c>
    </row>
    <row r="169" spans="1:7" x14ac:dyDescent="0.25">
      <c r="A169" s="5" t="s">
        <v>64</v>
      </c>
      <c r="B169" s="5" t="s">
        <v>257</v>
      </c>
      <c r="C169" s="26">
        <f>IFERROR(VLOOKUP($B169,DGE_p!$B$2:$AG$157,32,FALSE),"")</f>
        <v>12.100232471119273</v>
      </c>
      <c r="D169" s="26">
        <f>IFERROR(VLOOKUP($B169,MIMIC_p!$B$2:$AG$157,32,FALSE),"")</f>
        <v>12.80302533236417</v>
      </c>
      <c r="E169" s="26" t="str">
        <f>IFERROR(VLOOKUP($B169,SEMP_p!$B$2:$AG$157,32,FALSE),"")</f>
        <v/>
      </c>
      <c r="F169" s="26" t="str">
        <f>IFERROR(VLOOKUP($B169,Infemp_p!$B$2:$AG$157,32,FALSE),"")</f>
        <v/>
      </c>
      <c r="G169" s="26" t="str">
        <f>IFERROR(VLOOKUP($B169,Infsize_p!$B$2:$AG$157,32,FALSE),"")</f>
        <v/>
      </c>
    </row>
    <row r="170" spans="1:7" x14ac:dyDescent="0.25">
      <c r="A170" s="5" t="s">
        <v>181</v>
      </c>
      <c r="B170" s="5" t="s">
        <v>375</v>
      </c>
      <c r="C170" s="26">
        <f>IFERROR(VLOOKUP($B170,DGE_p!$B$2:$AG$157,32,FALSE),"")</f>
        <v>8.2877722653475683</v>
      </c>
      <c r="D170" s="26">
        <f>IFERROR(VLOOKUP($B170,MIMIC_p!$B$2:$AG$157,32,FALSE),"")</f>
        <v>8.9042304645885118</v>
      </c>
      <c r="E170" s="26" t="str">
        <f>IFERROR(VLOOKUP($B170,SEMP_p!$B$2:$AG$157,32,FALSE),"")</f>
        <v/>
      </c>
      <c r="F170" s="26" t="str">
        <f>IFERROR(VLOOKUP($B170,Infemp_p!$B$2:$AG$157,32,FALSE),"")</f>
        <v/>
      </c>
      <c r="G170" s="26" t="str">
        <f>IFERROR(VLOOKUP($B170,Infsize_p!$B$2:$AG$157,32,FALSE),"")</f>
        <v/>
      </c>
    </row>
    <row r="171" spans="1:7" x14ac:dyDescent="0.25">
      <c r="A171" s="5" t="s">
        <v>180</v>
      </c>
      <c r="B171" s="5" t="s">
        <v>374</v>
      </c>
      <c r="C171" s="26">
        <f>IFERROR(VLOOKUP($B171,DGE_p!$B$2:$AG$157,32,FALSE),"")</f>
        <v>44.900304274125531</v>
      </c>
      <c r="D171" s="26">
        <f>IFERROR(VLOOKUP($B171,MIMIC_p!$B$2:$AG$157,32,FALSE),"")</f>
        <v>48.354177995161578</v>
      </c>
      <c r="E171" s="26" t="str">
        <f>IFERROR(VLOOKUP($B171,SEMP_p!$B$2:$AG$157,32,FALSE),"")</f>
        <v/>
      </c>
      <c r="F171" s="26">
        <f>IFERROR(VLOOKUP($B171,Infemp_p!$B$2:$AG$157,32,FALSE),"")</f>
        <v>37.141000000000005</v>
      </c>
      <c r="G171" s="26">
        <f>IFERROR(VLOOKUP($B171,Infsize_p!$B$2:$AG$157,32,FALSE),"")</f>
        <v>38.193999999999996</v>
      </c>
    </row>
    <row r="172" spans="1:7" x14ac:dyDescent="0.25">
      <c r="A172" s="5" t="s">
        <v>186</v>
      </c>
      <c r="B172" s="5" t="s">
        <v>380</v>
      </c>
      <c r="C172" s="26" t="str">
        <f>IFERROR(VLOOKUP($B172,DGE_p!$B$2:$AG$157,32,FALSE),"")</f>
        <v/>
      </c>
      <c r="D172" s="26" t="str">
        <f>IFERROR(VLOOKUP($B172,MIMIC_p!$B$2:$AG$157,32,FALSE),"")</f>
        <v/>
      </c>
      <c r="E172" s="26" t="str">
        <f>IFERROR(VLOOKUP($B172,SEMP_p!$B$2:$AG$157,32,FALSE),"")</f>
        <v/>
      </c>
      <c r="F172" s="26" t="str">
        <f>IFERROR(VLOOKUP($B172,Infemp_p!$B$2:$AG$157,32,FALSE),"")</f>
        <v/>
      </c>
      <c r="G172" s="26" t="str">
        <f>IFERROR(VLOOKUP($B172,Infsize_p!$B$2:$AG$157,32,FALSE),"")</f>
        <v/>
      </c>
    </row>
    <row r="173" spans="1:7" x14ac:dyDescent="0.25">
      <c r="A173" s="5" t="s">
        <v>184</v>
      </c>
      <c r="B173" s="5" t="s">
        <v>378</v>
      </c>
      <c r="C173" s="26">
        <f>IFERROR(VLOOKUP($B173,DGE_p!$B$2:$AG$157,32,FALSE),"")</f>
        <v>30.346770546653055</v>
      </c>
      <c r="D173" s="26">
        <f>IFERROR(VLOOKUP($B173,MIMIC_p!$B$2:$AG$157,32,FALSE),"")</f>
        <v>32.239366184581407</v>
      </c>
      <c r="E173" s="26" t="str">
        <f>IFERROR(VLOOKUP($B173,SEMP_p!$B$2:$AG$157,32,FALSE),"")</f>
        <v/>
      </c>
      <c r="F173" s="26" t="str">
        <f>IFERROR(VLOOKUP($B173,Infemp_p!$B$2:$AG$157,32,FALSE),"")</f>
        <v/>
      </c>
      <c r="G173" s="26" t="str">
        <f>IFERROR(VLOOKUP($B173,Infsize_p!$B$2:$AG$157,32,FALSE),"")</f>
        <v/>
      </c>
    </row>
    <row r="174" spans="1:7" x14ac:dyDescent="0.25">
      <c r="A174" s="5" t="s">
        <v>185</v>
      </c>
      <c r="B174" s="5" t="s">
        <v>379</v>
      </c>
      <c r="C174" s="26">
        <f>IFERROR(VLOOKUP($B174,DGE_p!$B$2:$AG$157,32,FALSE),"")</f>
        <v>13.637288006869229</v>
      </c>
      <c r="D174" s="26">
        <f>IFERROR(VLOOKUP($B174,MIMIC_p!$B$2:$AG$157,32,FALSE),"")</f>
        <v>14.677073565396396</v>
      </c>
      <c r="E174" s="26" t="str">
        <f>IFERROR(VLOOKUP($B174,SEMP_p!$B$2:$AG$157,32,FALSE),"")</f>
        <v/>
      </c>
      <c r="F174" s="26">
        <f>IFERROR(VLOOKUP($B174,Infemp_p!$B$2:$AG$157,32,FALSE),"")</f>
        <v>79.08</v>
      </c>
      <c r="G174" s="26">
        <f>IFERROR(VLOOKUP($B174,Infsize_p!$B$2:$AG$157,32,FALSE),"")</f>
        <v>69.992000000000004</v>
      </c>
    </row>
    <row r="175" spans="1:7" x14ac:dyDescent="0.25">
      <c r="A175" s="5" t="s">
        <v>409</v>
      </c>
      <c r="B175" s="5" t="s">
        <v>337</v>
      </c>
      <c r="C175" s="26" t="str">
        <f>IFERROR(VLOOKUP($B175,DGE_p!$B$2:$AG$157,32,FALSE),"")</f>
        <v/>
      </c>
      <c r="D175" s="26" t="str">
        <f>IFERROR(VLOOKUP($B175,MIMIC_p!$B$2:$AG$157,32,FALSE),"")</f>
        <v/>
      </c>
      <c r="E175" s="26" t="str">
        <f>IFERROR(VLOOKUP($B175,SEMP_p!$B$2:$AG$157,32,FALSE),"")</f>
        <v/>
      </c>
      <c r="F175" s="26">
        <f>IFERROR(VLOOKUP($B175,Infemp_p!$B$2:$AG$157,32,FALSE),"")</f>
        <v>56.116666666666667</v>
      </c>
      <c r="G175" s="26">
        <f>IFERROR(VLOOKUP($B175,Infsize_p!$B$2:$AG$157,32,FALSE),"")</f>
        <v>32.188333333333333</v>
      </c>
    </row>
    <row r="176" spans="1:7" x14ac:dyDescent="0.25">
      <c r="A176" s="5" t="s">
        <v>189</v>
      </c>
      <c r="B176" s="5" t="s">
        <v>383</v>
      </c>
      <c r="C176" s="26">
        <f>IFERROR(VLOOKUP($B176,DGE_p!$B$2:$AG$157,32,FALSE),"")</f>
        <v>25.533306642012164</v>
      </c>
      <c r="D176" s="26">
        <f>IFERROR(VLOOKUP($B176,MIMIC_p!$B$2:$AG$157,32,FALSE),"")</f>
        <v>27.822342785921965</v>
      </c>
      <c r="E176" s="26" t="str">
        <f>IFERROR(VLOOKUP($B176,SEMP_p!$B$2:$AG$157,32,FALSE),"")</f>
        <v/>
      </c>
      <c r="F176" s="26">
        <f>IFERROR(VLOOKUP($B176,Infemp_p!$B$2:$AG$157,32,FALSE),"")</f>
        <v>77.41</v>
      </c>
      <c r="G176" s="26">
        <f>IFERROR(VLOOKUP($B176,Infsize_p!$B$2:$AG$157,32,FALSE),"")</f>
        <v>70.239999999999995</v>
      </c>
    </row>
    <row r="177" spans="1:7" x14ac:dyDescent="0.25">
      <c r="A177" s="5" t="s">
        <v>191</v>
      </c>
      <c r="B177" s="5" t="s">
        <v>385</v>
      </c>
      <c r="C177" s="26">
        <f>IFERROR(VLOOKUP($B177,DGE_p!$B$2:$AG$157,32,FALSE),"")</f>
        <v>43.200604525479406</v>
      </c>
      <c r="D177" s="26" t="str">
        <f>IFERROR(VLOOKUP($B177,MIMIC_p!$B$2:$AG$157,32,FALSE),"")</f>
        <v/>
      </c>
      <c r="E177" s="26" t="str">
        <f>IFERROR(VLOOKUP($B177,SEMP_p!$B$2:$AG$157,32,FALSE),"")</f>
        <v/>
      </c>
      <c r="F177" s="26" t="str">
        <f>IFERROR(VLOOKUP($B177,Infemp_p!$B$2:$AG$157,32,FALSE),"")</f>
        <v/>
      </c>
      <c r="G177" s="26" t="str">
        <f>IFERROR(VLOOKUP($B177,Infsize_p!$B$2:$AG$157,32,FALSE),"")</f>
        <v/>
      </c>
    </row>
    <row r="178" spans="1:7" x14ac:dyDescent="0.25">
      <c r="A178" s="5" t="s">
        <v>192</v>
      </c>
      <c r="B178" s="5" t="s">
        <v>386</v>
      </c>
      <c r="C178" s="26">
        <f>IFERROR(VLOOKUP($B178,DGE_p!$B$2:$AG$157,32,FALSE),"")</f>
        <v>63.512865586714312</v>
      </c>
      <c r="D178" s="26" t="str">
        <f>IFERROR(VLOOKUP($B178,MIMIC_p!$B$2:$AG$157,32,FALSE),"")</f>
        <v/>
      </c>
      <c r="E178" s="26" t="str">
        <f>IFERROR(VLOOKUP($B178,SEMP_p!$B$2:$AG$157,32,FALSE),"")</f>
        <v/>
      </c>
      <c r="F178" s="26">
        <f>IFERROR(VLOOKUP($B178,Infemp_p!$B$2:$AG$157,32,FALSE),"")</f>
        <v>86.484999999999999</v>
      </c>
      <c r="G178" s="26">
        <f>IFERROR(VLOOKUP($B178,Infsize_p!$B$2:$AG$157,32,FALSE),"")</f>
        <v>78.319999999999993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B845-84EA-4CE2-809D-8D49D4D31999}">
  <dimension ref="A1:D178"/>
  <sheetViews>
    <sheetView workbookViewId="0">
      <selection activeCell="C25" sqref="C25"/>
    </sheetView>
  </sheetViews>
  <sheetFormatPr defaultRowHeight="15" x14ac:dyDescent="0.25"/>
  <cols>
    <col min="3" max="4" width="11.5703125" customWidth="1"/>
  </cols>
  <sheetData>
    <row r="1" spans="1:4" x14ac:dyDescent="0.25">
      <c r="A1" s="22" t="s">
        <v>433</v>
      </c>
      <c r="B1" s="23" t="s">
        <v>432</v>
      </c>
      <c r="C1" s="24" t="s">
        <v>427</v>
      </c>
      <c r="D1" s="24" t="s">
        <v>429</v>
      </c>
    </row>
    <row r="2" spans="1:4" x14ac:dyDescent="0.25">
      <c r="A2" s="5" t="s">
        <v>3</v>
      </c>
      <c r="B2" s="5" t="s">
        <v>196</v>
      </c>
      <c r="C2" s="26">
        <f>IFERROR(VLOOKUP($B2,DGE_p!$B$2:$P$157,15,FALSE),"")</f>
        <v>34.009563446044922</v>
      </c>
      <c r="D2" s="26">
        <f>IF(ISBLANK(VLOOKUP($B2,SEMP_p!$B$2:$P$157,15,FALSE)),"",(VLOOKUP($B2,SEMP_p!$B$2:$P$157,15,FALSE)))</f>
        <v>66.666664123535156</v>
      </c>
    </row>
    <row r="3" spans="1:4" x14ac:dyDescent="0.25">
      <c r="A3" s="5" t="s">
        <v>52</v>
      </c>
      <c r="B3" s="5" t="s">
        <v>245</v>
      </c>
      <c r="C3" s="26">
        <f>IFERROR(VLOOKUP($B3,DGE_p!$B$2:$P$157,15,FALSE),"")</f>
        <v>30.419153213500977</v>
      </c>
      <c r="D3" s="26">
        <f>IF(ISBLANK(VLOOKUP($B3,SEMP_p!$B$2:$P$157,15,FALSE)),"",(VLOOKUP($B3,SEMP_p!$B$2:$P$157,15,FALSE)))</f>
        <v>34.999977111816406</v>
      </c>
    </row>
    <row r="4" spans="1:4" x14ac:dyDescent="0.25">
      <c r="A4" s="5" t="s">
        <v>2</v>
      </c>
      <c r="B4" s="5" t="s">
        <v>195</v>
      </c>
      <c r="C4" s="26">
        <f>IFERROR(VLOOKUP($B4,DGE_p!$B$2:$P$157,15,FALSE),"")</f>
        <v>41.197376251220703</v>
      </c>
      <c r="D4" s="26" t="str">
        <f>IF(ISBLANK(VLOOKUP($B4,SEMP_p!$B$2:$P$157,15,FALSE)),"",(VLOOKUP($B4,SEMP_p!$B$2:$P$157,15,FALSE)))</f>
        <v/>
      </c>
    </row>
    <row r="5" spans="1:4" x14ac:dyDescent="0.25">
      <c r="A5" s="5" t="s">
        <v>8</v>
      </c>
      <c r="B5" s="5" t="s">
        <v>201</v>
      </c>
      <c r="C5" s="26" t="str">
        <f>IFERROR(VLOOKUP($B5,DGE_p!$B$2:$P$157,15,FALSE),"")</f>
        <v/>
      </c>
      <c r="D5" s="26" t="str">
        <f>IF(ISBLANK(VLOOKUP($B5,SEMP_p!$B$2:$P$157,15,FALSE)),"",(VLOOKUP($B5,SEMP_p!$B$2:$P$157,15,FALSE)))</f>
        <v/>
      </c>
    </row>
    <row r="6" spans="1:4" x14ac:dyDescent="0.25">
      <c r="A6" s="5" t="s">
        <v>6</v>
      </c>
      <c r="B6" s="5" t="s">
        <v>199</v>
      </c>
      <c r="C6" s="26">
        <f>IFERROR(VLOOKUP($B6,DGE_p!$B$2:$P$157,15,FALSE),"")</f>
        <v>22.924100875854492</v>
      </c>
      <c r="D6" s="26">
        <f>IF(ISBLANK(VLOOKUP($B6,SEMP_p!$B$2:$P$157,15,FALSE)),"",(VLOOKUP($B6,SEMP_p!$B$2:$P$157,15,FALSE)))</f>
        <v>26.299999237060547</v>
      </c>
    </row>
    <row r="7" spans="1:4" x14ac:dyDescent="0.25">
      <c r="A7" s="5" t="s">
        <v>7</v>
      </c>
      <c r="B7" s="5" t="s">
        <v>200</v>
      </c>
      <c r="C7" s="26">
        <f>IFERROR(VLOOKUP($B7,DGE_p!$B$2:$P$157,15,FALSE),"")</f>
        <v>45.070461273193359</v>
      </c>
      <c r="D7" s="26">
        <f>IF(ISBLANK(VLOOKUP($B7,SEMP_p!$B$2:$P$157,15,FALSE)),"",(VLOOKUP($B7,SEMP_p!$B$2:$P$157,15,FALSE)))</f>
        <v>51.119537353515625</v>
      </c>
    </row>
    <row r="8" spans="1:4" x14ac:dyDescent="0.25">
      <c r="A8" s="5" t="s">
        <v>0</v>
      </c>
      <c r="B8" s="5" t="s">
        <v>193</v>
      </c>
      <c r="C8" s="26" t="str">
        <f>IFERROR(VLOOKUP($B8,DGE_p!$B$2:$P$157,15,FALSE),"")</f>
        <v/>
      </c>
      <c r="D8" s="26" t="str">
        <f>IF(ISBLANK(VLOOKUP($B8,SEMP_p!$B$2:$P$157,15,FALSE)),"",(VLOOKUP($B8,SEMP_p!$B$2:$P$157,15,FALSE)))</f>
        <v/>
      </c>
    </row>
    <row r="9" spans="1:4" x14ac:dyDescent="0.25">
      <c r="A9" s="5" t="s">
        <v>9</v>
      </c>
      <c r="B9" s="5" t="s">
        <v>202</v>
      </c>
      <c r="C9" s="26">
        <f>IFERROR(VLOOKUP($B9,DGE_p!$B$2:$P$157,15,FALSE),"")</f>
        <v>13.89885139465332</v>
      </c>
      <c r="D9" s="26">
        <f>IF(ISBLANK(VLOOKUP($B9,SEMP_p!$B$2:$P$157,15,FALSE)),"",(VLOOKUP($B9,SEMP_p!$B$2:$P$157,15,FALSE)))</f>
        <v>13.129079818725586</v>
      </c>
    </row>
    <row r="10" spans="1:4" x14ac:dyDescent="0.25">
      <c r="A10" s="5" t="s">
        <v>10</v>
      </c>
      <c r="B10" s="5" t="s">
        <v>203</v>
      </c>
      <c r="C10" s="26">
        <f>IFERROR(VLOOKUP($B10,DGE_p!$B$2:$P$157,15,FALSE),"")</f>
        <v>9.6159572601318359</v>
      </c>
      <c r="D10" s="26">
        <f>IF(ISBLANK(VLOOKUP($B10,SEMP_p!$B$2:$P$157,15,FALSE)),"",(VLOOKUP($B10,SEMP_p!$B$2:$P$157,15,FALSE)))</f>
        <v>13</v>
      </c>
    </row>
    <row r="11" spans="1:4" x14ac:dyDescent="0.25">
      <c r="A11" s="5" t="s">
        <v>11</v>
      </c>
      <c r="B11" s="5" t="s">
        <v>204</v>
      </c>
      <c r="C11" s="26">
        <f>IFERROR(VLOOKUP($B11,DGE_p!$B$2:$P$157,15,FALSE),"")</f>
        <v>57.314212799072266</v>
      </c>
      <c r="D11" s="26">
        <f>IF(ISBLANK(VLOOKUP($B11,SEMP_p!$B$2:$P$157,15,FALSE)),"",(VLOOKUP($B11,SEMP_p!$B$2:$P$157,15,FALSE)))</f>
        <v>67.300003051757813</v>
      </c>
    </row>
    <row r="12" spans="1:4" x14ac:dyDescent="0.25">
      <c r="A12" s="5" t="s">
        <v>19</v>
      </c>
      <c r="B12" s="5" t="s">
        <v>212</v>
      </c>
      <c r="C12" s="26">
        <f>IFERROR(VLOOKUP($B12,DGE_p!$B$2:$P$157,15,FALSE),"")</f>
        <v>27.205049514770508</v>
      </c>
      <c r="D12" s="26">
        <f>IF(ISBLANK(VLOOKUP($B12,SEMP_p!$B$2:$P$157,15,FALSE)),"",(VLOOKUP($B12,SEMP_p!$B$2:$P$157,15,FALSE)))</f>
        <v>14.300000190734863</v>
      </c>
    </row>
    <row r="13" spans="1:4" x14ac:dyDescent="0.25">
      <c r="A13" s="5" t="s">
        <v>18</v>
      </c>
      <c r="B13" s="5" t="s">
        <v>211</v>
      </c>
      <c r="C13" s="26">
        <f>IFERROR(VLOOKUP($B13,DGE_p!$B$2:$P$157,15,FALSE),"")</f>
        <v>16.532934188842773</v>
      </c>
      <c r="D13" s="26">
        <f>IF(ISBLANK(VLOOKUP($B13,SEMP_p!$B$2:$P$157,15,FALSE)),"",(VLOOKUP($B13,SEMP_p!$B$2:$P$157,15,FALSE)))</f>
        <v>4.0999999046325684</v>
      </c>
    </row>
    <row r="14" spans="1:4" x14ac:dyDescent="0.25">
      <c r="A14" s="5" t="s">
        <v>16</v>
      </c>
      <c r="B14" s="5" t="s">
        <v>209</v>
      </c>
      <c r="C14" s="26">
        <f>IFERROR(VLOOKUP($B14,DGE_p!$B$2:$P$157,15,FALSE),"")</f>
        <v>37.098930358886719</v>
      </c>
      <c r="D14" s="26">
        <f>IF(ISBLANK(VLOOKUP($B14,SEMP_p!$B$2:$P$157,15,FALSE)),"",(VLOOKUP($B14,SEMP_p!$B$2:$P$157,15,FALSE)))</f>
        <v>83.5</v>
      </c>
    </row>
    <row r="15" spans="1:4" x14ac:dyDescent="0.25">
      <c r="A15" s="5" t="s">
        <v>26</v>
      </c>
      <c r="B15" s="5" t="s">
        <v>219</v>
      </c>
      <c r="C15" s="26">
        <f>IFERROR(VLOOKUP($B15,DGE_p!$B$2:$P$157,15,FALSE),"")</f>
        <v>25.400028228759766</v>
      </c>
      <c r="D15" s="26">
        <f>IF(ISBLANK(VLOOKUP($B15,SEMP_p!$B$2:$P$157,15,FALSE)),"",(VLOOKUP($B15,SEMP_p!$B$2:$P$157,15,FALSE)))</f>
        <v>14.399999618530273</v>
      </c>
    </row>
    <row r="16" spans="1:4" x14ac:dyDescent="0.25">
      <c r="A16" s="5" t="s">
        <v>21</v>
      </c>
      <c r="B16" s="5" t="s">
        <v>214</v>
      </c>
      <c r="C16" s="26">
        <f>IFERROR(VLOOKUP($B16,DGE_p!$B$2:$P$157,15,FALSE),"")</f>
        <v>44.384475708007813</v>
      </c>
      <c r="D16" s="26" t="str">
        <f>IF(ISBLANK(VLOOKUP($B16,SEMP_p!$B$2:$P$157,15,FALSE)),"",(VLOOKUP($B16,SEMP_p!$B$2:$P$157,15,FALSE)))</f>
        <v/>
      </c>
    </row>
    <row r="17" spans="1:4" x14ac:dyDescent="0.25">
      <c r="A17" s="5" t="s">
        <v>13</v>
      </c>
      <c r="B17" s="5" t="s">
        <v>206</v>
      </c>
      <c r="C17" s="26">
        <f>IFERROR(VLOOKUP($B17,DGE_p!$B$2:$P$157,15,FALSE),"")</f>
        <v>21.535511016845703</v>
      </c>
      <c r="D17" s="26">
        <f>IF(ISBLANK(VLOOKUP($B17,SEMP_p!$B$2:$P$157,15,FALSE)),"",(VLOOKUP($B17,SEMP_p!$B$2:$P$157,15,FALSE)))</f>
        <v>14.980190277099609</v>
      </c>
    </row>
    <row r="18" spans="1:4" x14ac:dyDescent="0.25">
      <c r="A18" s="5" t="s">
        <v>22</v>
      </c>
      <c r="B18" s="5" t="s">
        <v>215</v>
      </c>
      <c r="C18" s="26">
        <f>IFERROR(VLOOKUP($B18,DGE_p!$B$2:$P$157,15,FALSE),"")</f>
        <v>41.619388580322266</v>
      </c>
      <c r="D18" s="26" t="str">
        <f>IF(ISBLANK(VLOOKUP($B18,SEMP_p!$B$2:$P$157,15,FALSE)),"",(VLOOKUP($B18,SEMP_p!$B$2:$P$157,15,FALSE)))</f>
        <v/>
      </c>
    </row>
    <row r="19" spans="1:4" x14ac:dyDescent="0.25">
      <c r="A19" s="5" t="s">
        <v>14</v>
      </c>
      <c r="B19" s="5" t="s">
        <v>207</v>
      </c>
      <c r="C19" s="26">
        <f>IFERROR(VLOOKUP($B19,DGE_p!$B$2:$P$157,15,FALSE),"")</f>
        <v>49.444446563720703</v>
      </c>
      <c r="D19" s="26">
        <f>IF(ISBLANK(VLOOKUP($B19,SEMP_p!$B$2:$P$157,15,FALSE)),"",(VLOOKUP($B19,SEMP_p!$B$2:$P$157,15,FALSE)))</f>
        <v>89.900001525878906</v>
      </c>
    </row>
    <row r="20" spans="1:4" x14ac:dyDescent="0.25">
      <c r="A20" s="5" t="s">
        <v>23</v>
      </c>
      <c r="B20" s="5" t="s">
        <v>216</v>
      </c>
      <c r="C20" s="26" t="str">
        <f>IFERROR(VLOOKUP($B20,DGE_p!$B$2:$P$157,15,FALSE),"")</f>
        <v/>
      </c>
      <c r="D20" s="26" t="str">
        <f>IF(ISBLANK(VLOOKUP($B20,SEMP_p!$B$2:$P$157,15,FALSE)),"",(VLOOKUP($B20,SEMP_p!$B$2:$P$157,15,FALSE)))</f>
        <v/>
      </c>
    </row>
    <row r="21" spans="1:4" x14ac:dyDescent="0.25">
      <c r="A21" s="5" t="s">
        <v>28</v>
      </c>
      <c r="B21" s="5" t="s">
        <v>221</v>
      </c>
      <c r="C21" s="26">
        <f>IFERROR(VLOOKUP($B21,DGE_p!$B$2:$P$157,15,FALSE),"")</f>
        <v>29.007726669311523</v>
      </c>
      <c r="D21" s="26" t="str">
        <f>IF(ISBLANK(VLOOKUP($B21,SEMP_p!$B$2:$P$157,15,FALSE)),"",(VLOOKUP($B21,SEMP_p!$B$2:$P$157,15,FALSE)))</f>
        <v/>
      </c>
    </row>
    <row r="22" spans="1:4" x14ac:dyDescent="0.25">
      <c r="A22" s="5" t="s">
        <v>24</v>
      </c>
      <c r="B22" s="5" t="s">
        <v>217</v>
      </c>
      <c r="C22" s="26">
        <f>IFERROR(VLOOKUP($B22,DGE_p!$B$2:$P$157,15,FALSE),"")</f>
        <v>63.396125793457031</v>
      </c>
      <c r="D22" s="26">
        <f>IF(ISBLANK(VLOOKUP($B22,SEMP_p!$B$2:$P$157,15,FALSE)),"",(VLOOKUP($B22,SEMP_p!$B$2:$P$157,15,FALSE)))</f>
        <v>64</v>
      </c>
    </row>
    <row r="23" spans="1:4" x14ac:dyDescent="0.25">
      <c r="A23" s="5" t="s">
        <v>20</v>
      </c>
      <c r="B23" s="5" t="s">
        <v>213</v>
      </c>
      <c r="C23" s="26">
        <f>IFERROR(VLOOKUP($B23,DGE_p!$B$2:$P$157,15,FALSE),"")</f>
        <v>35.892284393310547</v>
      </c>
      <c r="D23" s="26">
        <f>IF(ISBLANK(VLOOKUP($B23,SEMP_p!$B$2:$P$157,15,FALSE)),"",(VLOOKUP($B23,SEMP_p!$B$2:$P$157,15,FALSE)))</f>
        <v>27.518426895141602</v>
      </c>
    </row>
    <row r="24" spans="1:4" x14ac:dyDescent="0.25">
      <c r="A24" s="5" t="s">
        <v>29</v>
      </c>
      <c r="B24" s="5" t="s">
        <v>222</v>
      </c>
      <c r="C24" s="26">
        <f>IFERROR(VLOOKUP($B24,DGE_p!$B$2:$P$157,15,FALSE),"")</f>
        <v>32.566307067871094</v>
      </c>
      <c r="D24" s="26">
        <f>IF(ISBLANK(VLOOKUP($B24,SEMP_p!$B$2:$P$157,15,FALSE)),"",(VLOOKUP($B24,SEMP_p!$B$2:$P$157,15,FALSE)))</f>
        <v>2.2491350173950195</v>
      </c>
    </row>
    <row r="25" spans="1:4" x14ac:dyDescent="0.25">
      <c r="A25" s="5" t="s">
        <v>25</v>
      </c>
      <c r="B25" s="5" t="s">
        <v>218</v>
      </c>
      <c r="C25" s="26">
        <f>IFERROR(VLOOKUP($B25,DGE_p!$B$2:$P$157,15,FALSE),"")</f>
        <v>36.023487091064453</v>
      </c>
      <c r="D25" s="26">
        <f>IF(ISBLANK(VLOOKUP($B25,SEMP_p!$B$2:$P$157,15,FALSE)),"",(VLOOKUP($B25,SEMP_p!$B$2:$P$157,15,FALSE)))</f>
        <v>37.204441070556641</v>
      </c>
    </row>
    <row r="26" spans="1:4" x14ac:dyDescent="0.25">
      <c r="A26" s="5" t="s">
        <v>27</v>
      </c>
      <c r="B26" s="5" t="s">
        <v>220</v>
      </c>
      <c r="C26" s="26">
        <f>IFERROR(VLOOKUP($B26,DGE_p!$B$2:$P$157,15,FALSE),"")</f>
        <v>31.042436599731445</v>
      </c>
      <c r="D26" s="26" t="str">
        <f>IF(ISBLANK(VLOOKUP($B26,SEMP_p!$B$2:$P$157,15,FALSE)),"",(VLOOKUP($B26,SEMP_p!$B$2:$P$157,15,FALSE)))</f>
        <v/>
      </c>
    </row>
    <row r="27" spans="1:4" x14ac:dyDescent="0.25">
      <c r="A27" s="5" t="s">
        <v>17</v>
      </c>
      <c r="B27" s="5" t="s">
        <v>210</v>
      </c>
      <c r="C27" s="26">
        <f>IFERROR(VLOOKUP($B27,DGE_p!$B$2:$P$157,15,FALSE),"")</f>
        <v>35.415969848632813</v>
      </c>
      <c r="D27" s="26">
        <f>IF(ISBLANK(VLOOKUP($B27,SEMP_p!$B$2:$P$157,15,FALSE)),"",(VLOOKUP($B27,SEMP_p!$B$2:$P$157,15,FALSE)))</f>
        <v>15.899999618530273</v>
      </c>
    </row>
    <row r="28" spans="1:4" x14ac:dyDescent="0.25">
      <c r="A28" s="5" t="s">
        <v>15</v>
      </c>
      <c r="B28" s="5" t="s">
        <v>208</v>
      </c>
      <c r="C28" s="26">
        <f>IFERROR(VLOOKUP($B28,DGE_p!$B$2:$P$157,15,FALSE),"")</f>
        <v>42.236492156982422</v>
      </c>
      <c r="D28" s="26">
        <f>IF(ISBLANK(VLOOKUP($B28,SEMP_p!$B$2:$P$157,15,FALSE)),"",(VLOOKUP($B28,SEMP_p!$B$2:$P$157,15,FALSE)))</f>
        <v>94.300003051757813</v>
      </c>
    </row>
    <row r="29" spans="1:4" x14ac:dyDescent="0.25">
      <c r="A29" s="5" t="s">
        <v>12</v>
      </c>
      <c r="B29" s="5" t="s">
        <v>205</v>
      </c>
      <c r="C29" s="26">
        <f>IFERROR(VLOOKUP($B29,DGE_p!$B$2:$P$157,15,FALSE),"")</f>
        <v>39.970367431640625</v>
      </c>
      <c r="D29" s="26">
        <f>IF(ISBLANK(VLOOKUP($B29,SEMP_p!$B$2:$P$157,15,FALSE)),"",(VLOOKUP($B29,SEMP_p!$B$2:$P$157,15,FALSE)))</f>
        <v>93.864555358886719</v>
      </c>
    </row>
    <row r="30" spans="1:4" x14ac:dyDescent="0.25">
      <c r="A30" s="5" t="s">
        <v>41</v>
      </c>
      <c r="B30" s="5" t="s">
        <v>234</v>
      </c>
      <c r="C30" s="26">
        <f>IFERROR(VLOOKUP($B30,DGE_p!$B$2:$P$157,15,FALSE),"")</f>
        <v>35.55419921875</v>
      </c>
      <c r="D30" s="26" t="str">
        <f>IF(ISBLANK(VLOOKUP($B30,SEMP_p!$B$2:$P$157,15,FALSE)),"",(VLOOKUP($B30,SEMP_p!$B$2:$P$157,15,FALSE)))</f>
        <v/>
      </c>
    </row>
    <row r="31" spans="1:4" x14ac:dyDescent="0.25">
      <c r="A31" s="5" t="s">
        <v>93</v>
      </c>
      <c r="B31" s="5" t="s">
        <v>286</v>
      </c>
      <c r="C31" s="26">
        <f>IFERROR(VLOOKUP($B31,DGE_p!$B$2:$P$157,15,FALSE),"")</f>
        <v>48.86773681640625</v>
      </c>
      <c r="D31" s="26" t="str">
        <f>IF(ISBLANK(VLOOKUP($B31,SEMP_p!$B$2:$P$157,15,FALSE)),"",(VLOOKUP($B31,SEMP_p!$B$2:$P$157,15,FALSE)))</f>
        <v/>
      </c>
    </row>
    <row r="32" spans="1:4" x14ac:dyDescent="0.25">
      <c r="A32" s="5" t="s">
        <v>36</v>
      </c>
      <c r="B32" s="5" t="s">
        <v>229</v>
      </c>
      <c r="C32" s="26">
        <f>IFERROR(VLOOKUP($B32,DGE_p!$B$2:$P$157,15,FALSE),"")</f>
        <v>31.774553298950195</v>
      </c>
      <c r="D32" s="26" t="str">
        <f>IF(ISBLANK(VLOOKUP($B32,SEMP_p!$B$2:$P$157,15,FALSE)),"",(VLOOKUP($B32,SEMP_p!$B$2:$P$157,15,FALSE)))</f>
        <v/>
      </c>
    </row>
    <row r="33" spans="1:4" x14ac:dyDescent="0.25">
      <c r="A33" s="5" t="s">
        <v>31</v>
      </c>
      <c r="B33" s="5" t="s">
        <v>224</v>
      </c>
      <c r="C33" s="26">
        <f>IFERROR(VLOOKUP($B33,DGE_p!$B$2:$P$157,15,FALSE),"")</f>
        <v>15.699036598205566</v>
      </c>
      <c r="D33" s="26">
        <f>IF(ISBLANK(VLOOKUP($B33,SEMP_p!$B$2:$P$157,15,FALSE)),"",(VLOOKUP($B33,SEMP_p!$B$2:$P$157,15,FALSE)))</f>
        <v>9.8296117782592773</v>
      </c>
    </row>
    <row r="34" spans="1:4" x14ac:dyDescent="0.25">
      <c r="A34" s="5" t="s">
        <v>44</v>
      </c>
      <c r="B34" s="5" t="s">
        <v>237</v>
      </c>
      <c r="C34" s="26" t="str">
        <f>IFERROR(VLOOKUP($B34,DGE_p!$B$2:$P$157,15,FALSE),"")</f>
        <v/>
      </c>
      <c r="D34" s="26" t="str">
        <f>IF(ISBLANK(VLOOKUP($B34,SEMP_p!$B$2:$P$157,15,FALSE)),"",(VLOOKUP($B34,SEMP_p!$B$2:$P$157,15,FALSE)))</f>
        <v/>
      </c>
    </row>
    <row r="35" spans="1:4" x14ac:dyDescent="0.25">
      <c r="A35" s="5" t="s">
        <v>167</v>
      </c>
      <c r="B35" s="5" t="s">
        <v>361</v>
      </c>
      <c r="C35" s="26">
        <f>IFERROR(VLOOKUP($B35,DGE_p!$B$2:$P$157,15,FALSE),"")</f>
        <v>45.810749053955078</v>
      </c>
      <c r="D35" s="26" t="str">
        <f>IF(ISBLANK(VLOOKUP($B35,SEMP_p!$B$2:$P$157,15,FALSE)),"",(VLOOKUP($B35,SEMP_p!$B$2:$P$157,15,FALSE)))</f>
        <v/>
      </c>
    </row>
    <row r="36" spans="1:4" x14ac:dyDescent="0.25">
      <c r="A36" s="5" t="s">
        <v>33</v>
      </c>
      <c r="B36" s="5" t="s">
        <v>226</v>
      </c>
      <c r="C36" s="26">
        <f>IFERROR(VLOOKUP($B36,DGE_p!$B$2:$P$157,15,FALSE),"")</f>
        <v>19.479156494140625</v>
      </c>
      <c r="D36" s="26">
        <f>IF(ISBLANK(VLOOKUP($B36,SEMP_p!$B$2:$P$157,15,FALSE)),"",(VLOOKUP($B36,SEMP_p!$B$2:$P$157,15,FALSE)))</f>
        <v>31.490470886230469</v>
      </c>
    </row>
    <row r="37" spans="1:4" x14ac:dyDescent="0.25">
      <c r="A37" s="5" t="s">
        <v>34</v>
      </c>
      <c r="B37" s="5" t="s">
        <v>227</v>
      </c>
      <c r="C37" s="26">
        <f>IFERROR(VLOOKUP($B37,DGE_p!$B$2:$P$157,15,FALSE),"")</f>
        <v>13.379284858703613</v>
      </c>
      <c r="D37" s="26">
        <f>IF(ISBLANK(VLOOKUP($B37,SEMP_p!$B$2:$P$157,15,FALSE)),"",(VLOOKUP($B37,SEMP_p!$B$2:$P$157,15,FALSE)))</f>
        <v>6.2879734039306641</v>
      </c>
    </row>
    <row r="38" spans="1:4" x14ac:dyDescent="0.25">
      <c r="A38" s="5" t="s">
        <v>39</v>
      </c>
      <c r="B38" s="5" t="s">
        <v>232</v>
      </c>
      <c r="C38" s="26">
        <f>IFERROR(VLOOKUP($B38,DGE_p!$B$2:$P$157,15,FALSE),"")</f>
        <v>34.4404296875</v>
      </c>
      <c r="D38" s="26">
        <f>IF(ISBLANK(VLOOKUP($B38,SEMP_p!$B$2:$P$157,15,FALSE)),"",(VLOOKUP($B38,SEMP_p!$B$2:$P$157,15,FALSE)))</f>
        <v>49.700000762939453</v>
      </c>
    </row>
    <row r="39" spans="1:4" x14ac:dyDescent="0.25">
      <c r="A39" s="5" t="s">
        <v>38</v>
      </c>
      <c r="B39" s="5" t="s">
        <v>231</v>
      </c>
      <c r="C39" s="26">
        <f>IFERROR(VLOOKUP($B39,DGE_p!$B$2:$P$157,15,FALSE),"")</f>
        <v>45.970123291015625</v>
      </c>
      <c r="D39" s="26" t="str">
        <f>IF(ISBLANK(VLOOKUP($B39,SEMP_p!$B$2:$P$157,15,FALSE)),"",(VLOOKUP($B39,SEMP_p!$B$2:$P$157,15,FALSE)))</f>
        <v/>
      </c>
    </row>
    <row r="40" spans="1:4" x14ac:dyDescent="0.25">
      <c r="A40" s="5" t="s">
        <v>42</v>
      </c>
      <c r="B40" s="5" t="s">
        <v>235</v>
      </c>
      <c r="C40" s="26">
        <f>IFERROR(VLOOKUP($B40,DGE_p!$B$2:$P$157,15,FALSE),"")</f>
        <v>24.65641975402832</v>
      </c>
      <c r="D40" s="26">
        <f>IF(ISBLANK(VLOOKUP($B40,SEMP_p!$B$2:$P$157,15,FALSE)),"",(VLOOKUP($B40,SEMP_p!$B$2:$P$157,15,FALSE)))</f>
        <v>30.5</v>
      </c>
    </row>
    <row r="41" spans="1:4" x14ac:dyDescent="0.25">
      <c r="A41" s="5" t="s">
        <v>35</v>
      </c>
      <c r="B41" s="5" t="s">
        <v>228</v>
      </c>
      <c r="C41" s="26">
        <f>IFERROR(VLOOKUP($B41,DGE_p!$B$2:$P$157,15,FALSE),"")</f>
        <v>47.183906555175781</v>
      </c>
      <c r="D41" s="26" t="str">
        <f>IF(ISBLANK(VLOOKUP($B41,SEMP_p!$B$2:$P$157,15,FALSE)),"",(VLOOKUP($B41,SEMP_p!$B$2:$P$157,15,FALSE)))</f>
        <v/>
      </c>
    </row>
    <row r="42" spans="1:4" x14ac:dyDescent="0.25">
      <c r="A42" s="5" t="s">
        <v>76</v>
      </c>
      <c r="B42" s="5" t="s">
        <v>269</v>
      </c>
      <c r="C42" s="26">
        <f>IFERROR(VLOOKUP($B42,DGE_p!$B$2:$P$157,15,FALSE),"")</f>
        <v>31.305498123168945</v>
      </c>
      <c r="D42" s="26">
        <f>IF(ISBLANK(VLOOKUP($B42,SEMP_p!$B$2:$P$157,15,FALSE)),"",(VLOOKUP($B42,SEMP_p!$B$2:$P$157,15,FALSE)))</f>
        <v>24.399999618530273</v>
      </c>
    </row>
    <row r="43" spans="1:4" x14ac:dyDescent="0.25">
      <c r="A43" s="5" t="s">
        <v>43</v>
      </c>
      <c r="B43" s="5" t="s">
        <v>236</v>
      </c>
      <c r="C43" s="26" t="str">
        <f>IFERROR(VLOOKUP($B43,DGE_p!$B$2:$P$157,15,FALSE),"")</f>
        <v/>
      </c>
      <c r="D43" s="26">
        <f>IF(ISBLANK(VLOOKUP($B43,SEMP_p!$B$2:$P$157,15,FALSE)),"",(VLOOKUP($B43,SEMP_p!$B$2:$P$157,15,FALSE)))</f>
        <v>20.299999237060547</v>
      </c>
    </row>
    <row r="44" spans="1:4" x14ac:dyDescent="0.25">
      <c r="A44" s="5" t="s">
        <v>45</v>
      </c>
      <c r="B44" s="5" t="s">
        <v>238</v>
      </c>
      <c r="C44" s="26">
        <f>IFERROR(VLOOKUP($B44,DGE_p!$B$2:$P$157,15,FALSE),"")</f>
        <v>26.955165863037109</v>
      </c>
      <c r="D44" s="26">
        <f>IF(ISBLANK(VLOOKUP($B44,SEMP_p!$B$2:$P$157,15,FALSE)),"",(VLOOKUP($B44,SEMP_p!$B$2:$P$157,15,FALSE)))</f>
        <v>23.700000762939453</v>
      </c>
    </row>
    <row r="45" spans="1:4" x14ac:dyDescent="0.25">
      <c r="A45" s="5" t="s">
        <v>46</v>
      </c>
      <c r="B45" s="5" t="s">
        <v>239</v>
      </c>
      <c r="C45" s="26">
        <f>IFERROR(VLOOKUP($B45,DGE_p!$B$2:$P$157,15,FALSE),"")</f>
        <v>17.025327682495117</v>
      </c>
      <c r="D45" s="26">
        <f>IF(ISBLANK(VLOOKUP($B45,SEMP_p!$B$2:$P$157,15,FALSE)),"",(VLOOKUP($B45,SEMP_p!$B$2:$P$157,15,FALSE)))</f>
        <v>17.252689361572266</v>
      </c>
    </row>
    <row r="46" spans="1:4" x14ac:dyDescent="0.25">
      <c r="A46" s="5" t="s">
        <v>50</v>
      </c>
      <c r="B46" s="5" t="s">
        <v>243</v>
      </c>
      <c r="C46" s="26">
        <f>IFERROR(VLOOKUP($B46,DGE_p!$B$2:$P$157,15,FALSE),"")</f>
        <v>17.09068489074707</v>
      </c>
      <c r="D46" s="26">
        <f>IF(ISBLANK(VLOOKUP($B46,SEMP_p!$B$2:$P$157,15,FALSE)),"",(VLOOKUP($B46,SEMP_p!$B$2:$P$157,15,FALSE)))</f>
        <v>9.0889673233032227</v>
      </c>
    </row>
    <row r="47" spans="1:4" x14ac:dyDescent="0.25">
      <c r="A47" s="5" t="s">
        <v>48</v>
      </c>
      <c r="B47" s="5" t="s">
        <v>241</v>
      </c>
      <c r="C47" s="26" t="str">
        <f>IFERROR(VLOOKUP($B47,DGE_p!$B$2:$P$157,15,FALSE),"")</f>
        <v/>
      </c>
      <c r="D47" s="26" t="str">
        <f>IF(ISBLANK(VLOOKUP($B47,SEMP_p!$B$2:$P$157,15,FALSE)),"",(VLOOKUP($B47,SEMP_p!$B$2:$P$157,15,FALSE)))</f>
        <v/>
      </c>
    </row>
    <row r="48" spans="1:4" x14ac:dyDescent="0.25">
      <c r="A48" s="5" t="s">
        <v>49</v>
      </c>
      <c r="B48" s="5" t="s">
        <v>242</v>
      </c>
      <c r="C48" s="26" t="str">
        <f>IFERROR(VLOOKUP($B48,DGE_p!$B$2:$P$157,15,FALSE),"")</f>
        <v/>
      </c>
      <c r="D48" s="26" t="str">
        <f>IF(ISBLANK(VLOOKUP($B48,SEMP_p!$B$2:$P$157,15,FALSE)),"",(VLOOKUP($B48,SEMP_p!$B$2:$P$157,15,FALSE)))</f>
        <v/>
      </c>
    </row>
    <row r="49" spans="1:4" x14ac:dyDescent="0.25">
      <c r="A49" s="5" t="s">
        <v>51</v>
      </c>
      <c r="B49" s="5" t="s">
        <v>244</v>
      </c>
      <c r="C49" s="26">
        <f>IFERROR(VLOOKUP($B49,DGE_p!$B$2:$P$157,15,FALSE),"")</f>
        <v>31.705669403076172</v>
      </c>
      <c r="D49" s="26">
        <f>IF(ISBLANK(VLOOKUP($B49,SEMP_p!$B$2:$P$157,15,FALSE)),"",(VLOOKUP($B49,SEMP_p!$B$2:$P$157,15,FALSE)))</f>
        <v>45.900001525878906</v>
      </c>
    </row>
    <row r="50" spans="1:4" x14ac:dyDescent="0.25">
      <c r="A50" s="5" t="s">
        <v>53</v>
      </c>
      <c r="B50" s="5" t="s">
        <v>246</v>
      </c>
      <c r="C50" s="26">
        <f>IFERROR(VLOOKUP($B50,DGE_p!$B$2:$P$157,15,FALSE),"")</f>
        <v>30.41943359375</v>
      </c>
      <c r="D50" s="26">
        <f>IF(ISBLANK(VLOOKUP($B50,SEMP_p!$B$2:$P$157,15,FALSE)),"",(VLOOKUP($B50,SEMP_p!$B$2:$P$157,15,FALSE)))</f>
        <v>46</v>
      </c>
    </row>
    <row r="51" spans="1:4" x14ac:dyDescent="0.25">
      <c r="A51" s="5" t="s">
        <v>54</v>
      </c>
      <c r="B51" s="5" t="s">
        <v>247</v>
      </c>
      <c r="C51" s="26">
        <f>IFERROR(VLOOKUP($B51,DGE_p!$B$2:$P$157,15,FALSE),"")</f>
        <v>33.940723419189453</v>
      </c>
      <c r="D51" s="26">
        <f>IF(ISBLANK(VLOOKUP($B51,SEMP_p!$B$2:$P$157,15,FALSE)),"",(VLOOKUP($B51,SEMP_p!$B$2:$P$157,15,FALSE)))</f>
        <v>42.099998474121094</v>
      </c>
    </row>
    <row r="52" spans="1:4" x14ac:dyDescent="0.25">
      <c r="A52" s="5" t="s">
        <v>155</v>
      </c>
      <c r="B52" s="5" t="s">
        <v>349</v>
      </c>
      <c r="C52" s="26">
        <f>IFERROR(VLOOKUP($B52,DGE_p!$B$2:$P$157,15,FALSE),"")</f>
        <v>44.436908721923828</v>
      </c>
      <c r="D52" s="26">
        <f>IF(ISBLANK(VLOOKUP($B52,SEMP_p!$B$2:$P$157,15,FALSE)),"",(VLOOKUP($B52,SEMP_p!$B$2:$P$157,15,FALSE)))</f>
        <v>41.400001525878906</v>
      </c>
    </row>
    <row r="53" spans="1:4" x14ac:dyDescent="0.25">
      <c r="A53" s="5" t="s">
        <v>57</v>
      </c>
      <c r="B53" s="5" t="s">
        <v>250</v>
      </c>
      <c r="C53" s="26">
        <f>IFERROR(VLOOKUP($B53,DGE_p!$B$2:$P$157,15,FALSE),"")</f>
        <v>30.797710418701172</v>
      </c>
      <c r="D53" s="26">
        <f>IF(ISBLANK(VLOOKUP($B53,SEMP_p!$B$2:$P$157,15,FALSE)),"",(VLOOKUP($B53,SEMP_p!$B$2:$P$157,15,FALSE)))</f>
        <v>8.7498970031738281</v>
      </c>
    </row>
    <row r="54" spans="1:4" x14ac:dyDescent="0.25">
      <c r="A54" s="5" t="s">
        <v>58</v>
      </c>
      <c r="B54" s="5" t="s">
        <v>251</v>
      </c>
      <c r="C54" s="26">
        <f>IFERROR(VLOOKUP($B54,DGE_p!$B$2:$P$157,15,FALSE),"")</f>
        <v>36.756553649902344</v>
      </c>
      <c r="D54" s="26" t="str">
        <f>IF(ISBLANK(VLOOKUP($B54,SEMP_p!$B$2:$P$157,15,FALSE)),"",(VLOOKUP($B54,SEMP_p!$B$2:$P$157,15,FALSE)))</f>
        <v/>
      </c>
    </row>
    <row r="55" spans="1:4" x14ac:dyDescent="0.25">
      <c r="A55" s="5" t="s">
        <v>60</v>
      </c>
      <c r="B55" s="5" t="s">
        <v>253</v>
      </c>
      <c r="C55" s="26">
        <f>IFERROR(VLOOKUP($B55,DGE_p!$B$2:$P$157,15,FALSE),"")</f>
        <v>33.359592437744141</v>
      </c>
      <c r="D55" s="26" t="str">
        <f>IF(ISBLANK(VLOOKUP($B55,SEMP_p!$B$2:$P$157,15,FALSE)),"",(VLOOKUP($B55,SEMP_p!$B$2:$P$157,15,FALSE)))</f>
        <v/>
      </c>
    </row>
    <row r="56" spans="1:4" x14ac:dyDescent="0.25">
      <c r="A56" s="5" t="s">
        <v>59</v>
      </c>
      <c r="B56" s="5" t="s">
        <v>252</v>
      </c>
      <c r="C56" s="26">
        <f>IFERROR(VLOOKUP($B56,DGE_p!$B$2:$P$157,15,FALSE),"")</f>
        <v>17.367830276489258</v>
      </c>
      <c r="D56" s="26">
        <f>IF(ISBLANK(VLOOKUP($B56,SEMP_p!$B$2:$P$157,15,FALSE)),"",(VLOOKUP($B56,SEMP_p!$B$2:$P$157,15,FALSE)))</f>
        <v>12.885190010070801</v>
      </c>
    </row>
    <row r="57" spans="1:4" x14ac:dyDescent="0.25">
      <c r="A57" s="5" t="s">
        <v>61</v>
      </c>
      <c r="B57" s="5" t="s">
        <v>254</v>
      </c>
      <c r="C57" s="26">
        <f>IFERROR(VLOOKUP($B57,DGE_p!$B$2:$P$157,15,FALSE),"")</f>
        <v>14.966877937316895</v>
      </c>
      <c r="D57" s="26">
        <f>IF(ISBLANK(VLOOKUP($B57,SEMP_p!$B$2:$P$157,15,FALSE)),"",(VLOOKUP($B57,SEMP_p!$B$2:$P$157,15,FALSE)))</f>
        <v>11.410630226135254</v>
      </c>
    </row>
    <row r="58" spans="1:4" x14ac:dyDescent="0.25">
      <c r="A58" s="5" t="s">
        <v>144</v>
      </c>
      <c r="B58" s="5" t="s">
        <v>338</v>
      </c>
      <c r="C58" s="26" t="str">
        <f>IFERROR(VLOOKUP($B58,DGE_p!$B$2:$P$157,15,FALSE),"")</f>
        <v/>
      </c>
      <c r="D58" s="26" t="str">
        <f>IF(ISBLANK(VLOOKUP($B58,SEMP_p!$B$2:$P$157,15,FALSE)),"",(VLOOKUP($B58,SEMP_p!$B$2:$P$157,15,FALSE)))</f>
        <v/>
      </c>
    </row>
    <row r="59" spans="1:4" x14ac:dyDescent="0.25">
      <c r="A59" s="5" t="s">
        <v>63</v>
      </c>
      <c r="B59" s="5" t="s">
        <v>256</v>
      </c>
      <c r="C59" s="26">
        <f>IFERROR(VLOOKUP($B59,DGE_p!$B$2:$P$157,15,FALSE),"")</f>
        <v>45.019683837890625</v>
      </c>
      <c r="D59" s="26" t="str">
        <f>IF(ISBLANK(VLOOKUP($B59,SEMP_p!$B$2:$P$157,15,FALSE)),"",(VLOOKUP($B59,SEMP_p!$B$2:$P$157,15,FALSE)))</f>
        <v/>
      </c>
    </row>
    <row r="60" spans="1:4" x14ac:dyDescent="0.25">
      <c r="A60" s="5" t="s">
        <v>68</v>
      </c>
      <c r="B60" s="5" t="s">
        <v>261</v>
      </c>
      <c r="C60" s="26">
        <f>IFERROR(VLOOKUP($B60,DGE_p!$B$2:$P$157,15,FALSE),"")</f>
        <v>42.893146514892578</v>
      </c>
      <c r="D60" s="26" t="str">
        <f>IF(ISBLANK(VLOOKUP($B60,SEMP_p!$B$2:$P$157,15,FALSE)),"",(VLOOKUP($B60,SEMP_p!$B$2:$P$157,15,FALSE)))</f>
        <v/>
      </c>
    </row>
    <row r="61" spans="1:4" x14ac:dyDescent="0.25">
      <c r="A61" s="5" t="s">
        <v>65</v>
      </c>
      <c r="B61" s="5" t="s">
        <v>258</v>
      </c>
      <c r="C61" s="26">
        <f>IFERROR(VLOOKUP($B61,DGE_p!$B$2:$P$157,15,FALSE),"")</f>
        <v>65.761550903320313</v>
      </c>
      <c r="D61" s="26">
        <f>IF(ISBLANK(VLOOKUP($B61,SEMP_p!$B$2:$P$157,15,FALSE)),"",(VLOOKUP($B61,SEMP_p!$B$2:$P$157,15,FALSE)))</f>
        <v>65.869384765625</v>
      </c>
    </row>
    <row r="62" spans="1:4" x14ac:dyDescent="0.25">
      <c r="A62" s="5" t="s">
        <v>47</v>
      </c>
      <c r="B62" s="5" t="s">
        <v>240</v>
      </c>
      <c r="C62" s="26">
        <f>IFERROR(VLOOKUP($B62,DGE_p!$B$2:$P$157,15,FALSE),"")</f>
        <v>15.404288291931152</v>
      </c>
      <c r="D62" s="26">
        <f>IF(ISBLANK(VLOOKUP($B62,SEMP_p!$B$2:$P$157,15,FALSE)),"",(VLOOKUP($B62,SEMP_p!$B$2:$P$157,15,FALSE)))</f>
        <v>11.397459983825684</v>
      </c>
    </row>
    <row r="63" spans="1:4" x14ac:dyDescent="0.25">
      <c r="A63" s="5" t="s">
        <v>66</v>
      </c>
      <c r="B63" s="5" t="s">
        <v>259</v>
      </c>
      <c r="C63" s="26">
        <f>IFERROR(VLOOKUP($B63,DGE_p!$B$2:$P$157,15,FALSE),"")</f>
        <v>39.153560638427734</v>
      </c>
      <c r="D63" s="26" t="str">
        <f>IF(ISBLANK(VLOOKUP($B63,SEMP_p!$B$2:$P$157,15,FALSE)),"",(VLOOKUP($B63,SEMP_p!$B$2:$P$157,15,FALSE)))</f>
        <v/>
      </c>
    </row>
    <row r="64" spans="1:4" x14ac:dyDescent="0.25">
      <c r="A64" s="5" t="s">
        <v>71</v>
      </c>
      <c r="B64" s="5" t="s">
        <v>264</v>
      </c>
      <c r="C64" s="26">
        <f>IFERROR(VLOOKUP($B64,DGE_p!$B$2:$P$157,15,FALSE),"")</f>
        <v>27.080600738525391</v>
      </c>
      <c r="D64" s="26">
        <f>IF(ISBLANK(VLOOKUP($B64,SEMP_p!$B$2:$P$157,15,FALSE)),"",(VLOOKUP($B64,SEMP_p!$B$2:$P$157,15,FALSE)))</f>
        <v>38.828239440917969</v>
      </c>
    </row>
    <row r="65" spans="1:4" x14ac:dyDescent="0.25">
      <c r="A65" s="5" t="s">
        <v>72</v>
      </c>
      <c r="B65" s="5" t="s">
        <v>265</v>
      </c>
      <c r="C65" s="26" t="str">
        <f>IFERROR(VLOOKUP($B65,DGE_p!$B$2:$P$157,15,FALSE),"")</f>
        <v/>
      </c>
      <c r="D65" s="26" t="str">
        <f>IF(ISBLANK(VLOOKUP($B65,SEMP_p!$B$2:$P$157,15,FALSE)),"",(VLOOKUP($B65,SEMP_p!$B$2:$P$157,15,FALSE)))</f>
        <v/>
      </c>
    </row>
    <row r="66" spans="1:4" x14ac:dyDescent="0.25">
      <c r="A66" s="5" t="s">
        <v>73</v>
      </c>
      <c r="B66" s="5" t="s">
        <v>266</v>
      </c>
      <c r="C66" s="26">
        <f>IFERROR(VLOOKUP($B66,DGE_p!$B$2:$P$157,15,FALSE),"")</f>
        <v>48.131649017333984</v>
      </c>
      <c r="D66" s="26">
        <f>IF(ISBLANK(VLOOKUP($B66,SEMP_p!$B$2:$P$157,15,FALSE)),"",(VLOOKUP($B66,SEMP_p!$B$2:$P$157,15,FALSE)))</f>
        <v>55.400001525878906</v>
      </c>
    </row>
    <row r="67" spans="1:4" x14ac:dyDescent="0.25">
      <c r="A67" s="5" t="s">
        <v>67</v>
      </c>
      <c r="B67" s="5" t="s">
        <v>260</v>
      </c>
      <c r="C67" s="26">
        <f>IFERROR(VLOOKUP($B67,DGE_p!$B$2:$P$157,15,FALSE),"")</f>
        <v>42.783470153808594</v>
      </c>
      <c r="D67" s="26" t="str">
        <f>IF(ISBLANK(VLOOKUP($B67,SEMP_p!$B$2:$P$157,15,FALSE)),"",(VLOOKUP($B67,SEMP_p!$B$2:$P$157,15,FALSE)))</f>
        <v/>
      </c>
    </row>
    <row r="68" spans="1:4" x14ac:dyDescent="0.25">
      <c r="A68" s="5" t="s">
        <v>74</v>
      </c>
      <c r="B68" s="5" t="s">
        <v>267</v>
      </c>
      <c r="C68" s="26" t="str">
        <f>IFERROR(VLOOKUP($B68,DGE_p!$B$2:$P$157,15,FALSE),"")</f>
        <v/>
      </c>
      <c r="D68" s="26" t="str">
        <f>IF(ISBLANK(VLOOKUP($B68,SEMP_p!$B$2:$P$157,15,FALSE)),"",(VLOOKUP($B68,SEMP_p!$B$2:$P$157,15,FALSE)))</f>
        <v/>
      </c>
    </row>
    <row r="69" spans="1:4" x14ac:dyDescent="0.25">
      <c r="A69" s="5" t="s">
        <v>77</v>
      </c>
      <c r="B69" s="5" t="s">
        <v>270</v>
      </c>
      <c r="C69" s="26" t="str">
        <f>IFERROR(VLOOKUP($B69,DGE_p!$B$2:$P$157,15,FALSE),"")</f>
        <v/>
      </c>
      <c r="D69" s="26">
        <f>IF(ISBLANK(VLOOKUP($B69,SEMP_p!$B$2:$P$157,15,FALSE)),"",(VLOOKUP($B69,SEMP_p!$B$2:$P$157,15,FALSE)))</f>
        <v>84.829483032226563</v>
      </c>
    </row>
    <row r="70" spans="1:4" x14ac:dyDescent="0.25">
      <c r="A70" s="5" t="s">
        <v>75</v>
      </c>
      <c r="B70" s="5" t="s">
        <v>268</v>
      </c>
      <c r="C70" s="26">
        <f>IFERROR(VLOOKUP($B70,DGE_p!$B$2:$P$157,15,FALSE),"")</f>
        <v>46.411556243896484</v>
      </c>
      <c r="D70" s="26">
        <f>IF(ISBLANK(VLOOKUP($B70,SEMP_p!$B$2:$P$157,15,FALSE)),"",(VLOOKUP($B70,SEMP_p!$B$2:$P$157,15,FALSE)))</f>
        <v>54</v>
      </c>
    </row>
    <row r="71" spans="1:4" x14ac:dyDescent="0.25">
      <c r="A71" s="5" t="s">
        <v>78</v>
      </c>
      <c r="B71" s="5" t="s">
        <v>271</v>
      </c>
      <c r="C71" s="26">
        <f>IFERROR(VLOOKUP($B71,DGE_p!$B$2:$P$157,15,FALSE),"")</f>
        <v>24.353885650634766</v>
      </c>
      <c r="D71" s="26">
        <f>IF(ISBLANK(VLOOKUP($B71,SEMP_p!$B$2:$P$157,15,FALSE)),"",(VLOOKUP($B71,SEMP_p!$B$2:$P$157,15,FALSE)))</f>
        <v>13.326450347900391</v>
      </c>
    </row>
    <row r="72" spans="1:4" x14ac:dyDescent="0.25">
      <c r="A72" s="5" t="s">
        <v>84</v>
      </c>
      <c r="B72" s="5" t="s">
        <v>277</v>
      </c>
      <c r="C72" s="26">
        <f>IFERROR(VLOOKUP($B72,DGE_p!$B$2:$P$157,15,FALSE),"")</f>
        <v>15.673687934875488</v>
      </c>
      <c r="D72" s="26">
        <f>IF(ISBLANK(VLOOKUP($B72,SEMP_p!$B$2:$P$157,15,FALSE)),"",(VLOOKUP($B72,SEMP_p!$B$2:$P$157,15,FALSE)))</f>
        <v>13.100000381469727</v>
      </c>
    </row>
    <row r="73" spans="1:4" x14ac:dyDescent="0.25">
      <c r="A73" s="5" t="s">
        <v>80</v>
      </c>
      <c r="B73" s="5" t="s">
        <v>273</v>
      </c>
      <c r="C73" s="26">
        <f>IFERROR(VLOOKUP($B73,DGE_p!$B$2:$P$157,15,FALSE),"")</f>
        <v>22.669794082641602</v>
      </c>
      <c r="D73" s="26">
        <f>IF(ISBLANK(VLOOKUP($B73,SEMP_p!$B$2:$P$157,15,FALSE)),"",(VLOOKUP($B73,SEMP_p!$B$2:$P$157,15,FALSE)))</f>
        <v>82.734878540039063</v>
      </c>
    </row>
    <row r="74" spans="1:4" x14ac:dyDescent="0.25">
      <c r="A74" s="5" t="s">
        <v>79</v>
      </c>
      <c r="B74" s="5" t="s">
        <v>272</v>
      </c>
      <c r="C74" s="26">
        <f>IFERROR(VLOOKUP($B74,DGE_p!$B$2:$P$157,15,FALSE),"")</f>
        <v>18.682374954223633</v>
      </c>
      <c r="D74" s="26">
        <f>IF(ISBLANK(VLOOKUP($B74,SEMP_p!$B$2:$P$157,15,FALSE)),"",(VLOOKUP($B74,SEMP_p!$B$2:$P$157,15,FALSE)))</f>
        <v>69</v>
      </c>
    </row>
    <row r="75" spans="1:4" x14ac:dyDescent="0.25">
      <c r="A75" s="5" t="s">
        <v>82</v>
      </c>
      <c r="B75" s="5" t="s">
        <v>275</v>
      </c>
      <c r="C75" s="26">
        <f>IFERROR(VLOOKUP($B75,DGE_p!$B$2:$P$157,15,FALSE),"")</f>
        <v>17.649024963378906</v>
      </c>
      <c r="D75" s="26" t="str">
        <f>IF(ISBLANK(VLOOKUP($B75,SEMP_p!$B$2:$P$157,15,FALSE)),"",(VLOOKUP($B75,SEMP_p!$B$2:$P$157,15,FALSE)))</f>
        <v/>
      </c>
    </row>
    <row r="76" spans="1:4" x14ac:dyDescent="0.25">
      <c r="A76" s="5" t="s">
        <v>83</v>
      </c>
      <c r="B76" s="5" t="s">
        <v>276</v>
      </c>
      <c r="C76" s="26" t="str">
        <f>IFERROR(VLOOKUP($B76,DGE_p!$B$2:$P$157,15,FALSE),"")</f>
        <v/>
      </c>
      <c r="D76" s="26" t="str">
        <f>IF(ISBLANK(VLOOKUP($B76,SEMP_p!$B$2:$P$157,15,FALSE)),"",(VLOOKUP($B76,SEMP_p!$B$2:$P$157,15,FALSE)))</f>
        <v/>
      </c>
    </row>
    <row r="77" spans="1:4" x14ac:dyDescent="0.25">
      <c r="A77" s="5" t="s">
        <v>81</v>
      </c>
      <c r="B77" s="5" t="s">
        <v>274</v>
      </c>
      <c r="C77" s="26">
        <f>IFERROR(VLOOKUP($B77,DGE_p!$B$2:$P$157,15,FALSE),"")</f>
        <v>16.239114761352539</v>
      </c>
      <c r="D77" s="26">
        <f>IF(ISBLANK(VLOOKUP($B77,SEMP_p!$B$2:$P$157,15,FALSE)),"",(VLOOKUP($B77,SEMP_p!$B$2:$P$157,15,FALSE)))</f>
        <v>17.654609680175781</v>
      </c>
    </row>
    <row r="78" spans="1:4" x14ac:dyDescent="0.25">
      <c r="A78" s="5" t="s">
        <v>85</v>
      </c>
      <c r="B78" s="5" t="s">
        <v>278</v>
      </c>
      <c r="C78" s="26">
        <f>IFERROR(VLOOKUP($B78,DGE_p!$B$2:$P$157,15,FALSE),"")</f>
        <v>20.77580451965332</v>
      </c>
      <c r="D78" s="26">
        <f>IF(ISBLANK(VLOOKUP($B78,SEMP_p!$B$2:$P$157,15,FALSE)),"",(VLOOKUP($B78,SEMP_p!$B$2:$P$157,15,FALSE)))</f>
        <v>13.786760330200195</v>
      </c>
    </row>
    <row r="79" spans="1:4" x14ac:dyDescent="0.25">
      <c r="A79" s="5" t="s">
        <v>86</v>
      </c>
      <c r="B79" s="5" t="s">
        <v>279</v>
      </c>
      <c r="C79" s="26">
        <f>IFERROR(VLOOKUP($B79,DGE_p!$B$2:$P$157,15,FALSE),"")</f>
        <v>27.253713607788086</v>
      </c>
      <c r="D79" s="26">
        <f>IF(ISBLANK(VLOOKUP($B79,SEMP_p!$B$2:$P$157,15,FALSE)),"",(VLOOKUP($B79,SEMP_p!$B$2:$P$157,15,FALSE)))</f>
        <v>27.242250442504883</v>
      </c>
    </row>
    <row r="80" spans="1:4" x14ac:dyDescent="0.25">
      <c r="A80" s="5" t="s">
        <v>87</v>
      </c>
      <c r="B80" s="5" t="s">
        <v>280</v>
      </c>
      <c r="C80" s="26">
        <f>IFERROR(VLOOKUP($B80,DGE_p!$B$2:$P$157,15,FALSE),"")</f>
        <v>32.636104583740234</v>
      </c>
      <c r="D80" s="26">
        <f>IF(ISBLANK(VLOOKUP($B80,SEMP_p!$B$2:$P$157,15,FALSE)),"",(VLOOKUP($B80,SEMP_p!$B$2:$P$157,15,FALSE)))</f>
        <v>38.599998474121094</v>
      </c>
    </row>
    <row r="81" spans="1:4" x14ac:dyDescent="0.25">
      <c r="A81" s="5" t="s">
        <v>89</v>
      </c>
      <c r="B81" s="5" t="s">
        <v>282</v>
      </c>
      <c r="C81" s="26">
        <f>IFERROR(VLOOKUP($B81,DGE_p!$B$2:$P$157,15,FALSE),"")</f>
        <v>10.41679573059082</v>
      </c>
      <c r="D81" s="26">
        <f>IF(ISBLANK(VLOOKUP($B81,SEMP_p!$B$2:$P$157,15,FALSE)),"",(VLOOKUP($B81,SEMP_p!$B$2:$P$157,15,FALSE)))</f>
        <v>15.135760307312012</v>
      </c>
    </row>
    <row r="82" spans="1:4" x14ac:dyDescent="0.25">
      <c r="A82" s="5" t="s">
        <v>88</v>
      </c>
      <c r="B82" s="5" t="s">
        <v>281</v>
      </c>
      <c r="C82" s="26">
        <f>IFERROR(VLOOKUP($B82,DGE_p!$B$2:$P$157,15,FALSE),"")</f>
        <v>17.414211273193359</v>
      </c>
      <c r="D82" s="26" t="str">
        <f>IF(ISBLANK(VLOOKUP($B82,SEMP_p!$B$2:$P$157,15,FALSE)),"",(VLOOKUP($B82,SEMP_p!$B$2:$P$157,15,FALSE)))</f>
        <v/>
      </c>
    </row>
    <row r="83" spans="1:4" x14ac:dyDescent="0.25">
      <c r="A83" s="5" t="s">
        <v>90</v>
      </c>
      <c r="B83" s="5" t="s">
        <v>283</v>
      </c>
      <c r="C83" s="26">
        <f>IFERROR(VLOOKUP($B83,DGE_p!$B$2:$P$157,15,FALSE),"")</f>
        <v>38.860038757324219</v>
      </c>
      <c r="D83" s="26">
        <f>IF(ISBLANK(VLOOKUP($B83,SEMP_p!$B$2:$P$157,15,FALSE)),"",(VLOOKUP($B83,SEMP_p!$B$2:$P$157,15,FALSE)))</f>
        <v>39.449119567871094</v>
      </c>
    </row>
    <row r="84" spans="1:4" x14ac:dyDescent="0.25">
      <c r="A84" s="5" t="s">
        <v>91</v>
      </c>
      <c r="B84" s="5" t="s">
        <v>284</v>
      </c>
      <c r="C84" s="26">
        <f>IFERROR(VLOOKUP($B84,DGE_p!$B$2:$P$157,15,FALSE),"")</f>
        <v>30.062213897705078</v>
      </c>
      <c r="D84" s="26">
        <f>IF(ISBLANK(VLOOKUP($B84,SEMP_p!$B$2:$P$157,15,FALSE)),"",(VLOOKUP($B84,SEMP_p!$B$2:$P$157,15,FALSE)))</f>
        <v>76.126434326171875</v>
      </c>
    </row>
    <row r="85" spans="1:4" x14ac:dyDescent="0.25">
      <c r="A85" s="5" t="s">
        <v>94</v>
      </c>
      <c r="B85" s="5" t="s">
        <v>287</v>
      </c>
      <c r="C85" s="26" t="str">
        <f>IFERROR(VLOOKUP($B85,DGE_p!$B$2:$P$157,15,FALSE),"")</f>
        <v/>
      </c>
      <c r="D85" s="26" t="str">
        <f>IF(ISBLANK(VLOOKUP($B85,SEMP_p!$B$2:$P$157,15,FALSE)),"",(VLOOKUP($B85,SEMP_p!$B$2:$P$157,15,FALSE)))</f>
        <v/>
      </c>
    </row>
    <row r="86" spans="1:4" x14ac:dyDescent="0.25">
      <c r="A86" s="5" t="s">
        <v>96</v>
      </c>
      <c r="B86" s="5" t="s">
        <v>289</v>
      </c>
      <c r="C86" s="26">
        <f>IFERROR(VLOOKUP($B86,DGE_p!$B$2:$P$157,15,FALSE),"")</f>
        <v>26.923641204833984</v>
      </c>
      <c r="D86" s="26">
        <f>IF(ISBLANK(VLOOKUP($B86,SEMP_p!$B$2:$P$157,15,FALSE)),"",(VLOOKUP($B86,SEMP_p!$B$2:$P$157,15,FALSE)))</f>
        <v>34.978050231933594</v>
      </c>
    </row>
    <row r="87" spans="1:4" x14ac:dyDescent="0.25">
      <c r="A87" s="5" t="s">
        <v>188</v>
      </c>
      <c r="B87" s="5" t="s">
        <v>382</v>
      </c>
      <c r="C87" s="26" t="str">
        <f>IFERROR(VLOOKUP($B87,DGE_p!$B$2:$P$157,15,FALSE),"")</f>
        <v/>
      </c>
      <c r="D87" s="26" t="str">
        <f>IF(ISBLANK(VLOOKUP($B87,SEMP_p!$B$2:$P$157,15,FALSE)),"",(VLOOKUP($B87,SEMP_p!$B$2:$P$157,15,FALSE)))</f>
        <v/>
      </c>
    </row>
    <row r="88" spans="1:4" x14ac:dyDescent="0.25">
      <c r="A88" s="5" t="s">
        <v>97</v>
      </c>
      <c r="B88" s="5" t="s">
        <v>290</v>
      </c>
      <c r="C88" s="26">
        <f>IFERROR(VLOOKUP($B88,DGE_p!$B$2:$P$157,15,FALSE),"")</f>
        <v>17.697938919067383</v>
      </c>
      <c r="D88" s="26" t="str">
        <f>IF(ISBLANK(VLOOKUP($B88,SEMP_p!$B$2:$P$157,15,FALSE)),"",(VLOOKUP($B88,SEMP_p!$B$2:$P$157,15,FALSE)))</f>
        <v/>
      </c>
    </row>
    <row r="89" spans="1:4" x14ac:dyDescent="0.25">
      <c r="A89" s="5" t="s">
        <v>92</v>
      </c>
      <c r="B89" s="5" t="s">
        <v>285</v>
      </c>
      <c r="C89" s="26">
        <f>IFERROR(VLOOKUP($B89,DGE_p!$B$2:$P$157,15,FALSE),"")</f>
        <v>38.868389129638672</v>
      </c>
      <c r="D89" s="26">
        <f>IF(ISBLANK(VLOOKUP($B89,SEMP_p!$B$2:$P$157,15,FALSE)),"",(VLOOKUP($B89,SEMP_p!$B$2:$P$157,15,FALSE)))</f>
        <v>53.299999237060547</v>
      </c>
    </row>
    <row r="90" spans="1:4" x14ac:dyDescent="0.25">
      <c r="A90" s="5" t="s">
        <v>98</v>
      </c>
      <c r="B90" s="5" t="s">
        <v>291</v>
      </c>
      <c r="C90" s="26">
        <f>IFERROR(VLOOKUP($B90,DGE_p!$B$2:$P$157,15,FALSE),"")</f>
        <v>31.076272964477539</v>
      </c>
      <c r="D90" s="26" t="str">
        <f>IF(ISBLANK(VLOOKUP($B90,SEMP_p!$B$2:$P$157,15,FALSE)),"",(VLOOKUP($B90,SEMP_p!$B$2:$P$157,15,FALSE)))</f>
        <v/>
      </c>
    </row>
    <row r="91" spans="1:4" x14ac:dyDescent="0.25">
      <c r="A91" s="5" t="s">
        <v>107</v>
      </c>
      <c r="B91" s="5" t="s">
        <v>300</v>
      </c>
      <c r="C91" s="26">
        <f>IFERROR(VLOOKUP($B91,DGE_p!$B$2:$P$157,15,FALSE),"")</f>
        <v>27.418888092041016</v>
      </c>
      <c r="D91" s="26">
        <f>IF(ISBLANK(VLOOKUP($B91,SEMP_p!$B$2:$P$157,15,FALSE)),"",(VLOOKUP($B91,SEMP_p!$B$2:$P$157,15,FALSE)))</f>
        <v>12.904729843139648</v>
      </c>
    </row>
    <row r="92" spans="1:4" x14ac:dyDescent="0.25">
      <c r="A92" s="5" t="s">
        <v>99</v>
      </c>
      <c r="B92" s="5" t="s">
        <v>292</v>
      </c>
      <c r="C92" s="26">
        <f>IFERROR(VLOOKUP($B92,DGE_p!$B$2:$P$157,15,FALSE),"")</f>
        <v>32.179401397705078</v>
      </c>
      <c r="D92" s="26" t="str">
        <f>IF(ISBLANK(VLOOKUP($B92,SEMP_p!$B$2:$P$157,15,FALSE)),"",(VLOOKUP($B92,SEMP_p!$B$2:$P$157,15,FALSE)))</f>
        <v/>
      </c>
    </row>
    <row r="93" spans="1:4" x14ac:dyDescent="0.25">
      <c r="A93" s="5" t="s">
        <v>104</v>
      </c>
      <c r="B93" s="5" t="s">
        <v>297</v>
      </c>
      <c r="C93" s="26">
        <f>IFERROR(VLOOKUP($B93,DGE_p!$B$2:$P$157,15,FALSE),"")</f>
        <v>29.468482971191406</v>
      </c>
      <c r="D93" s="26" t="str">
        <f>IF(ISBLANK(VLOOKUP($B93,SEMP_p!$B$2:$P$157,15,FALSE)),"",(VLOOKUP($B93,SEMP_p!$B$2:$P$157,15,FALSE)))</f>
        <v/>
      </c>
    </row>
    <row r="94" spans="1:4" x14ac:dyDescent="0.25">
      <c r="A94" s="5" t="s">
        <v>100</v>
      </c>
      <c r="B94" s="5" t="s">
        <v>293</v>
      </c>
      <c r="C94" s="26">
        <f>IFERROR(VLOOKUP($B94,DGE_p!$B$2:$P$157,15,FALSE),"")</f>
        <v>43.972438812255859</v>
      </c>
      <c r="D94" s="26" t="str">
        <f>IF(ISBLANK(VLOOKUP($B94,SEMP_p!$B$2:$P$157,15,FALSE)),"",(VLOOKUP($B94,SEMP_p!$B$2:$P$157,15,FALSE)))</f>
        <v/>
      </c>
    </row>
    <row r="95" spans="1:4" x14ac:dyDescent="0.25">
      <c r="A95" s="5" t="s">
        <v>105</v>
      </c>
      <c r="B95" s="5" t="s">
        <v>298</v>
      </c>
      <c r="C95" s="26">
        <f>IFERROR(VLOOKUP($B95,DGE_p!$B$2:$P$157,15,FALSE),"")</f>
        <v>30.702766418457031</v>
      </c>
      <c r="D95" s="26">
        <f>IF(ISBLANK(VLOOKUP($B95,SEMP_p!$B$2:$P$157,15,FALSE)),"",(VLOOKUP($B95,SEMP_p!$B$2:$P$157,15,FALSE)))</f>
        <v>20.899999618530273</v>
      </c>
    </row>
    <row r="96" spans="1:4" x14ac:dyDescent="0.25">
      <c r="A96" s="5" t="s">
        <v>106</v>
      </c>
      <c r="B96" s="5" t="s">
        <v>299</v>
      </c>
      <c r="C96" s="26">
        <f>IFERROR(VLOOKUP($B96,DGE_p!$B$2:$P$157,15,FALSE),"")</f>
        <v>9.5056610107421875</v>
      </c>
      <c r="D96" s="26">
        <f>IF(ISBLANK(VLOOKUP($B96,SEMP_p!$B$2:$P$157,15,FALSE)),"",(VLOOKUP($B96,SEMP_p!$B$2:$P$157,15,FALSE)))</f>
        <v>7.9000000953674316</v>
      </c>
    </row>
    <row r="97" spans="1:4" x14ac:dyDescent="0.25">
      <c r="A97" s="5" t="s">
        <v>110</v>
      </c>
      <c r="B97" s="5" t="s">
        <v>303</v>
      </c>
      <c r="C97" s="26">
        <f>IFERROR(VLOOKUP($B97,DGE_p!$B$2:$P$157,15,FALSE),"")</f>
        <v>39.590160369873047</v>
      </c>
      <c r="D97" s="26">
        <f>IF(ISBLANK(VLOOKUP($B97,SEMP_p!$B$2:$P$157,15,FALSE)),"",(VLOOKUP($B97,SEMP_p!$B$2:$P$157,15,FALSE)))</f>
        <v>84.300003051757813</v>
      </c>
    </row>
    <row r="98" spans="1:4" x14ac:dyDescent="0.25">
      <c r="A98" s="5" t="s">
        <v>122</v>
      </c>
      <c r="B98" s="5" t="s">
        <v>316</v>
      </c>
      <c r="C98" s="26">
        <f>IFERROR(VLOOKUP($B98,DGE_p!$B$2:$P$157,15,FALSE),"")</f>
        <v>40.592674255371094</v>
      </c>
      <c r="D98" s="26" t="str">
        <f>IF(ISBLANK(VLOOKUP($B98,SEMP_p!$B$2:$P$157,15,FALSE)),"",(VLOOKUP($B98,SEMP_p!$B$2:$P$157,15,FALSE)))</f>
        <v/>
      </c>
    </row>
    <row r="99" spans="1:4" x14ac:dyDescent="0.25">
      <c r="A99" s="5" t="s">
        <v>123</v>
      </c>
      <c r="B99" s="5" t="s">
        <v>317</v>
      </c>
      <c r="C99" s="26">
        <f>IFERROR(VLOOKUP($B99,DGE_p!$B$2:$P$157,15,FALSE),"")</f>
        <v>30.410623550415039</v>
      </c>
      <c r="D99" s="26">
        <f>IF(ISBLANK(VLOOKUP($B99,SEMP_p!$B$2:$P$157,15,FALSE)),"",(VLOOKUP($B99,SEMP_p!$B$2:$P$157,15,FALSE)))</f>
        <v>23.799999237060547</v>
      </c>
    </row>
    <row r="100" spans="1:4" x14ac:dyDescent="0.25">
      <c r="A100" s="5" t="s">
        <v>111</v>
      </c>
      <c r="B100" s="5" t="s">
        <v>304</v>
      </c>
      <c r="C100" s="26">
        <f>IFERROR(VLOOKUP($B100,DGE_p!$B$2:$P$157,15,FALSE),"")</f>
        <v>31.957799911499023</v>
      </c>
      <c r="D100" s="26" t="str">
        <f>IF(ISBLANK(VLOOKUP($B100,SEMP_p!$B$2:$P$157,15,FALSE)),"",(VLOOKUP($B100,SEMP_p!$B$2:$P$157,15,FALSE)))</f>
        <v/>
      </c>
    </row>
    <row r="101" spans="1:4" x14ac:dyDescent="0.25">
      <c r="A101" s="5" t="s">
        <v>114</v>
      </c>
      <c r="B101" s="5" t="s">
        <v>308</v>
      </c>
      <c r="C101" s="26">
        <f>IFERROR(VLOOKUP($B101,DGE_p!$B$2:$P$157,15,FALSE),"")</f>
        <v>41.902675628662109</v>
      </c>
      <c r="D101" s="26" t="str">
        <f>IF(ISBLANK(VLOOKUP($B101,SEMP_p!$B$2:$P$157,15,FALSE)),"",(VLOOKUP($B101,SEMP_p!$B$2:$P$157,15,FALSE)))</f>
        <v/>
      </c>
    </row>
    <row r="102" spans="1:4" x14ac:dyDescent="0.25">
      <c r="A102" s="5" t="s">
        <v>115</v>
      </c>
      <c r="B102" s="5" t="s">
        <v>309</v>
      </c>
      <c r="C102" s="26">
        <f>IFERROR(VLOOKUP($B102,DGE_p!$B$2:$P$157,15,FALSE),"")</f>
        <v>28.056293487548828</v>
      </c>
      <c r="D102" s="26">
        <f>IF(ISBLANK(VLOOKUP($B102,SEMP_p!$B$2:$P$157,15,FALSE)),"",(VLOOKUP($B102,SEMP_p!$B$2:$P$157,15,FALSE)))</f>
        <v>14</v>
      </c>
    </row>
    <row r="103" spans="1:4" x14ac:dyDescent="0.25">
      <c r="A103" s="5" t="s">
        <v>113</v>
      </c>
      <c r="B103" s="5" t="s">
        <v>306</v>
      </c>
      <c r="C103" s="26" t="str">
        <f>IFERROR(VLOOKUP($B103,DGE_p!$B$2:$P$157,15,FALSE),"")</f>
        <v/>
      </c>
      <c r="D103" s="26" t="str">
        <f>IF(ISBLANK(VLOOKUP($B103,SEMP_p!$B$2:$P$157,15,FALSE)),"",(VLOOKUP($B103,SEMP_p!$B$2:$P$157,15,FALSE)))</f>
        <v/>
      </c>
    </row>
    <row r="104" spans="1:4" x14ac:dyDescent="0.25">
      <c r="A104" s="5" t="s">
        <v>121</v>
      </c>
      <c r="B104" s="5" t="s">
        <v>315</v>
      </c>
      <c r="C104" s="26">
        <f>IFERROR(VLOOKUP($B104,DGE_p!$B$2:$P$157,15,FALSE),"")</f>
        <v>22.902080535888672</v>
      </c>
      <c r="D104" s="26" t="str">
        <f>IF(ISBLANK(VLOOKUP($B104,SEMP_p!$B$2:$P$157,15,FALSE)),"",(VLOOKUP($B104,SEMP_p!$B$2:$P$157,15,FALSE)))</f>
        <v/>
      </c>
    </row>
    <row r="105" spans="1:4" x14ac:dyDescent="0.25">
      <c r="A105" s="5" t="s">
        <v>112</v>
      </c>
      <c r="B105" s="5" t="s">
        <v>305</v>
      </c>
      <c r="C105" s="26">
        <f>IFERROR(VLOOKUP($B105,DGE_p!$B$2:$P$157,15,FALSE),"")</f>
        <v>29.394283294677734</v>
      </c>
      <c r="D105" s="26">
        <f>IF(ISBLANK(VLOOKUP($B105,SEMP_p!$B$2:$P$157,15,FALSE)),"",(VLOOKUP($B105,SEMP_p!$B$2:$P$157,15,FALSE)))</f>
        <v>36.607089996337891</v>
      </c>
    </row>
    <row r="106" spans="1:4" x14ac:dyDescent="0.25">
      <c r="A106" s="5" t="s">
        <v>109</v>
      </c>
      <c r="B106" s="5" t="s">
        <v>302</v>
      </c>
      <c r="C106" s="26">
        <f>IFERROR(VLOOKUP($B106,DGE_p!$B$2:$P$157,15,FALSE),"")</f>
        <v>44.451404571533203</v>
      </c>
      <c r="D106" s="26">
        <f>IF(ISBLANK(VLOOKUP($B106,SEMP_p!$B$2:$P$157,15,FALSE)),"",(VLOOKUP($B106,SEMP_p!$B$2:$P$157,15,FALSE)))</f>
        <v>36</v>
      </c>
    </row>
    <row r="107" spans="1:4" x14ac:dyDescent="0.25">
      <c r="A107" s="5" t="s">
        <v>118</v>
      </c>
      <c r="B107" s="5" t="s">
        <v>312</v>
      </c>
      <c r="C107" s="26">
        <f>IFERROR(VLOOKUP($B107,DGE_p!$B$2:$P$157,15,FALSE),"")</f>
        <v>16.198862075805664</v>
      </c>
      <c r="D107" s="26">
        <f>IF(ISBLANK(VLOOKUP($B107,SEMP_p!$B$2:$P$157,15,FALSE)),"",(VLOOKUP($B107,SEMP_p!$B$2:$P$157,15,FALSE)))</f>
        <v>60.5</v>
      </c>
    </row>
    <row r="108" spans="1:4" x14ac:dyDescent="0.25">
      <c r="A108" s="5" t="s">
        <v>117</v>
      </c>
      <c r="B108" s="5" t="s">
        <v>311</v>
      </c>
      <c r="C108" s="26" t="str">
        <f>IFERROR(VLOOKUP($B108,DGE_p!$B$2:$P$157,15,FALSE),"")</f>
        <v/>
      </c>
      <c r="D108" s="26" t="str">
        <f>IF(ISBLANK(VLOOKUP($B108,SEMP_p!$B$2:$P$157,15,FALSE)),"",(VLOOKUP($B108,SEMP_p!$B$2:$P$157,15,FALSE)))</f>
        <v/>
      </c>
    </row>
    <row r="109" spans="1:4" x14ac:dyDescent="0.25">
      <c r="A109" s="5" t="s">
        <v>108</v>
      </c>
      <c r="B109" s="5" t="s">
        <v>301</v>
      </c>
      <c r="C109" s="26">
        <f>IFERROR(VLOOKUP($B109,DGE_p!$B$2:$P$157,15,FALSE),"")</f>
        <v>34.555049896240234</v>
      </c>
      <c r="D109" s="26">
        <f>IF(ISBLANK(VLOOKUP($B109,SEMP_p!$B$2:$P$157,15,FALSE)),"",(VLOOKUP($B109,SEMP_p!$B$2:$P$157,15,FALSE)))</f>
        <v>64.32647705078125</v>
      </c>
    </row>
    <row r="110" spans="1:4" x14ac:dyDescent="0.25">
      <c r="A110" s="5" t="s">
        <v>119</v>
      </c>
      <c r="B110" s="5" t="s">
        <v>313</v>
      </c>
      <c r="C110" s="26">
        <f>IFERROR(VLOOKUP($B110,DGE_p!$B$2:$P$157,15,FALSE),"")</f>
        <v>40.096714019775391</v>
      </c>
      <c r="D110" s="26">
        <f>IF(ISBLANK(VLOOKUP($B110,SEMP_p!$B$2:$P$157,15,FALSE)),"",(VLOOKUP($B110,SEMP_p!$B$2:$P$157,15,FALSE)))</f>
        <v>91.199996948242188</v>
      </c>
    </row>
    <row r="111" spans="1:4" x14ac:dyDescent="0.25">
      <c r="A111" s="5" t="s">
        <v>116</v>
      </c>
      <c r="B111" s="5" t="s">
        <v>310</v>
      </c>
      <c r="C111" s="26">
        <f>IFERROR(VLOOKUP($B111,DGE_p!$B$2:$P$157,15,FALSE),"")</f>
        <v>52.019161224365234</v>
      </c>
      <c r="D111" s="26" t="str">
        <f>IF(ISBLANK(VLOOKUP($B111,SEMP_p!$B$2:$P$157,15,FALSE)),"",(VLOOKUP($B111,SEMP_p!$B$2:$P$157,15,FALSE)))</f>
        <v/>
      </c>
    </row>
    <row r="112" spans="1:4" x14ac:dyDescent="0.25">
      <c r="A112" s="5" t="s">
        <v>124</v>
      </c>
      <c r="B112" s="5" t="s">
        <v>318</v>
      </c>
      <c r="C112" s="26">
        <f>IFERROR(VLOOKUP($B112,DGE_p!$B$2:$P$157,15,FALSE),"")</f>
        <v>30.046356201171875</v>
      </c>
      <c r="D112" s="26" t="str">
        <f>IF(ISBLANK(VLOOKUP($B112,SEMP_p!$B$2:$P$157,15,FALSE)),"",(VLOOKUP($B112,SEMP_p!$B$2:$P$157,15,FALSE)))</f>
        <v/>
      </c>
    </row>
    <row r="113" spans="1:4" x14ac:dyDescent="0.25">
      <c r="A113" s="5" t="s">
        <v>131</v>
      </c>
      <c r="B113" s="5" t="s">
        <v>325</v>
      </c>
      <c r="C113" s="26">
        <f>IFERROR(VLOOKUP($B113,DGE_p!$B$2:$P$157,15,FALSE),"")</f>
        <v>37.792022705078125</v>
      </c>
      <c r="D113" s="26">
        <f>IF(ISBLANK(VLOOKUP($B113,SEMP_p!$B$2:$P$157,15,FALSE)),"",(VLOOKUP($B113,SEMP_p!$B$2:$P$157,15,FALSE)))</f>
        <v>73.599998474121094</v>
      </c>
    </row>
    <row r="114" spans="1:4" x14ac:dyDescent="0.25">
      <c r="A114" s="5" t="s">
        <v>129</v>
      </c>
      <c r="B114" s="5" t="s">
        <v>323</v>
      </c>
      <c r="C114" s="26">
        <f>IFERROR(VLOOKUP($B114,DGE_p!$B$2:$P$157,15,FALSE),"")</f>
        <v>13.151936531066895</v>
      </c>
      <c r="D114" s="26">
        <f>IF(ISBLANK(VLOOKUP($B114,SEMP_p!$B$2:$P$157,15,FALSE)),"",(VLOOKUP($B114,SEMP_p!$B$2:$P$157,15,FALSE)))</f>
        <v>11.636509895324707</v>
      </c>
    </row>
    <row r="115" spans="1:4" x14ac:dyDescent="0.25">
      <c r="A115" s="5" t="s">
        <v>125</v>
      </c>
      <c r="B115" s="5" t="s">
        <v>319</v>
      </c>
      <c r="C115" s="26" t="str">
        <f>IFERROR(VLOOKUP($B115,DGE_p!$B$2:$P$157,15,FALSE),"")</f>
        <v/>
      </c>
      <c r="D115" s="26" t="str">
        <f>IF(ISBLANK(VLOOKUP($B115,SEMP_p!$B$2:$P$157,15,FALSE)),"",(VLOOKUP($B115,SEMP_p!$B$2:$P$157,15,FALSE)))</f>
        <v/>
      </c>
    </row>
    <row r="116" spans="1:4" x14ac:dyDescent="0.25">
      <c r="A116" s="5" t="s">
        <v>132</v>
      </c>
      <c r="B116" s="5" t="s">
        <v>326</v>
      </c>
      <c r="C116" s="26">
        <f>IFERROR(VLOOKUP($B116,DGE_p!$B$2:$P$157,15,FALSE),"")</f>
        <v>12.380799293518066</v>
      </c>
      <c r="D116" s="26">
        <f>IF(ISBLANK(VLOOKUP($B116,SEMP_p!$B$2:$P$157,15,FALSE)),"",(VLOOKUP($B116,SEMP_p!$B$2:$P$157,15,FALSE)))</f>
        <v>19.249719619750977</v>
      </c>
    </row>
    <row r="117" spans="1:4" x14ac:dyDescent="0.25">
      <c r="A117" s="5" t="s">
        <v>128</v>
      </c>
      <c r="B117" s="5" t="s">
        <v>322</v>
      </c>
      <c r="C117" s="26">
        <f>IFERROR(VLOOKUP($B117,DGE_p!$B$2:$P$157,15,FALSE),"")</f>
        <v>43.4337158203125</v>
      </c>
      <c r="D117" s="26">
        <f>IF(ISBLANK(VLOOKUP($B117,SEMP_p!$B$2:$P$157,15,FALSE)),"",(VLOOKUP($B117,SEMP_p!$B$2:$P$157,15,FALSE)))</f>
        <v>52.799999237060547</v>
      </c>
    </row>
    <row r="118" spans="1:4" x14ac:dyDescent="0.25">
      <c r="A118" s="5" t="s">
        <v>126</v>
      </c>
      <c r="B118" s="5" t="s">
        <v>320</v>
      </c>
      <c r="C118" s="26">
        <f>IFERROR(VLOOKUP($B118,DGE_p!$B$2:$P$157,15,FALSE),"")</f>
        <v>38.572746276855469</v>
      </c>
      <c r="D118" s="26" t="str">
        <f>IF(ISBLANK(VLOOKUP($B118,SEMP_p!$B$2:$P$157,15,FALSE)),"",(VLOOKUP($B118,SEMP_p!$B$2:$P$157,15,FALSE)))</f>
        <v/>
      </c>
    </row>
    <row r="119" spans="1:4" x14ac:dyDescent="0.25">
      <c r="A119" s="5" t="s">
        <v>127</v>
      </c>
      <c r="B119" s="5" t="s">
        <v>321</v>
      </c>
      <c r="C119" s="26">
        <f>IFERROR(VLOOKUP($B119,DGE_p!$B$2:$P$157,15,FALSE),"")</f>
        <v>54.121295928955078</v>
      </c>
      <c r="D119" s="26" t="str">
        <f>IF(ISBLANK(VLOOKUP($B119,SEMP_p!$B$2:$P$157,15,FALSE)),"",(VLOOKUP($B119,SEMP_p!$B$2:$P$157,15,FALSE)))</f>
        <v/>
      </c>
    </row>
    <row r="120" spans="1:4" x14ac:dyDescent="0.25">
      <c r="A120" s="5" t="s">
        <v>408</v>
      </c>
      <c r="B120" s="5" t="s">
        <v>307</v>
      </c>
      <c r="C120" s="26">
        <f>IFERROR(VLOOKUP($B120,DGE_p!$B$2:$P$157,15,FALSE),"")</f>
        <v>35.108123779296875</v>
      </c>
      <c r="D120" s="26">
        <f>IF(ISBLANK(VLOOKUP($B120,SEMP_p!$B$2:$P$157,15,FALSE)),"",(VLOOKUP($B120,SEMP_p!$B$2:$P$157,15,FALSE)))</f>
        <v>27.299999237060547</v>
      </c>
    </row>
    <row r="121" spans="1:4" x14ac:dyDescent="0.25">
      <c r="A121" s="5" t="s">
        <v>130</v>
      </c>
      <c r="B121" s="5" t="s">
        <v>324</v>
      </c>
      <c r="C121" s="26">
        <f>IFERROR(VLOOKUP($B121,DGE_p!$B$2:$P$157,15,FALSE),"")</f>
        <v>18.197839736938477</v>
      </c>
      <c r="D121" s="26">
        <f>IF(ISBLANK(VLOOKUP($B121,SEMP_p!$B$2:$P$157,15,FALSE)),"",(VLOOKUP($B121,SEMP_p!$B$2:$P$157,15,FALSE)))</f>
        <v>7.2974920272827148</v>
      </c>
    </row>
    <row r="122" spans="1:4" x14ac:dyDescent="0.25">
      <c r="A122" s="5" t="s">
        <v>133</v>
      </c>
      <c r="B122" s="5" t="s">
        <v>327</v>
      </c>
      <c r="C122" s="26">
        <f>IFERROR(VLOOKUP($B122,DGE_p!$B$2:$P$157,15,FALSE),"")</f>
        <v>17.528224945068359</v>
      </c>
      <c r="D122" s="26" t="str">
        <f>IF(ISBLANK(VLOOKUP($B122,SEMP_p!$B$2:$P$157,15,FALSE)),"",(VLOOKUP($B122,SEMP_p!$B$2:$P$157,15,FALSE)))</f>
        <v/>
      </c>
    </row>
    <row r="123" spans="1:4" x14ac:dyDescent="0.25">
      <c r="A123" s="5" t="s">
        <v>134</v>
      </c>
      <c r="B123" s="5" t="s">
        <v>328</v>
      </c>
      <c r="C123" s="26">
        <f>IFERROR(VLOOKUP($B123,DGE_p!$B$2:$P$157,15,FALSE),"")</f>
        <v>33.926689147949219</v>
      </c>
      <c r="D123" s="26">
        <f>IF(ISBLANK(VLOOKUP($B123,SEMP_p!$B$2:$P$157,15,FALSE)),"",(VLOOKUP($B123,SEMP_p!$B$2:$P$157,15,FALSE)))</f>
        <v>60.099998474121094</v>
      </c>
    </row>
    <row r="124" spans="1:4" x14ac:dyDescent="0.25">
      <c r="A124" s="5" t="s">
        <v>135</v>
      </c>
      <c r="B124" s="5" t="s">
        <v>329</v>
      </c>
      <c r="C124" s="26">
        <f>IFERROR(VLOOKUP($B124,DGE_p!$B$2:$P$157,15,FALSE),"")</f>
        <v>60.577564239501953</v>
      </c>
      <c r="D124" s="26">
        <f>IF(ISBLANK(VLOOKUP($B124,SEMP_p!$B$2:$P$157,15,FALSE)),"",(VLOOKUP($B124,SEMP_p!$B$2:$P$157,15,FALSE)))</f>
        <v>35.099998474121094</v>
      </c>
    </row>
    <row r="125" spans="1:4" x14ac:dyDescent="0.25">
      <c r="A125" s="5" t="s">
        <v>142</v>
      </c>
      <c r="B125" s="5" t="s">
        <v>336</v>
      </c>
      <c r="C125" s="26">
        <f>IFERROR(VLOOKUP($B125,DGE_p!$B$2:$P$157,15,FALSE),"")</f>
        <v>37.398216247558594</v>
      </c>
      <c r="D125" s="26">
        <f>IF(ISBLANK(VLOOKUP($B125,SEMP_p!$B$2:$P$157,15,FALSE)),"",(VLOOKUP($B125,SEMP_p!$B$2:$P$157,15,FALSE)))</f>
        <v>55.900001525878906</v>
      </c>
    </row>
    <row r="126" spans="1:4" x14ac:dyDescent="0.25">
      <c r="A126" s="5" t="s">
        <v>136</v>
      </c>
      <c r="B126" s="5" t="s">
        <v>330</v>
      </c>
      <c r="C126" s="26">
        <f>IFERROR(VLOOKUP($B126,DGE_p!$B$2:$P$157,15,FALSE),"")</f>
        <v>55.128055572509766</v>
      </c>
      <c r="D126" s="26">
        <f>IF(ISBLANK(VLOOKUP($B126,SEMP_p!$B$2:$P$157,15,FALSE)),"",(VLOOKUP($B126,SEMP_p!$B$2:$P$157,15,FALSE)))</f>
        <v>40.200000762939453</v>
      </c>
    </row>
    <row r="127" spans="1:4" x14ac:dyDescent="0.25">
      <c r="A127" s="5" t="s">
        <v>137</v>
      </c>
      <c r="B127" s="5" t="s">
        <v>331</v>
      </c>
      <c r="C127" s="26">
        <f>IFERROR(VLOOKUP($B127,DGE_p!$B$2:$P$157,15,FALSE),"")</f>
        <v>38.845718383789063</v>
      </c>
      <c r="D127" s="26">
        <f>IF(ISBLANK(VLOOKUP($B127,SEMP_p!$B$2:$P$157,15,FALSE)),"",(VLOOKUP($B127,SEMP_p!$B$2:$P$157,15,FALSE)))</f>
        <v>49.900001525878906</v>
      </c>
    </row>
    <row r="128" spans="1:4" x14ac:dyDescent="0.25">
      <c r="A128" s="5" t="s">
        <v>139</v>
      </c>
      <c r="B128" s="5" t="s">
        <v>333</v>
      </c>
      <c r="C128" s="26">
        <f>IFERROR(VLOOKUP($B128,DGE_p!$B$2:$P$157,15,FALSE),"")</f>
        <v>26.694828033447266</v>
      </c>
      <c r="D128" s="26">
        <f>IF(ISBLANK(VLOOKUP($B128,SEMP_p!$B$2:$P$157,15,FALSE)),"",(VLOOKUP($B128,SEMP_p!$B$2:$P$157,15,FALSE)))</f>
        <v>27.265270233154297</v>
      </c>
    </row>
    <row r="129" spans="1:4" x14ac:dyDescent="0.25">
      <c r="A129" s="5" t="s">
        <v>141</v>
      </c>
      <c r="B129" s="5" t="s">
        <v>335</v>
      </c>
      <c r="C129" s="26">
        <f>IFERROR(VLOOKUP($B129,DGE_p!$B$2:$P$157,15,FALSE),"")</f>
        <v>23.652341842651367</v>
      </c>
      <c r="D129" s="26">
        <f>IF(ISBLANK(VLOOKUP($B129,SEMP_p!$B$2:$P$157,15,FALSE)),"",(VLOOKUP($B129,SEMP_p!$B$2:$P$157,15,FALSE)))</f>
        <v>27.154970169067383</v>
      </c>
    </row>
    <row r="130" spans="1:4" x14ac:dyDescent="0.25">
      <c r="A130" s="5" t="s">
        <v>140</v>
      </c>
      <c r="B130" s="5" t="s">
        <v>334</v>
      </c>
      <c r="C130" s="26" t="str">
        <f>IFERROR(VLOOKUP($B130,DGE_p!$B$2:$P$157,15,FALSE),"")</f>
        <v/>
      </c>
      <c r="D130" s="26">
        <f>IF(ISBLANK(VLOOKUP($B130,SEMP_p!$B$2:$P$157,15,FALSE)),"",(VLOOKUP($B130,SEMP_p!$B$2:$P$157,15,FALSE)))</f>
        <v>14.199999809265137</v>
      </c>
    </row>
    <row r="131" spans="1:4" x14ac:dyDescent="0.25">
      <c r="A131" s="5" t="s">
        <v>145</v>
      </c>
      <c r="B131" s="5" t="s">
        <v>339</v>
      </c>
      <c r="C131" s="26">
        <f>IFERROR(VLOOKUP($B131,DGE_p!$B$2:$P$157,15,FALSE),"")</f>
        <v>19.007955551147461</v>
      </c>
      <c r="D131" s="26" t="str">
        <f>IF(ISBLANK(VLOOKUP($B131,SEMP_p!$B$2:$P$157,15,FALSE)),"",(VLOOKUP($B131,SEMP_p!$B$2:$P$157,15,FALSE)))</f>
        <v/>
      </c>
    </row>
    <row r="132" spans="1:4" x14ac:dyDescent="0.25">
      <c r="A132" s="5" t="s">
        <v>146</v>
      </c>
      <c r="B132" s="5" t="s">
        <v>340</v>
      </c>
      <c r="C132" s="26">
        <f>IFERROR(VLOOKUP($B132,DGE_p!$B$2:$P$157,15,FALSE),"")</f>
        <v>31.892803192138672</v>
      </c>
      <c r="D132" s="26">
        <f>IF(ISBLANK(VLOOKUP($B132,SEMP_p!$B$2:$P$157,15,FALSE)),"",(VLOOKUP($B132,SEMP_p!$B$2:$P$157,15,FALSE)))</f>
        <v>39.5</v>
      </c>
    </row>
    <row r="133" spans="1:4" x14ac:dyDescent="0.25">
      <c r="A133" s="5" t="s">
        <v>147</v>
      </c>
      <c r="B133" s="5" t="s">
        <v>341</v>
      </c>
      <c r="C133" s="26">
        <f>IFERROR(VLOOKUP($B133,DGE_p!$B$2:$P$157,15,FALSE),"")</f>
        <v>40.160388946533203</v>
      </c>
      <c r="D133" s="26">
        <f>IF(ISBLANK(VLOOKUP($B133,SEMP_p!$B$2:$P$157,15,FALSE)),"",(VLOOKUP($B133,SEMP_p!$B$2:$P$157,15,FALSE)))</f>
        <v>7.4000000953674316</v>
      </c>
    </row>
    <row r="134" spans="1:4" x14ac:dyDescent="0.25">
      <c r="A134" s="5" t="s">
        <v>148</v>
      </c>
      <c r="B134" s="5" t="s">
        <v>342</v>
      </c>
      <c r="C134" s="26">
        <f>IFERROR(VLOOKUP($B134,DGE_p!$B$2:$P$157,15,FALSE),"")</f>
        <v>40.624008178710938</v>
      </c>
      <c r="D134" s="26" t="str">
        <f>IF(ISBLANK(VLOOKUP($B134,SEMP_p!$B$2:$P$157,15,FALSE)),"",(VLOOKUP($B134,SEMP_p!$B$2:$P$157,15,FALSE)))</f>
        <v/>
      </c>
    </row>
    <row r="135" spans="1:4" x14ac:dyDescent="0.25">
      <c r="A135" s="5" t="s">
        <v>95</v>
      </c>
      <c r="B135" s="5" t="s">
        <v>288</v>
      </c>
      <c r="C135" s="26" t="str">
        <f>IFERROR(VLOOKUP($B135,DGE_p!$B$2:$P$157,15,FALSE),"")</f>
        <v/>
      </c>
      <c r="D135" s="26" t="str">
        <f>IF(ISBLANK(VLOOKUP($B135,SEMP_p!$B$2:$P$157,15,FALSE)),"",(VLOOKUP($B135,SEMP_p!$B$2:$P$157,15,FALSE)))</f>
        <v/>
      </c>
    </row>
    <row r="136" spans="1:4" x14ac:dyDescent="0.25">
      <c r="A136" s="5" t="s">
        <v>187</v>
      </c>
      <c r="B136" s="5" t="s">
        <v>381</v>
      </c>
      <c r="C136" s="26" t="str">
        <f>IFERROR(VLOOKUP($B136,DGE_p!$B$2:$P$157,15,FALSE),"")</f>
        <v/>
      </c>
      <c r="D136" s="26" t="str">
        <f>IF(ISBLANK(VLOOKUP($B136,SEMP_p!$B$2:$P$157,15,FALSE)),"",(VLOOKUP($B136,SEMP_p!$B$2:$P$157,15,FALSE)))</f>
        <v/>
      </c>
    </row>
    <row r="137" spans="1:4" x14ac:dyDescent="0.25">
      <c r="A137" s="5" t="s">
        <v>158</v>
      </c>
      <c r="B137" s="5" t="s">
        <v>352</v>
      </c>
      <c r="C137" s="26" t="str">
        <f>IFERROR(VLOOKUP($B137,DGE_p!$B$2:$P$157,15,FALSE),"")</f>
        <v/>
      </c>
      <c r="D137" s="26">
        <f>IF(ISBLANK(VLOOKUP($B137,SEMP_p!$B$2:$P$157,15,FALSE)),"",(VLOOKUP($B137,SEMP_p!$B$2:$P$157,15,FALSE)))</f>
        <v>50.436679840087891</v>
      </c>
    </row>
    <row r="138" spans="1:4" x14ac:dyDescent="0.25">
      <c r="A138" s="5" t="s">
        <v>149</v>
      </c>
      <c r="B138" s="5" t="s">
        <v>343</v>
      </c>
      <c r="C138" s="26">
        <f>IFERROR(VLOOKUP($B138,DGE_p!$B$2:$P$157,15,FALSE),"")</f>
        <v>17.428468704223633</v>
      </c>
      <c r="D138" s="26" t="str">
        <f>IF(ISBLANK(VLOOKUP($B138,SEMP_p!$B$2:$P$157,15,FALSE)),"",(VLOOKUP($B138,SEMP_p!$B$2:$P$157,15,FALSE)))</f>
        <v/>
      </c>
    </row>
    <row r="139" spans="1:4" x14ac:dyDescent="0.25">
      <c r="A139" s="5" t="s">
        <v>151</v>
      </c>
      <c r="B139" s="5" t="s">
        <v>345</v>
      </c>
      <c r="C139" s="26">
        <f>IFERROR(VLOOKUP($B139,DGE_p!$B$2:$P$157,15,FALSE),"")</f>
        <v>43.133689880371094</v>
      </c>
      <c r="D139" s="26" t="str">
        <f>IF(ISBLANK(VLOOKUP($B139,SEMP_p!$B$2:$P$157,15,FALSE)),"",(VLOOKUP($B139,SEMP_p!$B$2:$P$157,15,FALSE)))</f>
        <v/>
      </c>
    </row>
    <row r="140" spans="1:4" x14ac:dyDescent="0.25">
      <c r="A140" s="5" t="s">
        <v>156</v>
      </c>
      <c r="B140" s="5" t="s">
        <v>350</v>
      </c>
      <c r="C140" s="26" t="str">
        <f>IFERROR(VLOOKUP($B140,DGE_p!$B$2:$P$157,15,FALSE),"")</f>
        <v/>
      </c>
      <c r="D140" s="26">
        <f>IF(ISBLANK(VLOOKUP($B140,SEMP_p!$B$2:$P$157,15,FALSE)),"",(VLOOKUP($B140,SEMP_p!$B$2:$P$157,15,FALSE)))</f>
        <v>26.588739395141602</v>
      </c>
    </row>
    <row r="141" spans="1:4" x14ac:dyDescent="0.25">
      <c r="A141" s="5" t="s">
        <v>164</v>
      </c>
      <c r="B141" s="5" t="s">
        <v>358</v>
      </c>
      <c r="C141" s="26" t="str">
        <f>IFERROR(VLOOKUP($B141,DGE_p!$B$2:$P$157,15,FALSE),"")</f>
        <v/>
      </c>
      <c r="D141" s="26" t="str">
        <f>IF(ISBLANK(VLOOKUP($B141,SEMP_p!$B$2:$P$157,15,FALSE)),"",(VLOOKUP($B141,SEMP_p!$B$2:$P$157,15,FALSE)))</f>
        <v/>
      </c>
    </row>
    <row r="142" spans="1:4" x14ac:dyDescent="0.25">
      <c r="A142" s="5" t="s">
        <v>154</v>
      </c>
      <c r="B142" s="5" t="s">
        <v>348</v>
      </c>
      <c r="C142" s="26">
        <f>IFERROR(VLOOKUP($B142,DGE_p!$B$2:$P$157,15,FALSE),"")</f>
        <v>42.165191650390625</v>
      </c>
      <c r="D142" s="26" t="str">
        <f>IF(ISBLANK(VLOOKUP($B142,SEMP_p!$B$2:$P$157,15,FALSE)),"",(VLOOKUP($B142,SEMP_p!$B$2:$P$157,15,FALSE)))</f>
        <v/>
      </c>
    </row>
    <row r="143" spans="1:4" x14ac:dyDescent="0.25">
      <c r="A143" s="5" t="s">
        <v>152</v>
      </c>
      <c r="B143" s="5" t="s">
        <v>346</v>
      </c>
      <c r="C143" s="26">
        <f>IFERROR(VLOOKUP($B143,DGE_p!$B$2:$P$157,15,FALSE),"")</f>
        <v>12.02293872833252</v>
      </c>
      <c r="D143" s="26">
        <f>IF(ISBLANK(VLOOKUP($B143,SEMP_p!$B$2:$P$157,15,FALSE)),"",(VLOOKUP($B143,SEMP_p!$B$2:$P$157,15,FALSE)))</f>
        <v>14.899999618530273</v>
      </c>
    </row>
    <row r="144" spans="1:4" x14ac:dyDescent="0.25">
      <c r="A144" s="5" t="s">
        <v>160</v>
      </c>
      <c r="B144" s="5" t="s">
        <v>354</v>
      </c>
      <c r="C144" s="26">
        <f>IFERROR(VLOOKUP($B144,DGE_p!$B$2:$P$157,15,FALSE),"")</f>
        <v>16.967813491821289</v>
      </c>
      <c r="D144" s="26">
        <f>IF(ISBLANK(VLOOKUP($B144,SEMP_p!$B$2:$P$157,15,FALSE)),"",(VLOOKUP($B144,SEMP_p!$B$2:$P$157,15,FALSE)))</f>
        <v>9.5</v>
      </c>
    </row>
    <row r="145" spans="1:4" x14ac:dyDescent="0.25">
      <c r="A145" s="5" t="s">
        <v>161</v>
      </c>
      <c r="B145" s="5" t="s">
        <v>355</v>
      </c>
      <c r="C145" s="26">
        <f>IFERROR(VLOOKUP($B145,DGE_p!$B$2:$P$157,15,FALSE),"")</f>
        <v>25.393795013427734</v>
      </c>
      <c r="D145" s="26">
        <f>IF(ISBLANK(VLOOKUP($B145,SEMP_p!$B$2:$P$157,15,FALSE)),"",(VLOOKUP($B145,SEMP_p!$B$2:$P$157,15,FALSE)))</f>
        <v>13.889659881591797</v>
      </c>
    </row>
    <row r="146" spans="1:4" x14ac:dyDescent="0.25">
      <c r="A146" s="5" t="s">
        <v>190</v>
      </c>
      <c r="B146" s="5" t="s">
        <v>384</v>
      </c>
      <c r="C146" s="26">
        <f>IFERROR(VLOOKUP($B146,DGE_p!$B$2:$P$157,15,FALSE),"")</f>
        <v>25.678741455078125</v>
      </c>
      <c r="D146" s="26">
        <f>IF(ISBLANK(VLOOKUP($B146,SEMP_p!$B$2:$P$157,15,FALSE)),"",(VLOOKUP($B146,SEMP_p!$B$2:$P$157,15,FALSE)))</f>
        <v>18.200000762939453</v>
      </c>
    </row>
    <row r="147" spans="1:4" x14ac:dyDescent="0.25">
      <c r="A147" s="5" t="s">
        <v>56</v>
      </c>
      <c r="B147" s="5" t="s">
        <v>249</v>
      </c>
      <c r="C147" s="26">
        <f>IFERROR(VLOOKUP($B147,DGE_p!$B$2:$P$157,15,FALSE),"")</f>
        <v>22.87169075012207</v>
      </c>
      <c r="D147" s="26">
        <f>IF(ISBLANK(VLOOKUP($B147,SEMP_p!$B$2:$P$157,15,FALSE)),"",(VLOOKUP($B147,SEMP_p!$B$2:$P$157,15,FALSE)))</f>
        <v>18.043300628662109</v>
      </c>
    </row>
    <row r="148" spans="1:4" x14ac:dyDescent="0.25">
      <c r="A148" s="5" t="s">
        <v>103</v>
      </c>
      <c r="B148" s="5" t="s">
        <v>296</v>
      </c>
      <c r="C148" s="26">
        <f>IFERROR(VLOOKUP($B148,DGE_p!$B$2:$P$157,15,FALSE),"")</f>
        <v>44.512550354003906</v>
      </c>
      <c r="D148" s="26">
        <f>IF(ISBLANK(VLOOKUP($B148,SEMP_p!$B$2:$P$157,15,FALSE)),"",(VLOOKUP($B148,SEMP_p!$B$2:$P$157,15,FALSE)))</f>
        <v>42.099998474121094</v>
      </c>
    </row>
    <row r="149" spans="1:4" x14ac:dyDescent="0.25">
      <c r="A149" s="5" t="s">
        <v>102</v>
      </c>
      <c r="B149" s="5" t="s">
        <v>295</v>
      </c>
      <c r="C149" s="26">
        <f>IFERROR(VLOOKUP($B149,DGE_p!$B$2:$P$157,15,FALSE),"")</f>
        <v>40.952716827392578</v>
      </c>
      <c r="D149" s="26" t="str">
        <f>IF(ISBLANK(VLOOKUP($B149,SEMP_p!$B$2:$P$157,15,FALSE)),"",(VLOOKUP($B149,SEMP_p!$B$2:$P$157,15,FALSE)))</f>
        <v/>
      </c>
    </row>
    <row r="150" spans="1:4" x14ac:dyDescent="0.25">
      <c r="A150" s="5" t="s">
        <v>183</v>
      </c>
      <c r="B150" s="5" t="s">
        <v>377</v>
      </c>
      <c r="C150" s="26">
        <f>IFERROR(VLOOKUP($B150,DGE_p!$B$2:$P$157,15,FALSE),"")</f>
        <v>49.996501922607422</v>
      </c>
      <c r="D150" s="26" t="str">
        <f>IF(ISBLANK(VLOOKUP($B150,SEMP_p!$B$2:$P$157,15,FALSE)),"",(VLOOKUP($B150,SEMP_p!$B$2:$P$157,15,FALSE)))</f>
        <v/>
      </c>
    </row>
    <row r="151" spans="1:4" x14ac:dyDescent="0.25">
      <c r="A151" s="5" t="s">
        <v>159</v>
      </c>
      <c r="B151" s="5" t="s">
        <v>353</v>
      </c>
      <c r="C151" s="26">
        <f>IFERROR(VLOOKUP($B151,DGE_p!$B$2:$P$157,15,FALSE),"")</f>
        <v>35.804546356201172</v>
      </c>
      <c r="D151" s="26" t="str">
        <f>IF(ISBLANK(VLOOKUP($B151,SEMP_p!$B$2:$P$157,15,FALSE)),"",(VLOOKUP($B151,SEMP_p!$B$2:$P$157,15,FALSE)))</f>
        <v/>
      </c>
    </row>
    <row r="152" spans="1:4" x14ac:dyDescent="0.25">
      <c r="A152" s="5" t="s">
        <v>162</v>
      </c>
      <c r="B152" s="5" t="s">
        <v>356</v>
      </c>
      <c r="C152" s="26">
        <f>IFERROR(VLOOKUP($B152,DGE_p!$B$2:$P$157,15,FALSE),"")</f>
        <v>18.073942184448242</v>
      </c>
      <c r="D152" s="26">
        <f>IF(ISBLANK(VLOOKUP($B152,SEMP_p!$B$2:$P$157,15,FALSE)),"",(VLOOKUP($B152,SEMP_p!$B$2:$P$157,15,FALSE)))</f>
        <v>10.413379669189453</v>
      </c>
    </row>
    <row r="153" spans="1:4" x14ac:dyDescent="0.25">
      <c r="A153" s="5" t="s">
        <v>32</v>
      </c>
      <c r="B153" s="5" t="s">
        <v>225</v>
      </c>
      <c r="C153" s="26">
        <f>IFERROR(VLOOKUP($B153,DGE_p!$B$2:$P$157,15,FALSE),"")</f>
        <v>8.1207370758056641</v>
      </c>
      <c r="D153" s="26">
        <f>IF(ISBLANK(VLOOKUP($B153,SEMP_p!$B$2:$P$157,15,FALSE)),"",(VLOOKUP($B153,SEMP_p!$B$2:$P$157,15,FALSE)))</f>
        <v>17.924520492553711</v>
      </c>
    </row>
    <row r="154" spans="1:4" x14ac:dyDescent="0.25">
      <c r="A154" s="5" t="s">
        <v>165</v>
      </c>
      <c r="B154" s="5" t="s">
        <v>359</v>
      </c>
      <c r="C154" s="26">
        <f>IFERROR(VLOOKUP($B154,DGE_p!$B$2:$P$157,15,FALSE),"")</f>
        <v>19.313680648803711</v>
      </c>
      <c r="D154" s="26" t="str">
        <f>IF(ISBLANK(VLOOKUP($B154,SEMP_p!$B$2:$P$157,15,FALSE)),"",(VLOOKUP($B154,SEMP_p!$B$2:$P$157,15,FALSE)))</f>
        <v/>
      </c>
    </row>
    <row r="155" spans="1:4" x14ac:dyDescent="0.25">
      <c r="A155" s="5" t="s">
        <v>170</v>
      </c>
      <c r="B155" s="5" t="s">
        <v>364</v>
      </c>
      <c r="C155" s="26">
        <f>IFERROR(VLOOKUP($B155,DGE_p!$B$2:$P$157,15,FALSE),"")</f>
        <v>38.844932556152344</v>
      </c>
      <c r="D155" s="26">
        <f>IF(ISBLANK(VLOOKUP($B155,SEMP_p!$B$2:$P$157,15,FALSE)),"",(VLOOKUP($B155,SEMP_p!$B$2:$P$157,15,FALSE)))</f>
        <v>46.700000762939453</v>
      </c>
    </row>
    <row r="156" spans="1:4" x14ac:dyDescent="0.25">
      <c r="A156" s="5" t="s">
        <v>177</v>
      </c>
      <c r="B156" s="5" t="s">
        <v>371</v>
      </c>
      <c r="C156" s="26">
        <f>IFERROR(VLOOKUP($B156,DGE_p!$B$2:$P$157,15,FALSE),"")</f>
        <v>57.725448608398438</v>
      </c>
      <c r="D156" s="26" t="str">
        <f>IF(ISBLANK(VLOOKUP($B156,SEMP_p!$B$2:$P$157,15,FALSE)),"",(VLOOKUP($B156,SEMP_p!$B$2:$P$157,15,FALSE)))</f>
        <v/>
      </c>
    </row>
    <row r="157" spans="1:4" x14ac:dyDescent="0.25">
      <c r="A157" s="5" t="s">
        <v>169</v>
      </c>
      <c r="B157" s="5" t="s">
        <v>363</v>
      </c>
      <c r="C157" s="26">
        <f>IFERROR(VLOOKUP($B157,DGE_p!$B$2:$P$157,15,FALSE),"")</f>
        <v>48.902912139892578</v>
      </c>
      <c r="D157" s="26">
        <f>IF(ISBLANK(VLOOKUP($B157,SEMP_p!$B$2:$P$157,15,FALSE)),"",(VLOOKUP($B157,SEMP_p!$B$2:$P$157,15,FALSE)))</f>
        <v>59.5</v>
      </c>
    </row>
    <row r="158" spans="1:4" x14ac:dyDescent="0.25">
      <c r="A158" s="5" t="s">
        <v>171</v>
      </c>
      <c r="B158" s="5" t="s">
        <v>365</v>
      </c>
      <c r="C158" s="26" t="str">
        <f>IFERROR(VLOOKUP($B158,DGE_p!$B$2:$P$157,15,FALSE),"")</f>
        <v/>
      </c>
      <c r="D158" s="26" t="e">
        <f>IF(ISBLANK(VLOOKUP($B158,SEMP_p!$B$2:$P$157,15,FALSE)),"",(VLOOKUP($B158,SEMP_p!$B$2:$P$157,15,FALSE)))</f>
        <v>#N/A</v>
      </c>
    </row>
    <row r="159" spans="1:4" x14ac:dyDescent="0.25">
      <c r="A159" s="5" t="s">
        <v>168</v>
      </c>
      <c r="B159" s="5" t="s">
        <v>362</v>
      </c>
      <c r="C159" s="26">
        <f>IFERROR(VLOOKUP($B159,DGE_p!$B$2:$P$157,15,FALSE),"")</f>
        <v>34.319301605224609</v>
      </c>
      <c r="D159" s="26" t="e">
        <f>IF(ISBLANK(VLOOKUP($B159,SEMP_p!$B$2:$P$157,15,FALSE)),"",(VLOOKUP($B159,SEMP_p!$B$2:$P$157,15,FALSE)))</f>
        <v>#N/A</v>
      </c>
    </row>
    <row r="160" spans="1:4" x14ac:dyDescent="0.25">
      <c r="A160" s="5" t="s">
        <v>172</v>
      </c>
      <c r="B160" s="5" t="s">
        <v>366</v>
      </c>
      <c r="C160" s="26" t="str">
        <f>IFERROR(VLOOKUP($B160,DGE_p!$B$2:$P$157,15,FALSE),"")</f>
        <v/>
      </c>
      <c r="D160" s="26" t="e">
        <f>IF(ISBLANK(VLOOKUP($B160,SEMP_p!$B$2:$P$157,15,FALSE)),"",(VLOOKUP($B160,SEMP_p!$B$2:$P$157,15,FALSE)))</f>
        <v>#N/A</v>
      </c>
    </row>
    <row r="161" spans="1:4" x14ac:dyDescent="0.25">
      <c r="A161" s="5" t="s">
        <v>173</v>
      </c>
      <c r="B161" s="5" t="s">
        <v>367</v>
      </c>
      <c r="C161" s="26">
        <f>IFERROR(VLOOKUP($B161,DGE_p!$B$2:$P$157,15,FALSE),"")</f>
        <v>31.621419906616211</v>
      </c>
      <c r="D161" s="26" t="e">
        <f>IF(ISBLANK(VLOOKUP($B161,SEMP_p!$B$2:$P$157,15,FALSE)),"",(VLOOKUP($B161,SEMP_p!$B$2:$P$157,15,FALSE)))</f>
        <v>#N/A</v>
      </c>
    </row>
    <row r="162" spans="1:4" x14ac:dyDescent="0.25">
      <c r="A162" s="5" t="s">
        <v>174</v>
      </c>
      <c r="B162" s="5" t="s">
        <v>368</v>
      </c>
      <c r="C162" s="26">
        <f>IFERROR(VLOOKUP($B162,DGE_p!$B$2:$P$157,15,FALSE),"")</f>
        <v>36.697078704833984</v>
      </c>
      <c r="D162" s="26" t="e">
        <f>IF(ISBLANK(VLOOKUP($B162,SEMP_p!$B$2:$P$157,15,FALSE)),"",(VLOOKUP($B162,SEMP_p!$B$2:$P$157,15,FALSE)))</f>
        <v>#N/A</v>
      </c>
    </row>
    <row r="163" spans="1:4" x14ac:dyDescent="0.25">
      <c r="A163" s="5" t="s">
        <v>175</v>
      </c>
      <c r="B163" s="5" t="s">
        <v>369</v>
      </c>
      <c r="C163" s="26">
        <f>IFERROR(VLOOKUP($B163,DGE_p!$B$2:$P$157,15,FALSE),"")</f>
        <v>31.142313003540039</v>
      </c>
      <c r="D163" s="26" t="e">
        <f>IF(ISBLANK(VLOOKUP($B163,SEMP_p!$B$2:$P$157,15,FALSE)),"",(VLOOKUP($B163,SEMP_p!$B$2:$P$157,15,FALSE)))</f>
        <v>#N/A</v>
      </c>
    </row>
    <row r="164" spans="1:4" x14ac:dyDescent="0.25">
      <c r="A164" s="5" t="s">
        <v>166</v>
      </c>
      <c r="B164" s="5" t="s">
        <v>360</v>
      </c>
      <c r="C164" s="26" t="str">
        <f>IFERROR(VLOOKUP($B164,DGE_p!$B$2:$P$157,15,FALSE),"")</f>
        <v/>
      </c>
      <c r="D164" s="26" t="e">
        <f>IF(ISBLANK(VLOOKUP($B164,SEMP_p!$B$2:$P$157,15,FALSE)),"",(VLOOKUP($B164,SEMP_p!$B$2:$P$157,15,FALSE)))</f>
        <v>#N/A</v>
      </c>
    </row>
    <row r="165" spans="1:4" x14ac:dyDescent="0.25">
      <c r="A165" s="5" t="s">
        <v>176</v>
      </c>
      <c r="B165" s="5" t="s">
        <v>370</v>
      </c>
      <c r="C165" s="26" t="str">
        <f>IFERROR(VLOOKUP($B165,DGE_p!$B$2:$P$157,15,FALSE),"")</f>
        <v/>
      </c>
      <c r="D165" s="26" t="e">
        <f>IF(ISBLANK(VLOOKUP($B165,SEMP_p!$B$2:$P$157,15,FALSE)),"",(VLOOKUP($B165,SEMP_p!$B$2:$P$157,15,FALSE)))</f>
        <v>#N/A</v>
      </c>
    </row>
    <row r="166" spans="1:4" x14ac:dyDescent="0.25">
      <c r="A166" s="5" t="s">
        <v>178</v>
      </c>
      <c r="B166" s="5" t="s">
        <v>372</v>
      </c>
      <c r="C166" s="26">
        <f>IFERROR(VLOOKUP($B166,DGE_p!$B$2:$P$157,15,FALSE),"")</f>
        <v>43.505603790283203</v>
      </c>
      <c r="D166" s="26" t="e">
        <f>IF(ISBLANK(VLOOKUP($B166,SEMP_p!$B$2:$P$157,15,FALSE)),"",(VLOOKUP($B166,SEMP_p!$B$2:$P$157,15,FALSE)))</f>
        <v>#N/A</v>
      </c>
    </row>
    <row r="167" spans="1:4" x14ac:dyDescent="0.25">
      <c r="A167" s="5" t="s">
        <v>179</v>
      </c>
      <c r="B167" s="5" t="s">
        <v>373</v>
      </c>
      <c r="C167" s="26">
        <f>IFERROR(VLOOKUP($B167,DGE_p!$B$2:$P$157,15,FALSE),"")</f>
        <v>45.888702392578125</v>
      </c>
      <c r="D167" s="26" t="e">
        <f>IF(ISBLANK(VLOOKUP($B167,SEMP_p!$B$2:$P$157,15,FALSE)),"",(VLOOKUP($B167,SEMP_p!$B$2:$P$157,15,FALSE)))</f>
        <v>#N/A</v>
      </c>
    </row>
    <row r="168" spans="1:4" x14ac:dyDescent="0.25">
      <c r="A168" s="5" t="s">
        <v>5</v>
      </c>
      <c r="B168" s="5" t="s">
        <v>198</v>
      </c>
      <c r="C168" s="26">
        <f>IFERROR(VLOOKUP($B168,DGE_p!$B$2:$P$157,15,FALSE),"")</f>
        <v>23.272830963134766</v>
      </c>
      <c r="D168" s="26" t="e">
        <f>IF(ISBLANK(VLOOKUP($B168,SEMP_p!$B$2:$P$157,15,FALSE)),"",(VLOOKUP($B168,SEMP_p!$B$2:$P$157,15,FALSE)))</f>
        <v>#N/A</v>
      </c>
    </row>
    <row r="169" spans="1:4" x14ac:dyDescent="0.25">
      <c r="A169" s="5" t="s">
        <v>64</v>
      </c>
      <c r="B169" s="5" t="s">
        <v>257</v>
      </c>
      <c r="C169" s="26">
        <f>IFERROR(VLOOKUP($B169,DGE_p!$B$2:$P$157,15,FALSE),"")</f>
        <v>12.412999153137207</v>
      </c>
      <c r="D169" s="26" t="e">
        <f>IF(ISBLANK(VLOOKUP($B169,SEMP_p!$B$2:$P$157,15,FALSE)),"",(VLOOKUP($B169,SEMP_p!$B$2:$P$157,15,FALSE)))</f>
        <v>#N/A</v>
      </c>
    </row>
    <row r="170" spans="1:4" x14ac:dyDescent="0.25">
      <c r="A170" s="5" t="s">
        <v>181</v>
      </c>
      <c r="B170" s="5" t="s">
        <v>375</v>
      </c>
      <c r="C170" s="26">
        <f>IFERROR(VLOOKUP($B170,DGE_p!$B$2:$P$157,15,FALSE),"")</f>
        <v>8.5956764221191406</v>
      </c>
      <c r="D170" s="26" t="e">
        <f>IF(ISBLANK(VLOOKUP($B170,SEMP_p!$B$2:$P$157,15,FALSE)),"",(VLOOKUP($B170,SEMP_p!$B$2:$P$157,15,FALSE)))</f>
        <v>#N/A</v>
      </c>
    </row>
    <row r="171" spans="1:4" x14ac:dyDescent="0.25">
      <c r="A171" s="5" t="s">
        <v>180</v>
      </c>
      <c r="B171" s="5" t="s">
        <v>374</v>
      </c>
      <c r="C171" s="26">
        <f>IFERROR(VLOOKUP($B171,DGE_p!$B$2:$P$157,15,FALSE),"")</f>
        <v>45.640316009521484</v>
      </c>
      <c r="D171" s="26" t="e">
        <f>IF(ISBLANK(VLOOKUP($B171,SEMP_p!$B$2:$P$157,15,FALSE)),"",(VLOOKUP($B171,SEMP_p!$B$2:$P$157,15,FALSE)))</f>
        <v>#N/A</v>
      </c>
    </row>
    <row r="172" spans="1:4" x14ac:dyDescent="0.25">
      <c r="A172" s="5" t="s">
        <v>186</v>
      </c>
      <c r="B172" s="5" t="s">
        <v>380</v>
      </c>
      <c r="C172" s="26" t="str">
        <f>IFERROR(VLOOKUP($B172,DGE_p!$B$2:$P$157,15,FALSE),"")</f>
        <v/>
      </c>
      <c r="D172" s="26" t="e">
        <f>IF(ISBLANK(VLOOKUP($B172,SEMP_p!$B$2:$P$157,15,FALSE)),"",(VLOOKUP($B172,SEMP_p!$B$2:$P$157,15,FALSE)))</f>
        <v>#N/A</v>
      </c>
    </row>
    <row r="173" spans="1:4" x14ac:dyDescent="0.25">
      <c r="A173" s="5" t="s">
        <v>184</v>
      </c>
      <c r="B173" s="5" t="s">
        <v>378</v>
      </c>
      <c r="C173" s="26">
        <f>IFERROR(VLOOKUP($B173,DGE_p!$B$2:$P$157,15,FALSE),"")</f>
        <v>30.750297546386719</v>
      </c>
      <c r="D173" s="26" t="e">
        <f>IF(ISBLANK(VLOOKUP($B173,SEMP_p!$B$2:$P$157,15,FALSE)),"",(VLOOKUP($B173,SEMP_p!$B$2:$P$157,15,FALSE)))</f>
        <v>#N/A</v>
      </c>
    </row>
    <row r="174" spans="1:4" x14ac:dyDescent="0.25">
      <c r="A174" s="5" t="s">
        <v>185</v>
      </c>
      <c r="B174" s="5" t="s">
        <v>379</v>
      </c>
      <c r="C174" s="26">
        <f>IFERROR(VLOOKUP($B174,DGE_p!$B$2:$P$157,15,FALSE),"")</f>
        <v>15.990388870239258</v>
      </c>
      <c r="D174" s="26" t="e">
        <f>IF(ISBLANK(VLOOKUP($B174,SEMP_p!$B$2:$P$157,15,FALSE)),"",(VLOOKUP($B174,SEMP_p!$B$2:$P$157,15,FALSE)))</f>
        <v>#N/A</v>
      </c>
    </row>
    <row r="175" spans="1:4" x14ac:dyDescent="0.25">
      <c r="A175" s="5" t="s">
        <v>409</v>
      </c>
      <c r="B175" s="5" t="s">
        <v>337</v>
      </c>
      <c r="C175" s="26" t="str">
        <f>IFERROR(VLOOKUP($B175,DGE_p!$B$2:$P$157,15,FALSE),"")</f>
        <v/>
      </c>
      <c r="D175" s="26" t="e">
        <f>IF(ISBLANK(VLOOKUP($B175,SEMP_p!$B$2:$P$157,15,FALSE)),"",(VLOOKUP($B175,SEMP_p!$B$2:$P$157,15,FALSE)))</f>
        <v>#N/A</v>
      </c>
    </row>
    <row r="176" spans="1:4" x14ac:dyDescent="0.25">
      <c r="A176" s="5" t="s">
        <v>189</v>
      </c>
      <c r="B176" s="5" t="s">
        <v>383</v>
      </c>
      <c r="C176" s="26">
        <f>IFERROR(VLOOKUP($B176,DGE_p!$B$2:$P$157,15,FALSE),"")</f>
        <v>28.445297241210938</v>
      </c>
      <c r="D176" s="26" t="e">
        <f>IF(ISBLANK(VLOOKUP($B176,SEMP_p!$B$2:$P$157,15,FALSE)),"",(VLOOKUP($B176,SEMP_p!$B$2:$P$157,15,FALSE)))</f>
        <v>#N/A</v>
      </c>
    </row>
    <row r="177" spans="1:4" x14ac:dyDescent="0.25">
      <c r="A177" s="5" t="s">
        <v>191</v>
      </c>
      <c r="B177" s="5" t="s">
        <v>385</v>
      </c>
      <c r="C177" s="26">
        <f>IFERROR(VLOOKUP($B177,DGE_p!$B$2:$P$157,15,FALSE),"")</f>
        <v>43.752975463867188</v>
      </c>
      <c r="D177" s="26" t="e">
        <f>IF(ISBLANK(VLOOKUP($B177,SEMP_p!$B$2:$P$157,15,FALSE)),"",(VLOOKUP($B177,SEMP_p!$B$2:$P$157,15,FALSE)))</f>
        <v>#N/A</v>
      </c>
    </row>
    <row r="178" spans="1:4" x14ac:dyDescent="0.25">
      <c r="A178" s="5" t="s">
        <v>192</v>
      </c>
      <c r="B178" s="5" t="s">
        <v>386</v>
      </c>
      <c r="C178" s="26">
        <f>IFERROR(VLOOKUP($B178,DGE_p!$B$2:$P$157,15,FALSE),"")</f>
        <v>60.036434173583984</v>
      </c>
      <c r="D178" s="26" t="e">
        <f>IF(ISBLANK(VLOOKUP($B178,SEMP_p!$B$2:$P$157,15,FALSE)),"",(VLOOKUP($B178,SEMP_p!$B$2:$P$157,15,FALSE)))</f>
        <v>#N/A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A357-2973-48CE-9B67-882400EC313B}">
  <dimension ref="A1:AG157"/>
  <sheetViews>
    <sheetView workbookViewId="0">
      <pane xSplit="2" ySplit="1" topLeftCell="L127" activePane="bottomRight" state="frozen"/>
      <selection pane="topRight" activeCell="C1" sqref="C1"/>
      <selection pane="bottomLeft" activeCell="A2" sqref="A2"/>
      <selection pane="bottomRight" activeCell="C141" sqref="C141:AE141"/>
    </sheetView>
  </sheetViews>
  <sheetFormatPr defaultColWidth="9.140625" defaultRowHeight="12.75" x14ac:dyDescent="0.2"/>
  <cols>
    <col min="1" max="1" width="28.5703125" style="3" customWidth="1"/>
    <col min="2" max="16384" width="9.140625" style="3"/>
  </cols>
  <sheetData>
    <row r="1" spans="1:33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G1" s="4" t="s">
        <v>426</v>
      </c>
    </row>
    <row r="2" spans="1:33" x14ac:dyDescent="0.2">
      <c r="A2" s="3" t="s">
        <v>3</v>
      </c>
      <c r="B2" s="3" t="s">
        <v>196</v>
      </c>
      <c r="C2" s="8">
        <v>36.205364227294922</v>
      </c>
      <c r="D2" s="8">
        <v>35.997806549072266</v>
      </c>
      <c r="E2" s="8">
        <v>34.9991455078125</v>
      </c>
      <c r="F2" s="8">
        <v>35.049510955810547</v>
      </c>
      <c r="G2" s="8">
        <v>35.426750183105469</v>
      </c>
      <c r="H2" s="8">
        <v>35.058448791503906</v>
      </c>
      <c r="I2" s="8">
        <v>34.621913909912109</v>
      </c>
      <c r="J2" s="8">
        <v>33.991073608398438</v>
      </c>
      <c r="K2" s="8">
        <v>33.554164886474609</v>
      </c>
      <c r="L2" s="8">
        <v>33.908962249755859</v>
      </c>
      <c r="M2" s="8">
        <v>34.238525390625</v>
      </c>
      <c r="N2" s="8">
        <v>34.112098693847656</v>
      </c>
      <c r="O2" s="8">
        <v>34.013187408447266</v>
      </c>
      <c r="P2" s="8">
        <v>34.009563446044922</v>
      </c>
      <c r="Q2" s="8">
        <v>33.790798187255859</v>
      </c>
      <c r="R2" s="8">
        <v>33.603614807128906</v>
      </c>
      <c r="S2" s="8">
        <v>33.305095672607422</v>
      </c>
      <c r="T2" s="8">
        <v>32.900142669677734</v>
      </c>
      <c r="U2" s="8">
        <v>32.241130828857422</v>
      </c>
      <c r="V2" s="8">
        <v>31.423919677734375</v>
      </c>
      <c r="W2" s="8">
        <v>31.049882888793945</v>
      </c>
      <c r="X2" s="8">
        <v>30.881023406982422</v>
      </c>
      <c r="Y2" s="8">
        <v>30.87190055847168</v>
      </c>
      <c r="Z2" s="8">
        <v>30.445468902587891</v>
      </c>
      <c r="AA2" s="8">
        <v>30.318990707397461</v>
      </c>
      <c r="AB2" s="8">
        <v>30.502510070800781</v>
      </c>
      <c r="AC2" s="8">
        <v>30.699529647827148</v>
      </c>
      <c r="AD2" s="8">
        <v>30.70826530456543</v>
      </c>
      <c r="AE2" s="8">
        <v>30.437105178833008</v>
      </c>
      <c r="AG2" s="8">
        <f>AVERAGE($R2:$AB2)</f>
        <v>31.594880017367277</v>
      </c>
    </row>
    <row r="3" spans="1:33" x14ac:dyDescent="0.2">
      <c r="A3" s="3" t="s">
        <v>52</v>
      </c>
      <c r="B3" s="3" t="s">
        <v>245</v>
      </c>
      <c r="C3" s="8">
        <v>29.9691162109375</v>
      </c>
      <c r="D3" s="8">
        <v>29.916942596435547</v>
      </c>
      <c r="E3" s="8">
        <v>29.884853363037109</v>
      </c>
      <c r="F3" s="8">
        <v>29.829242706298828</v>
      </c>
      <c r="G3" s="8">
        <v>29.822683334350586</v>
      </c>
      <c r="H3" s="8">
        <v>30.067386627197266</v>
      </c>
      <c r="I3" s="8">
        <v>30.23930549621582</v>
      </c>
      <c r="J3" s="8">
        <v>30.240720748901367</v>
      </c>
      <c r="K3" s="8">
        <v>30.340803146362305</v>
      </c>
      <c r="L3" s="8">
        <v>30.356845855712891</v>
      </c>
      <c r="M3" s="8">
        <v>30.579885482788086</v>
      </c>
      <c r="N3" s="8">
        <v>30.722146987915039</v>
      </c>
      <c r="O3" s="8">
        <v>30.743202209472656</v>
      </c>
      <c r="P3" s="8">
        <v>30.419153213500977</v>
      </c>
      <c r="Q3" s="8">
        <v>31.218170166015625</v>
      </c>
      <c r="R3" s="8">
        <v>31.344526290893555</v>
      </c>
      <c r="S3" s="8">
        <v>31.70074462890625</v>
      </c>
      <c r="T3" s="8">
        <v>31.201610565185547</v>
      </c>
      <c r="U3" s="8">
        <v>31.092617034912109</v>
      </c>
      <c r="V3" s="8">
        <v>30.615530014038086</v>
      </c>
      <c r="W3" s="8">
        <v>30.480278015136719</v>
      </c>
      <c r="X3" s="8">
        <v>29.916107177734375</v>
      </c>
      <c r="Y3" s="8">
        <v>29.825582504272461</v>
      </c>
      <c r="Z3" s="8">
        <v>29.697721481323242</v>
      </c>
      <c r="AA3" s="8">
        <v>28.966861724853516</v>
      </c>
      <c r="AB3" s="8">
        <v>28.605794906616211</v>
      </c>
      <c r="AC3" s="8">
        <v>28.347869873046875</v>
      </c>
      <c r="AD3" s="8">
        <v>28.090625762939453</v>
      </c>
      <c r="AE3" s="8">
        <v>27.907875061035156</v>
      </c>
      <c r="AG3" s="8">
        <f t="shared" ref="AG3:AG66" si="0">AVERAGE($R3:$AB3)</f>
        <v>30.313397667624734</v>
      </c>
    </row>
    <row r="4" spans="1:33" x14ac:dyDescent="0.2">
      <c r="A4" s="3" t="s">
        <v>2</v>
      </c>
      <c r="B4" s="3" t="s">
        <v>195</v>
      </c>
      <c r="C4" s="8">
        <v>42.032562255859375</v>
      </c>
      <c r="D4" s="8">
        <v>41.262264251708984</v>
      </c>
      <c r="E4" s="8">
        <v>41.184803009033203</v>
      </c>
      <c r="F4" s="8">
        <v>41.579483032226563</v>
      </c>
      <c r="G4" s="8">
        <v>41.127960205078125</v>
      </c>
      <c r="H4" s="8">
        <v>40.200756072998047</v>
      </c>
      <c r="I4" s="8">
        <v>40.757286071777344</v>
      </c>
      <c r="J4" s="8">
        <v>39.612216949462891</v>
      </c>
      <c r="K4" s="8">
        <v>40.025669097900391</v>
      </c>
      <c r="L4" s="8">
        <v>38.995441436767578</v>
      </c>
      <c r="M4" s="8">
        <v>39.755107879638672</v>
      </c>
      <c r="N4" s="8">
        <v>40.571006774902344</v>
      </c>
      <c r="O4" s="8">
        <v>40.938159942626953</v>
      </c>
      <c r="P4" s="8">
        <v>41.197376251220703</v>
      </c>
      <c r="Q4" s="8">
        <v>41.497119903564453</v>
      </c>
      <c r="R4" s="8">
        <v>41.892601013183594</v>
      </c>
      <c r="S4" s="8">
        <v>42.141040802001953</v>
      </c>
      <c r="T4" s="8">
        <v>42.104331970214844</v>
      </c>
      <c r="U4" s="8">
        <v>41.84185791015625</v>
      </c>
      <c r="V4" s="8">
        <v>41.295341491699219</v>
      </c>
      <c r="W4" s="8">
        <v>41.350643157958984</v>
      </c>
      <c r="X4" s="8">
        <v>41.083103179931641</v>
      </c>
      <c r="Y4" s="8">
        <v>40.687179565429688</v>
      </c>
      <c r="Z4" s="8">
        <v>40.049430847167969</v>
      </c>
      <c r="AA4" s="8">
        <v>39.81634521484375</v>
      </c>
      <c r="AB4" s="8">
        <v>39.391536712646484</v>
      </c>
      <c r="AC4" s="8">
        <v>39.207199096679688</v>
      </c>
      <c r="AD4" s="8">
        <v>39.161380767822266</v>
      </c>
      <c r="AE4" s="8">
        <v>39.174072265625</v>
      </c>
      <c r="AG4" s="8">
        <f t="shared" si="0"/>
        <v>41.059401078657672</v>
      </c>
    </row>
    <row r="5" spans="1:33" x14ac:dyDescent="0.2">
      <c r="A5" s="3" t="s">
        <v>6</v>
      </c>
      <c r="B5" s="3" t="s">
        <v>199</v>
      </c>
      <c r="C5" s="8">
        <v>24.348072052001953</v>
      </c>
      <c r="D5" s="8">
        <v>24.460046768188477</v>
      </c>
      <c r="E5" s="8">
        <v>24.316474914550781</v>
      </c>
      <c r="F5" s="8">
        <v>23.9493408203125</v>
      </c>
      <c r="G5" s="8">
        <v>23.805736541748047</v>
      </c>
      <c r="H5" s="8">
        <v>23.340496063232422</v>
      </c>
      <c r="I5" s="8">
        <v>23.018152236938477</v>
      </c>
      <c r="J5" s="8">
        <v>23.223077774047852</v>
      </c>
      <c r="K5" s="8">
        <v>23.203182220458984</v>
      </c>
      <c r="L5" s="8">
        <v>23.084186553955078</v>
      </c>
      <c r="M5" s="8">
        <v>23.000473022460938</v>
      </c>
      <c r="N5" s="8">
        <v>22.860527038574219</v>
      </c>
      <c r="O5" s="8">
        <v>22.686538696289063</v>
      </c>
      <c r="P5" s="8">
        <v>22.924100875854492</v>
      </c>
      <c r="Q5" s="8">
        <v>23.152036666870117</v>
      </c>
      <c r="R5" s="8">
        <v>23.17503547668457</v>
      </c>
      <c r="S5" s="8">
        <v>23.173585891723633</v>
      </c>
      <c r="T5" s="8">
        <v>23.000640869140625</v>
      </c>
      <c r="U5" s="8">
        <v>22.761007308959961</v>
      </c>
      <c r="V5" s="8">
        <v>22.563850402832031</v>
      </c>
      <c r="W5" s="8">
        <v>22.411331176757813</v>
      </c>
      <c r="X5" s="8">
        <v>22.221504211425781</v>
      </c>
      <c r="Y5" s="8">
        <v>22.056882858276367</v>
      </c>
      <c r="Z5" s="8">
        <v>21.839557647705078</v>
      </c>
      <c r="AA5" s="8">
        <v>21.622148513793945</v>
      </c>
      <c r="AB5" s="8">
        <v>21.495525360107422</v>
      </c>
      <c r="AC5" s="8">
        <v>21.327438354492188</v>
      </c>
      <c r="AD5" s="8">
        <v>21.187179565429688</v>
      </c>
      <c r="AE5" s="8">
        <v>21.145267486572266</v>
      </c>
      <c r="AG5" s="8">
        <f t="shared" si="0"/>
        <v>22.392824519764293</v>
      </c>
    </row>
    <row r="6" spans="1:33" x14ac:dyDescent="0.2">
      <c r="A6" s="3" t="s">
        <v>7</v>
      </c>
      <c r="B6" s="3" t="s">
        <v>200</v>
      </c>
      <c r="C6" s="8">
        <v>43.546524047851563</v>
      </c>
      <c r="D6" s="8">
        <v>42.666599273681641</v>
      </c>
      <c r="E6" s="8">
        <v>42.600898742675781</v>
      </c>
      <c r="F6" s="8">
        <v>43.518177032470703</v>
      </c>
      <c r="G6" s="8">
        <v>45.792003631591797</v>
      </c>
      <c r="H6" s="8">
        <v>45.862804412841797</v>
      </c>
      <c r="I6" s="8">
        <v>46.201385498046875</v>
      </c>
      <c r="J6" s="8">
        <v>46.896110534667969</v>
      </c>
      <c r="K6" s="8">
        <v>46.922569274902344</v>
      </c>
      <c r="L6" s="8">
        <v>46.99322509765625</v>
      </c>
      <c r="M6" s="8">
        <v>46.882259368896484</v>
      </c>
      <c r="N6" s="8">
        <v>46.773983001708984</v>
      </c>
      <c r="O6" s="8">
        <v>45.494720458984375</v>
      </c>
      <c r="P6" s="8">
        <v>45.070461273193359</v>
      </c>
      <c r="Q6" s="8">
        <v>44.28985595703125</v>
      </c>
      <c r="R6" s="8">
        <v>43.571857452392578</v>
      </c>
      <c r="S6" s="8">
        <v>42.315376281738281</v>
      </c>
      <c r="T6" s="8">
        <v>41.100563049316406</v>
      </c>
      <c r="U6" s="8">
        <v>39.944286346435547</v>
      </c>
      <c r="V6" s="8">
        <v>38.871475219726563</v>
      </c>
      <c r="W6" s="8">
        <v>38.238056182861328</v>
      </c>
      <c r="X6" s="8">
        <v>37.6171875</v>
      </c>
      <c r="Y6" s="8">
        <v>37.416019439697266</v>
      </c>
      <c r="Z6" s="8">
        <v>37.098522186279297</v>
      </c>
      <c r="AA6" s="8">
        <v>36.771602630615234</v>
      </c>
      <c r="AB6" s="8">
        <v>36.105789184570313</v>
      </c>
      <c r="AC6" s="8">
        <v>35.55023193359375</v>
      </c>
      <c r="AD6" s="8">
        <v>35.332679748535156</v>
      </c>
      <c r="AE6" s="8"/>
      <c r="AG6" s="8">
        <f t="shared" si="0"/>
        <v>39.004612315784804</v>
      </c>
    </row>
    <row r="7" spans="1:33" x14ac:dyDescent="0.2">
      <c r="A7" s="3" t="s">
        <v>9</v>
      </c>
      <c r="B7" s="3" t="s">
        <v>202</v>
      </c>
      <c r="C7" s="8">
        <v>15.244407653808594</v>
      </c>
      <c r="D7" s="8">
        <v>15.061095237731934</v>
      </c>
      <c r="E7" s="8">
        <v>14.935770988464355</v>
      </c>
      <c r="F7" s="8">
        <v>14.825889587402344</v>
      </c>
      <c r="G7" s="8">
        <v>14.765119552612305</v>
      </c>
      <c r="H7" s="8">
        <v>14.723909378051758</v>
      </c>
      <c r="I7" s="8">
        <v>14.626008033752441</v>
      </c>
      <c r="J7" s="8">
        <v>14.481967926025391</v>
      </c>
      <c r="K7" s="8">
        <v>14.371071815490723</v>
      </c>
      <c r="L7" s="8">
        <v>14.26267147064209</v>
      </c>
      <c r="M7" s="8">
        <v>14.215001106262207</v>
      </c>
      <c r="N7" s="8">
        <v>14.11432933807373</v>
      </c>
      <c r="O7" s="8">
        <v>14.011226654052734</v>
      </c>
      <c r="P7" s="8">
        <v>13.89885139465332</v>
      </c>
      <c r="Q7" s="8">
        <v>13.778002738952637</v>
      </c>
      <c r="R7" s="8">
        <v>13.702363967895508</v>
      </c>
      <c r="S7" s="8">
        <v>13.596590995788574</v>
      </c>
      <c r="T7" s="8">
        <v>13.499954223632813</v>
      </c>
      <c r="U7" s="8">
        <v>13.407648086547852</v>
      </c>
      <c r="V7" s="8">
        <v>13.272464752197266</v>
      </c>
      <c r="W7" s="8">
        <v>13.199357986450195</v>
      </c>
      <c r="X7" s="8">
        <v>13.084046363830566</v>
      </c>
      <c r="Y7" s="8">
        <v>12.95798397064209</v>
      </c>
      <c r="Z7" s="8">
        <v>12.84892749786377</v>
      </c>
      <c r="AA7" s="8">
        <v>12.761232376098633</v>
      </c>
      <c r="AB7" s="8">
        <v>12.694539070129395</v>
      </c>
      <c r="AC7" s="8">
        <v>12.638254165649414</v>
      </c>
      <c r="AD7" s="8">
        <v>12.583067893981934</v>
      </c>
      <c r="AE7" s="8">
        <v>12.527935028076172</v>
      </c>
      <c r="AG7" s="8">
        <f t="shared" si="0"/>
        <v>13.184100844643332</v>
      </c>
    </row>
    <row r="8" spans="1:33" x14ac:dyDescent="0.2">
      <c r="A8" s="3" t="s">
        <v>10</v>
      </c>
      <c r="B8" s="3" t="s">
        <v>203</v>
      </c>
      <c r="C8" s="8">
        <v>10.54494571685791</v>
      </c>
      <c r="D8" s="8">
        <v>10.459683418273926</v>
      </c>
      <c r="E8" s="8">
        <v>10.362458229064941</v>
      </c>
      <c r="F8" s="8">
        <v>10.262081146240234</v>
      </c>
      <c r="G8" s="8">
        <v>10.179858207702637</v>
      </c>
      <c r="H8" s="8">
        <v>10.100735664367676</v>
      </c>
      <c r="I8" s="8">
        <v>10.030376434326172</v>
      </c>
      <c r="J8" s="8">
        <v>9.9541835784912109</v>
      </c>
      <c r="K8" s="8">
        <v>9.8871517181396484</v>
      </c>
      <c r="L8" s="8">
        <v>9.8360147476196289</v>
      </c>
      <c r="M8" s="8">
        <v>9.7789268493652344</v>
      </c>
      <c r="N8" s="8">
        <v>9.71563720703125</v>
      </c>
      <c r="O8" s="8">
        <v>9.6566791534423828</v>
      </c>
      <c r="P8" s="8">
        <v>9.6159572601318359</v>
      </c>
      <c r="Q8" s="8">
        <v>9.5739574432373047</v>
      </c>
      <c r="R8" s="8">
        <v>9.5441884994506836</v>
      </c>
      <c r="S8" s="8">
        <v>9.5165729522705078</v>
      </c>
      <c r="T8" s="8">
        <v>9.5001764297485352</v>
      </c>
      <c r="U8" s="8">
        <v>9.4587898254394531</v>
      </c>
      <c r="V8" s="8">
        <v>9.3980636596679688</v>
      </c>
      <c r="W8" s="8">
        <v>9.3879909515380859</v>
      </c>
      <c r="X8" s="8">
        <v>9.38653564453125</v>
      </c>
      <c r="Y8" s="8">
        <v>9.3700151443481445</v>
      </c>
      <c r="Z8" s="8">
        <v>9.3452844619750977</v>
      </c>
      <c r="AA8" s="8">
        <v>9.3500089645385742</v>
      </c>
      <c r="AB8" s="8">
        <v>9.3177289962768555</v>
      </c>
      <c r="AC8" s="8">
        <v>9.2848310470581055</v>
      </c>
      <c r="AD8" s="8">
        <v>9.2615880966186523</v>
      </c>
      <c r="AE8" s="8">
        <v>9.2427692413330078</v>
      </c>
      <c r="AG8" s="8">
        <f t="shared" si="0"/>
        <v>9.4159414117986504</v>
      </c>
    </row>
    <row r="9" spans="1:33" x14ac:dyDescent="0.2">
      <c r="A9" s="3" t="s">
        <v>11</v>
      </c>
      <c r="B9" s="3" t="s">
        <v>204</v>
      </c>
      <c r="C9" s="8">
        <v>48.412960052490234</v>
      </c>
      <c r="D9" s="8">
        <v>49.851406097412109</v>
      </c>
      <c r="E9" s="8">
        <v>49.520259857177734</v>
      </c>
      <c r="F9" s="8">
        <v>51.859176635742188</v>
      </c>
      <c r="G9" s="8">
        <v>56.227504730224609</v>
      </c>
      <c r="H9" s="8">
        <v>59.337116241455078</v>
      </c>
      <c r="I9" s="8">
        <v>59.609420776367188</v>
      </c>
      <c r="J9" s="8">
        <v>59.743492126464844</v>
      </c>
      <c r="K9" s="8">
        <v>60.283493041992188</v>
      </c>
      <c r="L9" s="8">
        <v>60.649620056152344</v>
      </c>
      <c r="M9" s="8">
        <v>60.770004272460938</v>
      </c>
      <c r="N9" s="8">
        <v>60.518257141113281</v>
      </c>
      <c r="O9" s="8">
        <v>59.388565063476563</v>
      </c>
      <c r="P9" s="8">
        <v>57.314212799072266</v>
      </c>
      <c r="Q9" s="8">
        <v>55.684425354003906</v>
      </c>
      <c r="R9" s="8">
        <v>54.652458190917969</v>
      </c>
      <c r="S9" s="8">
        <v>53.280342102050781</v>
      </c>
      <c r="T9" s="8">
        <v>52.000141143798828</v>
      </c>
      <c r="U9" s="8">
        <v>50.403041839599609</v>
      </c>
      <c r="V9" s="8">
        <v>49.168170928955078</v>
      </c>
      <c r="W9" s="8">
        <v>47.952861785888672</v>
      </c>
      <c r="X9" s="8">
        <v>46.242271423339844</v>
      </c>
      <c r="Y9" s="8">
        <v>44.987003326416016</v>
      </c>
      <c r="Z9" s="8">
        <v>43.483985900878906</v>
      </c>
      <c r="AA9" s="8">
        <v>42.113555908203125</v>
      </c>
      <c r="AB9" s="8">
        <v>40.968711853027344</v>
      </c>
      <c r="AC9" s="8">
        <v>40.378604888916016</v>
      </c>
      <c r="AD9" s="8">
        <v>39.859466552734375</v>
      </c>
      <c r="AE9" s="8">
        <v>39.469985961914063</v>
      </c>
      <c r="AG9" s="8">
        <f t="shared" si="0"/>
        <v>47.750231309370562</v>
      </c>
    </row>
    <row r="10" spans="1:33" x14ac:dyDescent="0.2">
      <c r="A10" s="3" t="s">
        <v>19</v>
      </c>
      <c r="B10" s="3" t="s">
        <v>212</v>
      </c>
      <c r="C10" s="8">
        <v>30.808374404907227</v>
      </c>
      <c r="D10" s="8">
        <v>30.365663528442383</v>
      </c>
      <c r="E10" s="8">
        <v>30.106243133544922</v>
      </c>
      <c r="F10" s="8">
        <v>30.199914932250977</v>
      </c>
      <c r="G10" s="8">
        <v>29.903369903564453</v>
      </c>
      <c r="H10" s="8">
        <v>29.806983947753906</v>
      </c>
      <c r="I10" s="8">
        <v>29.566627502441406</v>
      </c>
      <c r="J10" s="8">
        <v>29.116838455200195</v>
      </c>
      <c r="K10" s="8">
        <v>28.791507720947266</v>
      </c>
      <c r="L10" s="8">
        <v>28.401458740234375</v>
      </c>
      <c r="M10" s="8">
        <v>27.936046600341797</v>
      </c>
      <c r="N10" s="8">
        <v>27.673089981079102</v>
      </c>
      <c r="O10" s="8">
        <v>27.441278457641602</v>
      </c>
      <c r="P10" s="8">
        <v>27.205049514770508</v>
      </c>
      <c r="Q10" s="8">
        <v>27.086574554443359</v>
      </c>
      <c r="R10" s="8">
        <v>26.796514511108398</v>
      </c>
      <c r="S10" s="8">
        <v>26.468355178833008</v>
      </c>
      <c r="T10" s="8">
        <v>26.200542449951172</v>
      </c>
      <c r="U10" s="8">
        <v>25.902288436889648</v>
      </c>
      <c r="V10" s="8">
        <v>25.590896606445313</v>
      </c>
      <c r="W10" s="8">
        <v>25.483692169189453</v>
      </c>
      <c r="X10" s="8">
        <v>25.255352020263672</v>
      </c>
      <c r="Y10" s="8">
        <v>25.124921798706055</v>
      </c>
      <c r="Z10" s="8">
        <v>24.801673889160156</v>
      </c>
      <c r="AA10" s="8">
        <v>24.767082214355469</v>
      </c>
      <c r="AB10" s="8">
        <v>24.771572113037109</v>
      </c>
      <c r="AC10" s="8">
        <v>24.635791778564453</v>
      </c>
      <c r="AD10" s="8">
        <v>24.522750854492188</v>
      </c>
      <c r="AE10" s="8"/>
      <c r="AG10" s="8">
        <f t="shared" si="0"/>
        <v>25.560262853449043</v>
      </c>
    </row>
    <row r="11" spans="1:33" x14ac:dyDescent="0.2">
      <c r="A11" s="3" t="s">
        <v>18</v>
      </c>
      <c r="B11" s="3" t="s">
        <v>211</v>
      </c>
      <c r="C11" s="8">
        <v>17.059486389160156</v>
      </c>
      <c r="D11" s="8">
        <v>16.927078247070313</v>
      </c>
      <c r="E11" s="8">
        <v>16.725898742675781</v>
      </c>
      <c r="F11" s="8">
        <v>16.596649169921875</v>
      </c>
      <c r="G11" s="8">
        <v>16.486297607421875</v>
      </c>
      <c r="H11" s="8">
        <v>16.424905776977539</v>
      </c>
      <c r="I11" s="8">
        <v>16.318382263183594</v>
      </c>
      <c r="J11" s="8">
        <v>16.272090911865234</v>
      </c>
      <c r="K11" s="8">
        <v>16.094108581542969</v>
      </c>
      <c r="L11" s="8">
        <v>16.341745376586914</v>
      </c>
      <c r="M11" s="8">
        <v>16.455020904541016</v>
      </c>
      <c r="N11" s="8">
        <v>16.455331802368164</v>
      </c>
      <c r="O11" s="8">
        <v>16.515748977661133</v>
      </c>
      <c r="P11" s="8">
        <v>16.532934188842773</v>
      </c>
      <c r="Q11" s="8">
        <v>16.762929916381836</v>
      </c>
      <c r="R11" s="8">
        <v>17.100025177001953</v>
      </c>
      <c r="S11" s="8">
        <v>16.963275909423828</v>
      </c>
      <c r="T11" s="8">
        <v>16.741926193237305</v>
      </c>
      <c r="U11" s="8">
        <v>17.071676254272461</v>
      </c>
      <c r="V11" s="8">
        <v>16.792335510253906</v>
      </c>
      <c r="W11" s="8">
        <v>16.653646469116211</v>
      </c>
      <c r="X11" s="8">
        <v>16.473623275756836</v>
      </c>
      <c r="Y11" s="8">
        <v>16.240222930908203</v>
      </c>
      <c r="Z11" s="8">
        <v>15.952136039733887</v>
      </c>
      <c r="AA11" s="8">
        <v>15.629813194274902</v>
      </c>
      <c r="AB11" s="8">
        <v>15.553808212280273</v>
      </c>
      <c r="AC11" s="8">
        <v>15.524117469787598</v>
      </c>
      <c r="AD11" s="8">
        <v>15.28487491607666</v>
      </c>
      <c r="AE11" s="8">
        <v>15.232141494750977</v>
      </c>
      <c r="AG11" s="8">
        <f t="shared" si="0"/>
        <v>16.470226287841797</v>
      </c>
    </row>
    <row r="12" spans="1:33" x14ac:dyDescent="0.2">
      <c r="A12" s="3" t="s">
        <v>16</v>
      </c>
      <c r="B12" s="3" t="s">
        <v>209</v>
      </c>
      <c r="C12" s="8">
        <v>42.952110290527344</v>
      </c>
      <c r="D12" s="8">
        <v>42.664642333984375</v>
      </c>
      <c r="E12" s="8">
        <v>42.450149536132813</v>
      </c>
      <c r="F12" s="8">
        <v>42.107204437255859</v>
      </c>
      <c r="G12" s="8">
        <v>41.800094604492188</v>
      </c>
      <c r="H12" s="8">
        <v>41.484584808349609</v>
      </c>
      <c r="I12" s="8">
        <v>41.130989074707031</v>
      </c>
      <c r="J12" s="8">
        <v>40.773448944091797</v>
      </c>
      <c r="K12" s="8">
        <v>40.172473907470703</v>
      </c>
      <c r="L12" s="8">
        <v>39.560256958007813</v>
      </c>
      <c r="M12" s="8">
        <v>38.955913543701172</v>
      </c>
      <c r="N12" s="8">
        <v>38.389839172363281</v>
      </c>
      <c r="O12" s="8">
        <v>37.765056610107422</v>
      </c>
      <c r="P12" s="8">
        <v>37.098930358886719</v>
      </c>
      <c r="Q12" s="8">
        <v>36.318214416503906</v>
      </c>
      <c r="R12" s="8">
        <v>35.509971618652344</v>
      </c>
      <c r="S12" s="8">
        <v>34.6885986328125</v>
      </c>
      <c r="T12" s="31">
        <v>34.100784301757813</v>
      </c>
      <c r="U12" s="8">
        <v>33.480823516845703</v>
      </c>
      <c r="V12" s="8">
        <v>32.828964233398438</v>
      </c>
      <c r="W12" s="8">
        <v>32.177204132080078</v>
      </c>
      <c r="X12" s="8">
        <v>31.500190734863281</v>
      </c>
      <c r="Y12" s="8">
        <v>30.899021148681641</v>
      </c>
      <c r="Z12" s="8">
        <v>30.204217910766602</v>
      </c>
      <c r="AA12" s="8">
        <v>29.532600402832031</v>
      </c>
      <c r="AB12" s="8">
        <v>28.897315979003906</v>
      </c>
      <c r="AC12" s="8">
        <v>28.256935119628906</v>
      </c>
      <c r="AD12" s="8">
        <v>27.63127326965332</v>
      </c>
      <c r="AE12" s="8">
        <v>26.998659133911133</v>
      </c>
      <c r="AG12" s="8">
        <f t="shared" si="0"/>
        <v>32.165426601063125</v>
      </c>
    </row>
    <row r="13" spans="1:33" x14ac:dyDescent="0.2">
      <c r="A13" s="3" t="s">
        <v>26</v>
      </c>
      <c r="B13" s="3" t="s">
        <v>219</v>
      </c>
      <c r="C13" s="8">
        <v>27.257251739501953</v>
      </c>
      <c r="D13" s="8">
        <v>26.745813369750977</v>
      </c>
      <c r="E13" s="8">
        <v>26.592168807983398</v>
      </c>
      <c r="F13" s="8">
        <v>26.418327331542969</v>
      </c>
      <c r="G13" s="8">
        <v>26.854389190673828</v>
      </c>
      <c r="H13" s="8">
        <v>26.656822204589844</v>
      </c>
      <c r="I13" s="8">
        <v>26.797004699707031</v>
      </c>
      <c r="J13" s="8">
        <v>26.614597320556641</v>
      </c>
      <c r="K13" s="8">
        <v>26.373943328857422</v>
      </c>
      <c r="L13" s="8">
        <v>26.205804824829102</v>
      </c>
      <c r="M13" s="8">
        <v>26.090532302856445</v>
      </c>
      <c r="N13" s="8">
        <v>25.695163726806641</v>
      </c>
      <c r="O13" s="8">
        <v>25.820341110229492</v>
      </c>
      <c r="P13" s="8">
        <v>25.400028228759766</v>
      </c>
      <c r="Q13" s="8">
        <v>25.323406219482422</v>
      </c>
      <c r="R13" s="8">
        <v>25.132286071777344</v>
      </c>
      <c r="S13" s="8">
        <v>24.697494506835938</v>
      </c>
      <c r="T13" s="8">
        <v>24.499954223632813</v>
      </c>
      <c r="U13" s="8">
        <v>24.168460845947266</v>
      </c>
      <c r="V13" s="8">
        <v>23.806005477905273</v>
      </c>
      <c r="W13" s="8">
        <v>23.814163208007813</v>
      </c>
      <c r="X13" s="8">
        <v>23.606796264648438</v>
      </c>
      <c r="Y13" s="8">
        <v>23.605207443237305</v>
      </c>
      <c r="Z13" s="8">
        <v>23.500888824462891</v>
      </c>
      <c r="AA13" s="8">
        <v>23.454324722290039</v>
      </c>
      <c r="AB13" s="8">
        <v>23.537181854248047</v>
      </c>
      <c r="AC13" s="8">
        <v>23.611942291259766</v>
      </c>
      <c r="AD13" s="8">
        <v>23.663585662841797</v>
      </c>
      <c r="AE13" s="8">
        <v>23.721750259399414</v>
      </c>
      <c r="AG13" s="8">
        <f t="shared" si="0"/>
        <v>23.983887585726652</v>
      </c>
    </row>
    <row r="14" spans="1:33" x14ac:dyDescent="0.2">
      <c r="A14" s="3" t="s">
        <v>21</v>
      </c>
      <c r="B14" s="3" t="s">
        <v>214</v>
      </c>
      <c r="C14" s="8">
        <v>44.363880157470703</v>
      </c>
      <c r="D14" s="8">
        <v>43.8668212890625</v>
      </c>
      <c r="E14" s="8">
        <v>43.854976654052734</v>
      </c>
      <c r="F14" s="8">
        <v>44.071994781494141</v>
      </c>
      <c r="G14" s="8">
        <v>43.010295867919922</v>
      </c>
      <c r="H14" s="8">
        <v>42.561866760253906</v>
      </c>
      <c r="I14" s="8">
        <v>42.911060333251953</v>
      </c>
      <c r="J14" s="8">
        <v>43.546661376953125</v>
      </c>
      <c r="K14" s="8">
        <v>43.767566680908203</v>
      </c>
      <c r="L14" s="8">
        <v>43.947906494140625</v>
      </c>
      <c r="M14" s="8">
        <v>44.281650543212891</v>
      </c>
      <c r="N14" s="8">
        <v>44.306720733642578</v>
      </c>
      <c r="O14" s="8">
        <v>44.415420532226563</v>
      </c>
      <c r="P14" s="8">
        <v>44.384475708007813</v>
      </c>
      <c r="Q14" s="8">
        <v>44.320529937744141</v>
      </c>
      <c r="R14" s="8">
        <v>44.270370483398438</v>
      </c>
      <c r="S14" s="8">
        <v>43.857151031494141</v>
      </c>
      <c r="T14" s="8">
        <v>43.300365447998047</v>
      </c>
      <c r="U14" s="8">
        <v>42.713470458984375</v>
      </c>
      <c r="V14" s="8">
        <v>41.820137023925781</v>
      </c>
      <c r="W14" s="8">
        <v>40.916435241699219</v>
      </c>
      <c r="X14" s="8">
        <v>39.954174041748047</v>
      </c>
      <c r="Y14" s="8">
        <v>39.573814392089844</v>
      </c>
      <c r="Z14" s="8">
        <v>39.153160095214844</v>
      </c>
      <c r="AA14" s="8">
        <v>38.73553466796875</v>
      </c>
      <c r="AB14" s="8">
        <v>38.361255645751953</v>
      </c>
      <c r="AC14" s="8">
        <v>38.011653900146484</v>
      </c>
      <c r="AD14" s="8">
        <v>37.749626159667969</v>
      </c>
      <c r="AE14" s="8">
        <v>37.454849243164063</v>
      </c>
      <c r="AG14" s="8">
        <f t="shared" si="0"/>
        <v>41.150533502752133</v>
      </c>
    </row>
    <row r="15" spans="1:33" x14ac:dyDescent="0.2">
      <c r="A15" s="3" t="s">
        <v>13</v>
      </c>
      <c r="B15" s="3" t="s">
        <v>206</v>
      </c>
      <c r="C15" s="8">
        <v>22.94554328918457</v>
      </c>
      <c r="D15" s="8">
        <v>22.792947769165039</v>
      </c>
      <c r="E15" s="8">
        <v>22.647985458374023</v>
      </c>
      <c r="F15" s="8">
        <v>22.495502471923828</v>
      </c>
      <c r="G15" s="8">
        <v>22.371479034423828</v>
      </c>
      <c r="H15" s="8">
        <v>22.324092864990234</v>
      </c>
      <c r="I15" s="8">
        <v>22.211816787719727</v>
      </c>
      <c r="J15" s="8">
        <v>22.081998825073242</v>
      </c>
      <c r="K15" s="8">
        <v>22.005472183227539</v>
      </c>
      <c r="L15" s="8">
        <v>21.922796249389648</v>
      </c>
      <c r="M15" s="8">
        <v>21.847339630126953</v>
      </c>
      <c r="N15" s="8">
        <v>21.742549896240234</v>
      </c>
      <c r="O15" s="8">
        <v>21.611915588378906</v>
      </c>
      <c r="P15" s="8">
        <v>21.535511016845703</v>
      </c>
      <c r="Q15" s="8">
        <v>21.542747497558594</v>
      </c>
      <c r="R15" s="8">
        <v>21.48817253112793</v>
      </c>
      <c r="S15" s="8">
        <v>21.378532409667969</v>
      </c>
      <c r="T15" s="8">
        <v>21.301054000854492</v>
      </c>
      <c r="U15" s="8">
        <v>21.184192657470703</v>
      </c>
      <c r="V15" s="8">
        <v>21.050579071044922</v>
      </c>
      <c r="W15" s="8">
        <v>20.990440368652344</v>
      </c>
      <c r="X15" s="8">
        <v>20.906097412109375</v>
      </c>
      <c r="Y15" s="8">
        <v>20.821094512939453</v>
      </c>
      <c r="Z15" s="8">
        <v>20.731124877929688</v>
      </c>
      <c r="AA15" s="8">
        <v>20.66441535949707</v>
      </c>
      <c r="AB15" s="8">
        <v>20.617481231689453</v>
      </c>
      <c r="AC15" s="8">
        <v>20.576616287231445</v>
      </c>
      <c r="AD15" s="8">
        <v>20.516010284423828</v>
      </c>
      <c r="AE15" s="8">
        <v>20.43168830871582</v>
      </c>
      <c r="AG15" s="8">
        <f t="shared" si="0"/>
        <v>21.012107675725762</v>
      </c>
    </row>
    <row r="16" spans="1:33" x14ac:dyDescent="0.2">
      <c r="A16" s="3" t="s">
        <v>22</v>
      </c>
      <c r="B16" s="3" t="s">
        <v>215</v>
      </c>
      <c r="C16" s="8">
        <v>46.856544494628906</v>
      </c>
      <c r="D16" s="8">
        <v>45.879032135009766</v>
      </c>
      <c r="E16" s="8">
        <v>43.849052429199219</v>
      </c>
      <c r="F16" s="8">
        <v>43.427700042724609</v>
      </c>
      <c r="G16" s="8">
        <v>42.965351104736328</v>
      </c>
      <c r="H16" s="8">
        <v>42.727489471435547</v>
      </c>
      <c r="I16" s="8">
        <v>42.430625915527344</v>
      </c>
      <c r="J16" s="8">
        <v>42.564220428466797</v>
      </c>
      <c r="K16" s="8">
        <v>42.634490966796875</v>
      </c>
      <c r="L16" s="8">
        <v>42.715614318847656</v>
      </c>
      <c r="M16" s="8">
        <v>42.286430358886719</v>
      </c>
      <c r="N16" s="8">
        <v>41.946079254150391</v>
      </c>
      <c r="O16" s="8">
        <v>41.470836639404297</v>
      </c>
      <c r="P16" s="8">
        <v>41.619388580322266</v>
      </c>
      <c r="Q16" s="8">
        <v>41.770378112792969</v>
      </c>
      <c r="R16" s="8">
        <v>41.642127990722656</v>
      </c>
      <c r="S16" s="8">
        <v>41.848312377929688</v>
      </c>
      <c r="T16" s="8">
        <v>42.000205993652344</v>
      </c>
      <c r="U16" s="8">
        <v>41.5631103515625</v>
      </c>
      <c r="V16" s="8">
        <v>41.4805908203125</v>
      </c>
      <c r="W16" s="8">
        <v>41.664882659912109</v>
      </c>
      <c r="X16" s="8">
        <v>41.910175323486328</v>
      </c>
      <c r="Y16" s="8">
        <v>41.824581146240234</v>
      </c>
      <c r="Z16" s="8">
        <v>41.798202514648438</v>
      </c>
      <c r="AA16" s="8">
        <v>41.460418701171875</v>
      </c>
      <c r="AB16" s="8">
        <v>41.016380310058594</v>
      </c>
      <c r="AC16" s="8">
        <v>40.745407104492188</v>
      </c>
      <c r="AD16" s="8">
        <v>39.975841522216797</v>
      </c>
      <c r="AE16" s="8"/>
      <c r="AG16" s="8">
        <f t="shared" si="0"/>
        <v>41.65536256269975</v>
      </c>
    </row>
    <row r="17" spans="1:33" x14ac:dyDescent="0.2">
      <c r="A17" s="3" t="s">
        <v>14</v>
      </c>
      <c r="B17" s="3" t="s">
        <v>207</v>
      </c>
      <c r="C17" s="8">
        <v>48.712860107421875</v>
      </c>
      <c r="D17" s="8">
        <v>49.178192138671875</v>
      </c>
      <c r="E17" s="8">
        <v>49.487449645996094</v>
      </c>
      <c r="F17" s="8">
        <v>49.769851684570313</v>
      </c>
      <c r="G17" s="8">
        <v>49.948307037353516</v>
      </c>
      <c r="H17" s="8">
        <v>49.880214691162109</v>
      </c>
      <c r="I17" s="8">
        <v>50.052326202392578</v>
      </c>
      <c r="J17" s="8">
        <v>50.030414581298828</v>
      </c>
      <c r="K17" s="8">
        <v>49.963829040527344</v>
      </c>
      <c r="L17" s="8">
        <v>49.934211730957031</v>
      </c>
      <c r="M17" s="8">
        <v>49.934093475341797</v>
      </c>
      <c r="N17" s="8">
        <v>49.736232757568359</v>
      </c>
      <c r="O17" s="8">
        <v>49.686534881591797</v>
      </c>
      <c r="P17" s="8">
        <v>49.444446563720703</v>
      </c>
      <c r="Q17" s="8">
        <v>49.360538482666016</v>
      </c>
      <c r="R17" s="8">
        <v>49.285549163818359</v>
      </c>
      <c r="S17" s="8">
        <v>49.247333526611328</v>
      </c>
      <c r="T17" s="8">
        <v>49.100082397460938</v>
      </c>
      <c r="U17" s="8">
        <v>48.776782989501953</v>
      </c>
      <c r="V17" s="8">
        <v>48.445537567138672</v>
      </c>
      <c r="W17" s="8">
        <v>48.209648132324219</v>
      </c>
      <c r="X17" s="8">
        <v>47.778682708740234</v>
      </c>
      <c r="Y17" s="8">
        <v>47.507171630859375</v>
      </c>
      <c r="Z17" s="8">
        <v>46.85882568359375</v>
      </c>
      <c r="AA17" s="8">
        <v>46.483707427978516</v>
      </c>
      <c r="AB17" s="8">
        <v>45.999614715576172</v>
      </c>
      <c r="AC17" s="8">
        <v>45.690986633300781</v>
      </c>
      <c r="AD17" s="8">
        <v>45.3475341796875</v>
      </c>
      <c r="AE17" s="8"/>
      <c r="AG17" s="8">
        <f t="shared" si="0"/>
        <v>47.97208508578214</v>
      </c>
    </row>
    <row r="18" spans="1:33" x14ac:dyDescent="0.2">
      <c r="A18" s="3" t="s">
        <v>28</v>
      </c>
      <c r="B18" s="3" t="s">
        <v>221</v>
      </c>
      <c r="C18" s="8">
        <v>37.508007049560547</v>
      </c>
      <c r="D18" s="8">
        <v>37.385643005371094</v>
      </c>
      <c r="E18" s="8">
        <v>36.575935363769531</v>
      </c>
      <c r="F18" s="8">
        <v>35.412673950195313</v>
      </c>
      <c r="G18" s="8">
        <v>34.657684326171875</v>
      </c>
      <c r="H18" s="8">
        <v>33.511394500732422</v>
      </c>
      <c r="I18" s="8">
        <v>32.792400360107422</v>
      </c>
      <c r="J18" s="8">
        <v>32.34295654296875</v>
      </c>
      <c r="K18" s="8">
        <v>32.157455444335938</v>
      </c>
      <c r="L18" s="8">
        <v>31.967967987060547</v>
      </c>
      <c r="M18" s="8">
        <v>30.851596832275391</v>
      </c>
      <c r="N18" s="8">
        <v>30.119169235229492</v>
      </c>
      <c r="O18" s="8">
        <v>29.593488693237305</v>
      </c>
      <c r="P18" s="8">
        <v>29.007726669311523</v>
      </c>
      <c r="Q18" s="8">
        <v>28.537145614624023</v>
      </c>
      <c r="R18" s="8">
        <v>27.559280395507813</v>
      </c>
      <c r="S18" s="8">
        <v>27.618518829345703</v>
      </c>
      <c r="T18" s="8">
        <v>27.702709197998047</v>
      </c>
      <c r="U18" s="8">
        <v>27.69407844543457</v>
      </c>
      <c r="V18" s="8">
        <v>27.202606201171875</v>
      </c>
      <c r="W18" s="8">
        <v>26.533531188964844</v>
      </c>
      <c r="X18" s="8">
        <v>25.754594802856445</v>
      </c>
      <c r="Y18" s="8">
        <v>24.946691513061523</v>
      </c>
      <c r="Z18" s="8">
        <v>24.937002182006836</v>
      </c>
      <c r="AA18" s="8">
        <v>24.3900146484375</v>
      </c>
      <c r="AB18" s="8">
        <v>24.108497619628906</v>
      </c>
      <c r="AC18" s="8">
        <v>23.692277908325195</v>
      </c>
      <c r="AD18" s="8">
        <v>23.212224960327148</v>
      </c>
      <c r="AE18" s="8"/>
      <c r="AG18" s="8">
        <f t="shared" si="0"/>
        <v>26.222502274946734</v>
      </c>
    </row>
    <row r="19" spans="1:33" x14ac:dyDescent="0.2">
      <c r="A19" s="3" t="s">
        <v>24</v>
      </c>
      <c r="B19" s="3" t="s">
        <v>217</v>
      </c>
      <c r="C19" s="8">
        <v>67.663749694824219</v>
      </c>
      <c r="D19" s="8">
        <v>67.477653503417969</v>
      </c>
      <c r="E19" s="8">
        <v>66.916595458984375</v>
      </c>
      <c r="F19" s="8">
        <v>66.387786865234375</v>
      </c>
      <c r="G19" s="8">
        <v>66.450714111328125</v>
      </c>
      <c r="H19" s="8">
        <v>65.968307495117188</v>
      </c>
      <c r="I19" s="8">
        <v>65.565666198730469</v>
      </c>
      <c r="J19" s="8">
        <v>65.021095275878906</v>
      </c>
      <c r="K19" s="8">
        <v>63.95953369140625</v>
      </c>
      <c r="L19" s="8">
        <v>63.419502258300781</v>
      </c>
      <c r="M19" s="8">
        <v>63.283432006835938</v>
      </c>
      <c r="N19" s="8">
        <v>63.417453765869141</v>
      </c>
      <c r="O19" s="8">
        <v>63.389301300048828</v>
      </c>
      <c r="P19" s="8">
        <v>63.396125793457031</v>
      </c>
      <c r="Q19" s="8">
        <v>63.948707580566406</v>
      </c>
      <c r="R19" s="8">
        <v>63.777130126953125</v>
      </c>
      <c r="S19" s="8">
        <v>63.720954895019531</v>
      </c>
      <c r="T19" s="8">
        <v>63.500099182128906</v>
      </c>
      <c r="U19" s="8">
        <v>63.217769622802734</v>
      </c>
      <c r="V19" s="8">
        <v>62.571929931640625</v>
      </c>
      <c r="W19" s="8">
        <v>62.297706604003906</v>
      </c>
      <c r="X19" s="8">
        <v>61.4058837890625</v>
      </c>
      <c r="Y19" s="8">
        <v>60.071086883544922</v>
      </c>
      <c r="Z19" s="8">
        <v>59.077625274658203</v>
      </c>
      <c r="AA19" s="8">
        <v>58.322654724121094</v>
      </c>
      <c r="AB19" s="8">
        <v>56.493515014648438</v>
      </c>
      <c r="AC19" s="8">
        <v>55.71087646484375</v>
      </c>
      <c r="AD19" s="8">
        <v>54.768753051757813</v>
      </c>
      <c r="AE19" s="8">
        <v>53.825725555419922</v>
      </c>
      <c r="AG19" s="8">
        <f t="shared" si="0"/>
        <v>61.314214186234906</v>
      </c>
    </row>
    <row r="20" spans="1:33" x14ac:dyDescent="0.2">
      <c r="A20" s="3" t="s">
        <v>20</v>
      </c>
      <c r="B20" s="3" t="s">
        <v>213</v>
      </c>
      <c r="C20" s="8">
        <v>47.675121307373047</v>
      </c>
      <c r="D20" s="8">
        <v>48.774036407470703</v>
      </c>
      <c r="E20" s="8">
        <v>47.455085754394531</v>
      </c>
      <c r="F20" s="8">
        <v>50.01507568359375</v>
      </c>
      <c r="G20" s="8">
        <v>50.161880493164063</v>
      </c>
      <c r="H20" s="8">
        <v>50.050102233886719</v>
      </c>
      <c r="I20" s="8">
        <v>47.806060791015625</v>
      </c>
      <c r="J20" s="8">
        <v>44.9810791015625</v>
      </c>
      <c r="K20" s="8">
        <v>42.513050079345703</v>
      </c>
      <c r="L20" s="8">
        <v>40.544361114501953</v>
      </c>
      <c r="M20" s="8">
        <v>39.086780548095703</v>
      </c>
      <c r="N20" s="8">
        <v>38.080944061279297</v>
      </c>
      <c r="O20" s="8">
        <v>37.031097412109375</v>
      </c>
      <c r="P20" s="8">
        <v>35.892284393310547</v>
      </c>
      <c r="Q20" s="8">
        <v>34.954280853271484</v>
      </c>
      <c r="R20" s="8">
        <v>34.037944793701172</v>
      </c>
      <c r="S20" s="8">
        <v>33.301700592041016</v>
      </c>
      <c r="T20" s="8">
        <v>32.800628662109375</v>
      </c>
      <c r="U20" s="8">
        <v>32.161544799804688</v>
      </c>
      <c r="V20" s="8">
        <v>31.379127502441406</v>
      </c>
      <c r="W20" s="8">
        <v>30.894014358520508</v>
      </c>
      <c r="X20" s="8">
        <v>30.303594589233398</v>
      </c>
      <c r="Y20" s="8">
        <v>29.950279235839844</v>
      </c>
      <c r="Z20" s="8">
        <v>29.755821228027344</v>
      </c>
      <c r="AA20" s="8">
        <v>29.309909820556641</v>
      </c>
      <c r="AB20" s="8">
        <v>29.08831787109375</v>
      </c>
      <c r="AC20" s="8">
        <v>28.67527961730957</v>
      </c>
      <c r="AD20" s="8">
        <v>28.477617263793945</v>
      </c>
      <c r="AE20" s="8">
        <v>28.149969100952148</v>
      </c>
      <c r="AG20" s="8">
        <f t="shared" si="0"/>
        <v>31.180262132124469</v>
      </c>
    </row>
    <row r="21" spans="1:33" x14ac:dyDescent="0.2">
      <c r="A21" s="3" t="s">
        <v>29</v>
      </c>
      <c r="B21" s="3" t="s">
        <v>222</v>
      </c>
      <c r="C21" s="8">
        <v>40.517189025878906</v>
      </c>
      <c r="D21" s="8">
        <v>40.006645202636719</v>
      </c>
      <c r="E21" s="8">
        <v>39.112777709960938</v>
      </c>
      <c r="F21" s="8">
        <v>38.386875152587891</v>
      </c>
      <c r="G21" s="8">
        <v>37.661823272705078</v>
      </c>
      <c r="H21" s="8">
        <v>37.338226318359375</v>
      </c>
      <c r="I21" s="8">
        <v>36.224029541015625</v>
      </c>
      <c r="J21" s="8">
        <v>36.538963317871094</v>
      </c>
      <c r="K21" s="8">
        <v>35.532329559326172</v>
      </c>
      <c r="L21" s="8">
        <v>35.408695220947266</v>
      </c>
      <c r="M21" s="8">
        <v>34.630714416503906</v>
      </c>
      <c r="N21" s="8">
        <v>33.686943054199219</v>
      </c>
      <c r="O21" s="8">
        <v>33.711654663085938</v>
      </c>
      <c r="P21" s="8">
        <v>32.566307067871094</v>
      </c>
      <c r="Q21" s="8">
        <v>32.608757019042969</v>
      </c>
      <c r="R21" s="8">
        <v>32.494319915771484</v>
      </c>
      <c r="S21" s="8">
        <v>31.893238067626953</v>
      </c>
      <c r="T21" s="8">
        <v>31.901401519775391</v>
      </c>
      <c r="U21" s="8">
        <v>31.376865386962891</v>
      </c>
      <c r="V21" s="8">
        <v>30.776809692382813</v>
      </c>
      <c r="W21" s="8">
        <v>29.910165786743164</v>
      </c>
      <c r="X21" s="8">
        <v>29.790370941162109</v>
      </c>
      <c r="Y21" s="8">
        <v>29.26475715637207</v>
      </c>
      <c r="Z21" s="8">
        <v>28.774374008178711</v>
      </c>
      <c r="AA21" s="8">
        <v>28.193695068359375</v>
      </c>
      <c r="AB21" s="8">
        <v>27.675235748291016</v>
      </c>
      <c r="AC21" s="8">
        <v>27.194240570068359</v>
      </c>
      <c r="AD21" s="8">
        <v>26.827049255371094</v>
      </c>
      <c r="AE21" s="8"/>
      <c r="AG21" s="8">
        <f t="shared" si="0"/>
        <v>30.18647575378418</v>
      </c>
    </row>
    <row r="22" spans="1:33" x14ac:dyDescent="0.2">
      <c r="A22" s="3" t="s">
        <v>25</v>
      </c>
      <c r="B22" s="3" t="s">
        <v>218</v>
      </c>
      <c r="C22" s="8">
        <v>38.837249755859375</v>
      </c>
      <c r="D22" s="8">
        <v>38.496963500976563</v>
      </c>
      <c r="E22" s="8">
        <v>38.099742889404297</v>
      </c>
      <c r="F22" s="8">
        <v>37.727962493896484</v>
      </c>
      <c r="G22" s="8">
        <v>37.249355316162109</v>
      </c>
      <c r="H22" s="8">
        <v>36.654918670654297</v>
      </c>
      <c r="I22" s="8">
        <v>35.693656921386719</v>
      </c>
      <c r="J22" s="8">
        <v>35.781990051269531</v>
      </c>
      <c r="K22" s="8">
        <v>35.582889556884766</v>
      </c>
      <c r="L22" s="8">
        <v>35.859889984130859</v>
      </c>
      <c r="M22" s="8">
        <v>36.015575408935547</v>
      </c>
      <c r="N22" s="8">
        <v>35.906791687011719</v>
      </c>
      <c r="O22" s="8">
        <v>36.033073425292969</v>
      </c>
      <c r="P22" s="8">
        <v>36.023487091064453</v>
      </c>
      <c r="Q22" s="8">
        <v>36.226127624511719</v>
      </c>
      <c r="R22" s="8">
        <v>36.279827117919922</v>
      </c>
      <c r="S22" s="8">
        <v>36.209247589111328</v>
      </c>
      <c r="T22" s="8">
        <v>36.004291534423828</v>
      </c>
      <c r="U22" s="8">
        <v>35.742767333984375</v>
      </c>
      <c r="V22" s="8">
        <v>35.421604156494141</v>
      </c>
      <c r="W22" s="8">
        <v>35.142780303955078</v>
      </c>
      <c r="X22" s="8">
        <v>34.814895629882813</v>
      </c>
      <c r="Y22" s="8">
        <v>34.474094390869141</v>
      </c>
      <c r="Z22" s="8">
        <v>34.143325805664063</v>
      </c>
      <c r="AA22" s="8">
        <v>33.952003479003906</v>
      </c>
      <c r="AB22" s="8">
        <v>33.738918304443359</v>
      </c>
      <c r="AC22" s="8">
        <v>33.4696044921875</v>
      </c>
      <c r="AD22" s="8">
        <v>33.369140625</v>
      </c>
      <c r="AE22" s="8">
        <v>33.369674682617188</v>
      </c>
      <c r="AG22" s="8">
        <f t="shared" si="0"/>
        <v>35.083977785977453</v>
      </c>
    </row>
    <row r="23" spans="1:33" x14ac:dyDescent="0.2">
      <c r="A23" s="3" t="s">
        <v>27</v>
      </c>
      <c r="B23" s="3" t="s">
        <v>220</v>
      </c>
      <c r="C23" s="8">
        <v>33.114753723144531</v>
      </c>
      <c r="D23" s="8">
        <v>32.762237548828125</v>
      </c>
      <c r="E23" s="8">
        <v>32.957328796386719</v>
      </c>
      <c r="F23" s="8">
        <v>32.350433349609375</v>
      </c>
      <c r="G23" s="8">
        <v>31.958139419555664</v>
      </c>
      <c r="H23" s="8">
        <v>31.514389038085938</v>
      </c>
      <c r="I23" s="8">
        <v>30.991291046142578</v>
      </c>
      <c r="J23" s="8">
        <v>30.440797805786133</v>
      </c>
      <c r="K23" s="8">
        <v>30.195852279663086</v>
      </c>
      <c r="L23" s="8">
        <v>30.501089096069336</v>
      </c>
      <c r="M23" s="8">
        <v>30.899599075317383</v>
      </c>
      <c r="N23" s="8">
        <v>30.723739624023438</v>
      </c>
      <c r="O23" s="8">
        <v>30.816082000732422</v>
      </c>
      <c r="P23" s="8">
        <v>31.042436599731445</v>
      </c>
      <c r="Q23" s="8">
        <v>31.177186965942383</v>
      </c>
      <c r="R23" s="8">
        <v>31.448474884033203</v>
      </c>
      <c r="S23" s="8">
        <v>31.476539611816406</v>
      </c>
      <c r="T23" s="8">
        <v>31.200929641723633</v>
      </c>
      <c r="U23" s="8">
        <v>31.124874114990234</v>
      </c>
      <c r="V23" s="8">
        <v>30.651691436767578</v>
      </c>
      <c r="W23" s="8">
        <v>30.593255996704102</v>
      </c>
      <c r="X23" s="8">
        <v>30.604808807373047</v>
      </c>
      <c r="Y23" s="8">
        <v>30.045356750488281</v>
      </c>
      <c r="Z23" s="8">
        <v>29.353084564208984</v>
      </c>
      <c r="AA23" s="8">
        <v>28.98811149597168</v>
      </c>
      <c r="AB23" s="8">
        <v>28.560213088989258</v>
      </c>
      <c r="AC23" s="8">
        <v>28.3663330078125</v>
      </c>
      <c r="AD23" s="8">
        <v>28.126996994018555</v>
      </c>
      <c r="AE23" s="8"/>
      <c r="AG23" s="8">
        <f t="shared" si="0"/>
        <v>30.367940035733309</v>
      </c>
    </row>
    <row r="24" spans="1:33" x14ac:dyDescent="0.2">
      <c r="A24" s="3" t="s">
        <v>17</v>
      </c>
      <c r="B24" s="3" t="s">
        <v>210</v>
      </c>
      <c r="C24" s="8">
        <v>39.182384490966797</v>
      </c>
      <c r="D24" s="8">
        <v>38.958534240722656</v>
      </c>
      <c r="E24" s="8">
        <v>39.026668548583984</v>
      </c>
      <c r="F24" s="8">
        <v>38.813381195068359</v>
      </c>
      <c r="G24" s="8">
        <v>39.372112274169922</v>
      </c>
      <c r="H24" s="8">
        <v>39.594070434570313</v>
      </c>
      <c r="I24" s="8">
        <v>40.595600128173828</v>
      </c>
      <c r="J24" s="8">
        <v>39.988471984863281</v>
      </c>
      <c r="K24" s="8">
        <v>39.236564636230469</v>
      </c>
      <c r="L24" s="8">
        <v>38.384086608886719</v>
      </c>
      <c r="M24" s="8">
        <v>37.539318084716797</v>
      </c>
      <c r="N24" s="8">
        <v>36.715091705322266</v>
      </c>
      <c r="O24" s="8">
        <v>36.061206817626953</v>
      </c>
      <c r="P24" s="8">
        <v>35.415969848632813</v>
      </c>
      <c r="Q24" s="8">
        <v>34.923099517822266</v>
      </c>
      <c r="R24" s="8">
        <v>34.307048797607422</v>
      </c>
      <c r="S24" s="8">
        <v>33.478435516357422</v>
      </c>
      <c r="T24" s="8">
        <v>32.700511932373047</v>
      </c>
      <c r="U24" s="8">
        <v>31.587261199951172</v>
      </c>
      <c r="V24" s="8">
        <v>30.842430114746094</v>
      </c>
      <c r="W24" s="8">
        <v>30.174354553222656</v>
      </c>
      <c r="X24" s="8">
        <v>29.825582504272461</v>
      </c>
      <c r="Y24" s="8">
        <v>29.43653678894043</v>
      </c>
      <c r="Z24" s="8">
        <v>29.059410095214844</v>
      </c>
      <c r="AA24" s="8">
        <v>28.863357543945313</v>
      </c>
      <c r="AB24" s="8">
        <v>28.64219856262207</v>
      </c>
      <c r="AC24" s="8">
        <v>28.509586334228516</v>
      </c>
      <c r="AD24" s="8">
        <v>28.290519714355469</v>
      </c>
      <c r="AE24" s="8">
        <v>27.848329544067383</v>
      </c>
      <c r="AG24" s="8">
        <f t="shared" si="0"/>
        <v>30.810647964477539</v>
      </c>
    </row>
    <row r="25" spans="1:33" x14ac:dyDescent="0.2">
      <c r="A25" s="3" t="s">
        <v>15</v>
      </c>
      <c r="B25" s="3" t="s">
        <v>208</v>
      </c>
      <c r="C25" s="8">
        <v>49.224998474121094</v>
      </c>
      <c r="D25" s="8">
        <v>48.576690673828125</v>
      </c>
      <c r="E25" s="8">
        <v>47.963905334472656</v>
      </c>
      <c r="F25" s="8">
        <v>47.539985656738281</v>
      </c>
      <c r="G25" s="8">
        <v>46.543361663818359</v>
      </c>
      <c r="H25" s="8">
        <v>46.147785186767578</v>
      </c>
      <c r="I25" s="8">
        <v>45.713546752929688</v>
      </c>
      <c r="J25" s="8">
        <v>45.123302459716797</v>
      </c>
      <c r="K25" s="8">
        <v>44.561222076416016</v>
      </c>
      <c r="L25" s="8">
        <v>44.34698486328125</v>
      </c>
      <c r="M25" s="8">
        <v>43.777759552001953</v>
      </c>
      <c r="N25" s="8">
        <v>43.242164611816406</v>
      </c>
      <c r="O25" s="8">
        <v>42.759796142578125</v>
      </c>
      <c r="P25" s="8">
        <v>42.236492156982422</v>
      </c>
      <c r="Q25" s="8">
        <v>41.618301391601563</v>
      </c>
      <c r="R25" s="8">
        <v>40.918411254882813</v>
      </c>
      <c r="S25" s="8">
        <v>40.374088287353516</v>
      </c>
      <c r="T25" s="8">
        <v>39.600021362304688</v>
      </c>
      <c r="U25" s="8">
        <v>38.964076995849609</v>
      </c>
      <c r="V25" s="8">
        <v>38.176845550537109</v>
      </c>
      <c r="W25" s="8">
        <v>37.266391754150391</v>
      </c>
      <c r="X25" s="8">
        <v>36.167015075683594</v>
      </c>
      <c r="Y25" s="8">
        <v>35.034637451171875</v>
      </c>
      <c r="Z25" s="8">
        <v>33.955554962158203</v>
      </c>
      <c r="AA25" s="8">
        <v>33.212013244628906</v>
      </c>
      <c r="AB25" s="8">
        <v>32.638618469238281</v>
      </c>
      <c r="AC25" s="8">
        <v>32.003524780273438</v>
      </c>
      <c r="AD25" s="8">
        <v>31.639020919799805</v>
      </c>
      <c r="AE25" s="8">
        <v>31.202632904052734</v>
      </c>
      <c r="AG25" s="8">
        <f t="shared" si="0"/>
        <v>36.937061309814453</v>
      </c>
    </row>
    <row r="26" spans="1:33" x14ac:dyDescent="0.2">
      <c r="A26" s="3" t="s">
        <v>12</v>
      </c>
      <c r="B26" s="3" t="s">
        <v>205</v>
      </c>
      <c r="C26" s="8">
        <v>39.916046142578125</v>
      </c>
      <c r="D26" s="8">
        <v>40.003864288330078</v>
      </c>
      <c r="E26" s="8">
        <v>39.987773895263672</v>
      </c>
      <c r="F26" s="8">
        <v>39.910984039306641</v>
      </c>
      <c r="G26" s="8">
        <v>40.240879058837891</v>
      </c>
      <c r="H26" s="8">
        <v>40.354835510253906</v>
      </c>
      <c r="I26" s="8">
        <v>40.389015197753906</v>
      </c>
      <c r="J26" s="8">
        <v>40.5010986328125</v>
      </c>
      <c r="K26" s="8">
        <v>40.544879913330078</v>
      </c>
      <c r="L26" s="8">
        <v>40.180702209472656</v>
      </c>
      <c r="M26" s="8">
        <v>39.909675598144531</v>
      </c>
      <c r="N26" s="8">
        <v>39.887794494628906</v>
      </c>
      <c r="O26" s="8">
        <v>40.118583679199219</v>
      </c>
      <c r="P26" s="8">
        <v>39.970367431640625</v>
      </c>
      <c r="Q26" s="8">
        <v>39.590538024902344</v>
      </c>
      <c r="R26" s="8">
        <v>39.405448913574219</v>
      </c>
      <c r="S26" s="8">
        <v>39.571907043457031</v>
      </c>
      <c r="T26" s="8">
        <v>39.600975036621094</v>
      </c>
      <c r="U26" s="8">
        <v>39.391258239746094</v>
      </c>
      <c r="V26" s="8">
        <v>39.209632873535156</v>
      </c>
      <c r="W26" s="8">
        <v>38.724407196044922</v>
      </c>
      <c r="X26" s="8">
        <v>38.423320770263672</v>
      </c>
      <c r="Y26" s="8">
        <v>37.873348236083984</v>
      </c>
      <c r="Z26" s="8">
        <v>37.301570892333984</v>
      </c>
      <c r="AA26" s="8">
        <v>36.960056304931641</v>
      </c>
      <c r="AB26" s="8">
        <v>36.829334259033203</v>
      </c>
      <c r="AC26" s="8">
        <v>36.618175506591797</v>
      </c>
      <c r="AD26" s="8">
        <v>36.633827209472656</v>
      </c>
      <c r="AE26" s="8"/>
      <c r="AG26" s="8">
        <f t="shared" si="0"/>
        <v>38.48102361505682</v>
      </c>
    </row>
    <row r="27" spans="1:33" x14ac:dyDescent="0.2">
      <c r="A27" s="3" t="s">
        <v>41</v>
      </c>
      <c r="B27" s="3" t="s">
        <v>234</v>
      </c>
      <c r="C27" s="8">
        <v>39.474937438964844</v>
      </c>
      <c r="D27" s="8">
        <v>39.278533935546875</v>
      </c>
      <c r="E27" s="8">
        <v>39.001266479492188</v>
      </c>
      <c r="F27" s="8">
        <v>38.723320007324219</v>
      </c>
      <c r="G27" s="8">
        <v>38.445365905761719</v>
      </c>
      <c r="H27" s="8">
        <v>37.984119415283203</v>
      </c>
      <c r="I27" s="8">
        <v>37.867820739746094</v>
      </c>
      <c r="J27" s="8">
        <v>37.39605712890625</v>
      </c>
      <c r="K27" s="8">
        <v>37.265045166015625</v>
      </c>
      <c r="L27" s="8">
        <v>36.839832305908203</v>
      </c>
      <c r="M27" s="8">
        <v>36.871109008789063</v>
      </c>
      <c r="N27" s="8">
        <v>36.470943450927734</v>
      </c>
      <c r="O27" s="8">
        <v>36.01885986328125</v>
      </c>
      <c r="P27" s="8">
        <v>35.55419921875</v>
      </c>
      <c r="Q27" s="8">
        <v>35.045185089111328</v>
      </c>
      <c r="R27" s="8">
        <v>34.555908203125</v>
      </c>
      <c r="S27" s="8">
        <v>34.166881561279297</v>
      </c>
      <c r="T27" s="8">
        <v>33.400978088378906</v>
      </c>
      <c r="U27" s="8">
        <v>32.753856658935547</v>
      </c>
      <c r="V27" s="8">
        <v>32.209159851074219</v>
      </c>
      <c r="W27" s="8">
        <v>31.605899810791016</v>
      </c>
      <c r="X27" s="8">
        <v>31.037763595581055</v>
      </c>
      <c r="Y27" s="8">
        <v>30.813724517822266</v>
      </c>
      <c r="Z27" s="8">
        <v>30.581777572631836</v>
      </c>
      <c r="AA27" s="8">
        <v>30.26679801940918</v>
      </c>
      <c r="AB27" s="8">
        <v>30.136936187744141</v>
      </c>
      <c r="AC27" s="8">
        <v>30.035600662231445</v>
      </c>
      <c r="AD27" s="8">
        <v>29.907257080078125</v>
      </c>
      <c r="AE27" s="8"/>
      <c r="AG27" s="8">
        <f t="shared" si="0"/>
        <v>31.957244006070223</v>
      </c>
    </row>
    <row r="28" spans="1:33" x14ac:dyDescent="0.2">
      <c r="A28" s="3" t="s">
        <v>93</v>
      </c>
      <c r="B28" s="3" t="s">
        <v>286</v>
      </c>
      <c r="C28" s="8">
        <v>54.448173522949219</v>
      </c>
      <c r="D28" s="8">
        <v>54.436195373535156</v>
      </c>
      <c r="E28" s="8">
        <v>54.348396301269531</v>
      </c>
      <c r="F28" s="8">
        <v>54.207115173339844</v>
      </c>
      <c r="G28" s="8">
        <v>53.766677856445313</v>
      </c>
      <c r="H28" s="8">
        <v>53.636123657226563</v>
      </c>
      <c r="I28" s="8">
        <v>53.247417449951172</v>
      </c>
      <c r="J28" s="8">
        <v>52.975227355957031</v>
      </c>
      <c r="K28" s="8">
        <v>52.910499572753906</v>
      </c>
      <c r="L28" s="8">
        <v>52.282054901123047</v>
      </c>
      <c r="M28" s="8">
        <v>51.429931640625</v>
      </c>
      <c r="N28" s="8">
        <v>50.988502502441406</v>
      </c>
      <c r="O28" s="8">
        <v>49.687980651855469</v>
      </c>
      <c r="P28" s="8">
        <v>48.86773681640625</v>
      </c>
      <c r="Q28" s="8">
        <v>48.260566711425781</v>
      </c>
      <c r="R28" s="8">
        <v>47.559455871582031</v>
      </c>
      <c r="S28" s="8">
        <v>46.886913299560547</v>
      </c>
      <c r="T28" s="8">
        <v>46.003181457519531</v>
      </c>
      <c r="U28" s="8">
        <v>45.106769561767578</v>
      </c>
      <c r="V28" s="8">
        <v>44.010959625244141</v>
      </c>
      <c r="W28" s="8">
        <v>43.337150573730469</v>
      </c>
      <c r="X28" s="8">
        <v>42.698806762695313</v>
      </c>
      <c r="Y28" s="8">
        <v>41.851089477539063</v>
      </c>
      <c r="Z28" s="8">
        <v>40.943939208984375</v>
      </c>
      <c r="AA28" s="8">
        <v>40.023021697998047</v>
      </c>
      <c r="AB28" s="8">
        <v>39.159370422363281</v>
      </c>
      <c r="AC28" s="8">
        <v>38.219322204589844</v>
      </c>
      <c r="AD28" s="8">
        <v>37.39794921875</v>
      </c>
      <c r="AE28" s="8">
        <v>36.601799011230469</v>
      </c>
      <c r="AG28" s="8">
        <f t="shared" si="0"/>
        <v>43.416423450816758</v>
      </c>
    </row>
    <row r="29" spans="1:33" x14ac:dyDescent="0.2">
      <c r="A29" s="3" t="s">
        <v>36</v>
      </c>
      <c r="B29" s="3" t="s">
        <v>229</v>
      </c>
      <c r="C29" s="8">
        <v>32.145084381103516</v>
      </c>
      <c r="D29" s="8">
        <v>32.248161315917969</v>
      </c>
      <c r="E29" s="8">
        <v>32.515552520751953</v>
      </c>
      <c r="F29" s="8">
        <v>32.569290161132813</v>
      </c>
      <c r="G29" s="8">
        <v>32.596416473388672</v>
      </c>
      <c r="H29" s="8">
        <v>32.680553436279297</v>
      </c>
      <c r="I29" s="8">
        <v>32.6973876953125</v>
      </c>
      <c r="J29" s="8">
        <v>32.643623352050781</v>
      </c>
      <c r="K29" s="8">
        <v>32.551570892333984</v>
      </c>
      <c r="L29" s="8">
        <v>32.441440582275391</v>
      </c>
      <c r="M29" s="8">
        <v>32.325916290283203</v>
      </c>
      <c r="N29" s="8">
        <v>32.056571960449219</v>
      </c>
      <c r="O29" s="8">
        <v>31.873142242431641</v>
      </c>
      <c r="P29" s="8">
        <v>31.774553298950195</v>
      </c>
      <c r="Q29" s="8">
        <v>31.6195068359375</v>
      </c>
      <c r="R29" s="8">
        <v>31.495326995849609</v>
      </c>
      <c r="S29" s="8">
        <v>31.459802627563477</v>
      </c>
      <c r="T29" s="8">
        <v>31.400707244873047</v>
      </c>
      <c r="U29" s="8">
        <v>31.173709869384766</v>
      </c>
      <c r="V29" s="8">
        <v>30.983760833740234</v>
      </c>
      <c r="W29" s="8">
        <v>30.796380996704102</v>
      </c>
      <c r="X29" s="8">
        <v>30.572164535522461</v>
      </c>
      <c r="Y29" s="8">
        <v>30.340585708618164</v>
      </c>
      <c r="Z29" s="8">
        <v>30.080854415893555</v>
      </c>
      <c r="AA29" s="8">
        <v>29.800024032592773</v>
      </c>
      <c r="AB29" s="8">
        <v>29.519197463989258</v>
      </c>
      <c r="AC29" s="8">
        <v>29.232379913330078</v>
      </c>
      <c r="AD29" s="8">
        <v>28.97161865234375</v>
      </c>
      <c r="AE29" s="8">
        <v>28.692249298095703</v>
      </c>
      <c r="AG29" s="8">
        <f t="shared" si="0"/>
        <v>30.692955884066496</v>
      </c>
    </row>
    <row r="30" spans="1:33" x14ac:dyDescent="0.2">
      <c r="A30" s="3" t="s">
        <v>31</v>
      </c>
      <c r="B30" s="3" t="s">
        <v>224</v>
      </c>
      <c r="C30" s="8">
        <v>16.751848220825195</v>
      </c>
      <c r="D30" s="8">
        <v>16.527992248535156</v>
      </c>
      <c r="E30" s="8">
        <v>16.382053375244141</v>
      </c>
      <c r="F30" s="8">
        <v>16.304912567138672</v>
      </c>
      <c r="G30" s="8">
        <v>16.265739440917969</v>
      </c>
      <c r="H30" s="8">
        <v>16.231861114501953</v>
      </c>
      <c r="I30" s="8">
        <v>16.174135208129883</v>
      </c>
      <c r="J30" s="8">
        <v>16.093175888061523</v>
      </c>
      <c r="K30" s="8">
        <v>16.019084930419922</v>
      </c>
      <c r="L30" s="8">
        <v>15.976177215576172</v>
      </c>
      <c r="M30" s="8">
        <v>15.931148529052734</v>
      </c>
      <c r="N30" s="8">
        <v>15.814812660217285</v>
      </c>
      <c r="O30" s="8">
        <v>15.764874458312988</v>
      </c>
      <c r="P30" s="8">
        <v>15.699036598205566</v>
      </c>
      <c r="Q30" s="8">
        <v>15.617550849914551</v>
      </c>
      <c r="R30" s="8">
        <v>15.522236824035645</v>
      </c>
      <c r="S30" s="8">
        <v>15.399580001831055</v>
      </c>
      <c r="T30" s="8">
        <v>15.300813674926758</v>
      </c>
      <c r="U30" s="8">
        <v>15.190258979797363</v>
      </c>
      <c r="V30" s="8">
        <v>15.001069068908691</v>
      </c>
      <c r="W30" s="8">
        <v>14.949337005615234</v>
      </c>
      <c r="X30" s="8">
        <v>14.891534805297852</v>
      </c>
      <c r="Y30" s="8">
        <v>14.777856826782227</v>
      </c>
      <c r="Z30" s="8">
        <v>14.687093734741211</v>
      </c>
      <c r="AA30" s="8">
        <v>14.582058906555176</v>
      </c>
      <c r="AB30" s="8">
        <v>14.487110137939453</v>
      </c>
      <c r="AC30" s="8">
        <v>14.409974098205566</v>
      </c>
      <c r="AD30" s="8">
        <v>14.362709045410156</v>
      </c>
      <c r="AE30" s="8">
        <v>14.296510696411133</v>
      </c>
      <c r="AG30" s="8">
        <f t="shared" si="0"/>
        <v>14.980813633311879</v>
      </c>
    </row>
    <row r="31" spans="1:33" x14ac:dyDescent="0.2">
      <c r="A31" s="3" t="s">
        <v>30</v>
      </c>
      <c r="B31" s="3" t="s">
        <v>223</v>
      </c>
      <c r="C31" s="8">
        <v>42.216220855712891</v>
      </c>
      <c r="D31" s="8">
        <v>42.080654144287109</v>
      </c>
      <c r="E31" s="8">
        <v>42.07904052734375</v>
      </c>
      <c r="F31" s="8">
        <v>42.495708465576172</v>
      </c>
      <c r="G31" s="8">
        <v>42.547801971435547</v>
      </c>
      <c r="H31" s="8">
        <v>42.662559509277344</v>
      </c>
      <c r="I31" s="8">
        <v>43.388359069824219</v>
      </c>
      <c r="J31" s="8">
        <v>43.724613189697266</v>
      </c>
      <c r="K31" s="8">
        <v>43.988147735595703</v>
      </c>
      <c r="L31" s="8">
        <v>43.416801452636719</v>
      </c>
      <c r="M31" s="8">
        <v>43.525867462158203</v>
      </c>
      <c r="N31" s="8">
        <v>43.804965972900391</v>
      </c>
      <c r="O31" s="8">
        <v>43.907955169677734</v>
      </c>
      <c r="P31" s="8">
        <v>43.454311370849609</v>
      </c>
      <c r="Q31" s="8">
        <v>44.774391174316406</v>
      </c>
      <c r="R31" s="8">
        <v>44.792438507080078</v>
      </c>
      <c r="S31" s="8">
        <v>44.936988830566406</v>
      </c>
      <c r="T31" s="8">
        <v>45.100322723388672</v>
      </c>
      <c r="U31" s="8">
        <v>45.163162231445313</v>
      </c>
      <c r="V31" s="8">
        <v>45.215953826904297</v>
      </c>
      <c r="W31" s="8">
        <v>45.127983093261719</v>
      </c>
      <c r="X31" s="8">
        <v>45.110439300537109</v>
      </c>
      <c r="Y31" s="8">
        <v>44.9622802734375</v>
      </c>
      <c r="Z31" s="8">
        <v>44.912250518798828</v>
      </c>
      <c r="AA31" s="8">
        <v>45.227401733398438</v>
      </c>
      <c r="AB31" s="8">
        <v>45.205123901367188</v>
      </c>
      <c r="AC31" s="8">
        <v>45.371334075927734</v>
      </c>
      <c r="AD31" s="8">
        <v>45.641643524169922</v>
      </c>
      <c r="AE31" s="8"/>
      <c r="AG31" s="8">
        <f t="shared" si="0"/>
        <v>45.068576812744141</v>
      </c>
    </row>
    <row r="32" spans="1:33" x14ac:dyDescent="0.2">
      <c r="A32" s="3" t="s">
        <v>167</v>
      </c>
      <c r="B32" s="3" t="s">
        <v>361</v>
      </c>
      <c r="C32" s="8">
        <v>49.842853546142578</v>
      </c>
      <c r="D32" s="8">
        <v>49.937191009521484</v>
      </c>
      <c r="E32" s="8">
        <v>49.985702514648438</v>
      </c>
      <c r="F32" s="8">
        <v>50.074100494384766</v>
      </c>
      <c r="G32" s="8">
        <v>50.238735198974609</v>
      </c>
      <c r="H32" s="8">
        <v>50.445674896240234</v>
      </c>
      <c r="I32" s="8">
        <v>50.577796936035156</v>
      </c>
      <c r="J32" s="8">
        <v>50.771881103515625</v>
      </c>
      <c r="K32" s="8">
        <v>50.870822906494141</v>
      </c>
      <c r="L32" s="8">
        <v>50.884227752685547</v>
      </c>
      <c r="M32" s="8">
        <v>50.920982360839844</v>
      </c>
      <c r="N32" s="8">
        <v>49.692928314208984</v>
      </c>
      <c r="O32" s="8">
        <v>47.125526428222656</v>
      </c>
      <c r="P32" s="8">
        <v>45.810749053955078</v>
      </c>
      <c r="Q32" s="8">
        <v>45.107383728027344</v>
      </c>
      <c r="R32" s="8">
        <v>44.362907409667969</v>
      </c>
      <c r="S32" s="8">
        <v>43.125503540039063</v>
      </c>
      <c r="T32" s="8">
        <v>42.202968597412109</v>
      </c>
      <c r="U32" s="8">
        <v>41.400421142578125</v>
      </c>
      <c r="V32" s="8">
        <v>40.627365112304688</v>
      </c>
      <c r="W32" s="8">
        <v>39.951618194580078</v>
      </c>
      <c r="X32" s="8">
        <v>38.706218719482422</v>
      </c>
      <c r="Y32" s="8">
        <v>37.814472198486328</v>
      </c>
      <c r="Z32" s="8">
        <v>37.062152862548828</v>
      </c>
      <c r="AA32" s="8">
        <v>36.663414001464844</v>
      </c>
      <c r="AB32" s="8">
        <v>36.441493988037109</v>
      </c>
      <c r="AC32" s="8">
        <v>36.477668762207031</v>
      </c>
      <c r="AD32" s="8">
        <v>36.392059326171875</v>
      </c>
      <c r="AE32" s="8"/>
      <c r="AG32" s="8">
        <f t="shared" si="0"/>
        <v>39.850775978781961</v>
      </c>
    </row>
    <row r="33" spans="1:33" x14ac:dyDescent="0.2">
      <c r="A33" s="3" t="s">
        <v>33</v>
      </c>
      <c r="B33" s="3" t="s">
        <v>226</v>
      </c>
      <c r="C33" s="8">
        <v>23.080686569213867</v>
      </c>
      <c r="D33" s="8">
        <v>22.842073440551758</v>
      </c>
      <c r="E33" s="8">
        <v>22.666566848754883</v>
      </c>
      <c r="F33" s="8">
        <v>22.438512802124023</v>
      </c>
      <c r="G33" s="8">
        <v>22.037822723388672</v>
      </c>
      <c r="H33" s="8">
        <v>21.595405578613281</v>
      </c>
      <c r="I33" s="8">
        <v>21.136936187744141</v>
      </c>
      <c r="J33" s="8">
        <v>20.776630401611328</v>
      </c>
      <c r="K33" s="8">
        <v>20.463834762573242</v>
      </c>
      <c r="L33" s="8">
        <v>20.159603118896484</v>
      </c>
      <c r="M33" s="8">
        <v>19.975742340087891</v>
      </c>
      <c r="N33" s="8">
        <v>19.755571365356445</v>
      </c>
      <c r="O33" s="8">
        <v>19.58173942565918</v>
      </c>
      <c r="P33" s="8">
        <v>19.479156494140625</v>
      </c>
      <c r="Q33" s="8">
        <v>19.305034637451172</v>
      </c>
      <c r="R33" s="8">
        <v>19.095335006713867</v>
      </c>
      <c r="S33" s="8">
        <v>18.800243377685547</v>
      </c>
      <c r="T33" s="8">
        <v>18.50140380859375</v>
      </c>
      <c r="U33" s="8">
        <v>18.141231536865234</v>
      </c>
      <c r="V33" s="8">
        <v>17.769241333007813</v>
      </c>
      <c r="W33" s="8">
        <v>17.656095504760742</v>
      </c>
      <c r="X33" s="8">
        <v>17.426246643066406</v>
      </c>
      <c r="Y33" s="8">
        <v>17.151617050170898</v>
      </c>
      <c r="Z33" s="8">
        <v>17.011035919189453</v>
      </c>
      <c r="AA33" s="8">
        <v>16.797914505004883</v>
      </c>
      <c r="AB33" s="8">
        <v>16.582534790039063</v>
      </c>
      <c r="AC33" s="8">
        <v>16.383676528930664</v>
      </c>
      <c r="AD33" s="8">
        <v>16.2196044921875</v>
      </c>
      <c r="AE33" s="8">
        <v>16.053699493408203</v>
      </c>
      <c r="AG33" s="8">
        <f t="shared" si="0"/>
        <v>17.721172679554332</v>
      </c>
    </row>
    <row r="34" spans="1:33" x14ac:dyDescent="0.2">
      <c r="A34" s="3" t="s">
        <v>34</v>
      </c>
      <c r="B34" s="3" t="s">
        <v>227</v>
      </c>
      <c r="C34" s="8">
        <v>18.88764762878418</v>
      </c>
      <c r="D34" s="8">
        <v>18.606061935424805</v>
      </c>
      <c r="E34" s="8">
        <v>18.165237426757813</v>
      </c>
      <c r="F34" s="8">
        <v>17.6141357421875</v>
      </c>
      <c r="G34" s="8">
        <v>17.145936965942383</v>
      </c>
      <c r="H34" s="8">
        <v>16.753711700439453</v>
      </c>
      <c r="I34" s="8">
        <v>16.320756912231445</v>
      </c>
      <c r="J34" s="8">
        <v>15.84958553314209</v>
      </c>
      <c r="K34" s="8">
        <v>15.354787826538086</v>
      </c>
      <c r="L34" s="8">
        <v>14.897082328796387</v>
      </c>
      <c r="M34" s="8">
        <v>14.507928848266602</v>
      </c>
      <c r="N34" s="8">
        <v>14.144793510437012</v>
      </c>
      <c r="O34" s="8">
        <v>13.774612426757813</v>
      </c>
      <c r="P34" s="8">
        <v>13.379284858703613</v>
      </c>
      <c r="Q34" s="8">
        <v>12.981782913208008</v>
      </c>
      <c r="R34" s="8">
        <v>12.565180778503418</v>
      </c>
      <c r="S34" s="8">
        <v>12.219554901123047</v>
      </c>
      <c r="T34" s="8">
        <v>11.90015983581543</v>
      </c>
      <c r="U34" s="8">
        <v>11.574294090270996</v>
      </c>
      <c r="V34" s="8">
        <v>11.182310104370117</v>
      </c>
      <c r="W34" s="8">
        <v>10.803558349609375</v>
      </c>
      <c r="X34" s="8">
        <v>10.445053100585938</v>
      </c>
      <c r="Y34" s="8">
        <v>10.102781295776367</v>
      </c>
      <c r="Z34" s="8">
        <v>9.7755537033081055</v>
      </c>
      <c r="AA34" s="8">
        <v>9.4836664199829102</v>
      </c>
      <c r="AB34" s="8">
        <v>9.212611198425293</v>
      </c>
      <c r="AC34" s="8">
        <v>8.9545230865478516</v>
      </c>
      <c r="AD34" s="8">
        <v>8.7205610275268555</v>
      </c>
      <c r="AE34" s="8">
        <v>8.5519781112670898</v>
      </c>
      <c r="AG34" s="8">
        <f t="shared" si="0"/>
        <v>10.842247616161</v>
      </c>
    </row>
    <row r="35" spans="1:33" x14ac:dyDescent="0.2">
      <c r="A35" s="3" t="s">
        <v>39</v>
      </c>
      <c r="B35" s="3" t="s">
        <v>232</v>
      </c>
      <c r="C35" s="8">
        <v>35.384994506835938</v>
      </c>
      <c r="D35" s="8">
        <v>35.598030090332031</v>
      </c>
      <c r="E35" s="8">
        <v>35.386283874511719</v>
      </c>
      <c r="F35" s="8">
        <v>35.288101196289063</v>
      </c>
      <c r="G35" s="8">
        <v>35.003986358642578</v>
      </c>
      <c r="H35" s="8">
        <v>34.867431640625</v>
      </c>
      <c r="I35" s="8">
        <v>34.450431823730469</v>
      </c>
      <c r="J35" s="8">
        <v>34.181262969970703</v>
      </c>
      <c r="K35" s="8">
        <v>33.901313781738281</v>
      </c>
      <c r="L35" s="8">
        <v>33.760009765625</v>
      </c>
      <c r="M35" s="8">
        <v>34.213039398193359</v>
      </c>
      <c r="N35" s="8">
        <v>34.264190673828125</v>
      </c>
      <c r="O35" s="8">
        <v>34.2730712890625</v>
      </c>
      <c r="P35" s="8">
        <v>34.4404296875</v>
      </c>
      <c r="Q35" s="8">
        <v>34.271919250488281</v>
      </c>
      <c r="R35" s="8">
        <v>34.198036193847656</v>
      </c>
      <c r="S35" s="8">
        <v>33.817916870117188</v>
      </c>
      <c r="T35" s="8">
        <v>33.501110076904297</v>
      </c>
      <c r="U35" s="8">
        <v>33.213050842285156</v>
      </c>
      <c r="V35" s="8">
        <v>33.116523742675781</v>
      </c>
      <c r="W35" s="8">
        <v>32.982463836669922</v>
      </c>
      <c r="X35" s="8">
        <v>32.781333923339844</v>
      </c>
      <c r="Y35" s="8">
        <v>32.475612640380859</v>
      </c>
      <c r="Z35" s="8">
        <v>32.019992828369141</v>
      </c>
      <c r="AA35" s="8">
        <v>31.600042343139648</v>
      </c>
      <c r="AB35" s="8">
        <v>31.215885162353516</v>
      </c>
      <c r="AC35" s="8">
        <v>30.82209587097168</v>
      </c>
      <c r="AD35" s="8">
        <v>30.457725524902344</v>
      </c>
      <c r="AE35" s="8">
        <v>30.160215377807617</v>
      </c>
      <c r="AG35" s="8">
        <f t="shared" si="0"/>
        <v>32.811088041825727</v>
      </c>
    </row>
    <row r="36" spans="1:33" x14ac:dyDescent="0.2">
      <c r="A36" s="3" t="s">
        <v>40</v>
      </c>
      <c r="B36" s="3" t="s">
        <v>233</v>
      </c>
      <c r="C36" s="8">
        <v>35.7703857421875</v>
      </c>
      <c r="D36" s="8">
        <v>35.861579895019531</v>
      </c>
      <c r="E36" s="8">
        <v>36.266944885253906</v>
      </c>
      <c r="F36" s="8">
        <v>36.442516326904297</v>
      </c>
      <c r="G36" s="8">
        <v>36.575950622558594</v>
      </c>
      <c r="H36" s="8">
        <v>36.762081146240234</v>
      </c>
      <c r="I36" s="8">
        <v>37.040508270263672</v>
      </c>
      <c r="J36" s="8">
        <v>37.218559265136719</v>
      </c>
      <c r="K36" s="8">
        <v>37.269367218017578</v>
      </c>
      <c r="L36" s="8">
        <v>37.495552062988281</v>
      </c>
      <c r="M36" s="8">
        <v>37.663204193115234</v>
      </c>
      <c r="N36" s="8">
        <v>37.811595916748047</v>
      </c>
      <c r="O36" s="8">
        <v>37.929096221923828</v>
      </c>
      <c r="P36" s="8">
        <v>38.248123168945313</v>
      </c>
      <c r="Q36" s="8">
        <v>38.489368438720703</v>
      </c>
      <c r="R36" s="8">
        <v>38.883255004882813</v>
      </c>
      <c r="S36" s="8">
        <v>39.173934936523438</v>
      </c>
      <c r="T36" s="8">
        <v>39.401050567626953</v>
      </c>
      <c r="U36" s="8">
        <v>39.743812561035156</v>
      </c>
      <c r="V36" s="8">
        <v>39.982425689697266</v>
      </c>
      <c r="W36" s="8">
        <v>40.475154876708984</v>
      </c>
      <c r="X36" s="8">
        <v>40.709621429443359</v>
      </c>
      <c r="Y36" s="8">
        <v>40.756023406982422</v>
      </c>
      <c r="Z36" s="8">
        <v>40.977512359619141</v>
      </c>
      <c r="AA36" s="8">
        <v>41.029926300048828</v>
      </c>
      <c r="AB36" s="8">
        <v>41.223800659179688</v>
      </c>
      <c r="AC36" s="8">
        <v>41.367061614990234</v>
      </c>
      <c r="AD36" s="8">
        <v>41.421501159667969</v>
      </c>
      <c r="AE36" s="8"/>
      <c r="AG36" s="8">
        <f t="shared" si="0"/>
        <v>40.214228890158914</v>
      </c>
    </row>
    <row r="37" spans="1:33" x14ac:dyDescent="0.2">
      <c r="A37" s="3" t="s">
        <v>37</v>
      </c>
      <c r="B37" s="3" t="s">
        <v>230</v>
      </c>
      <c r="C37" s="8">
        <v>38.501083374023438</v>
      </c>
      <c r="D37" s="8">
        <v>39.097675323486328</v>
      </c>
      <c r="E37" s="8">
        <v>38.567890167236328</v>
      </c>
      <c r="F37" s="8">
        <v>39.725852966308594</v>
      </c>
      <c r="G37" s="8">
        <v>43.108329772949219</v>
      </c>
      <c r="H37" s="8">
        <v>43.339515686035156</v>
      </c>
      <c r="I37" s="8">
        <v>43.824714660644531</v>
      </c>
      <c r="J37" s="8">
        <v>44.02972412109375</v>
      </c>
      <c r="K37" s="8">
        <v>44.9775390625</v>
      </c>
      <c r="L37" s="8">
        <v>45.382869720458984</v>
      </c>
      <c r="M37" s="8">
        <v>45.662899017333984</v>
      </c>
      <c r="N37" s="8">
        <v>46.181049346923828</v>
      </c>
      <c r="O37" s="8">
        <v>46.082008361816406</v>
      </c>
      <c r="P37" s="8">
        <v>46.392601013183594</v>
      </c>
      <c r="Q37" s="8">
        <v>46.346851348876953</v>
      </c>
      <c r="R37" s="8">
        <v>46.339149475097656</v>
      </c>
      <c r="S37" s="8">
        <v>46.492618560791016</v>
      </c>
      <c r="T37" s="8">
        <v>46.701015472412109</v>
      </c>
      <c r="U37" s="8">
        <v>46.69830322265625</v>
      </c>
      <c r="V37" s="8">
        <v>46.74688720703125</v>
      </c>
      <c r="W37" s="8">
        <v>46.193843841552734</v>
      </c>
      <c r="X37" s="8">
        <v>45.453895568847656</v>
      </c>
      <c r="Y37" s="8">
        <v>44.587623596191406</v>
      </c>
      <c r="Z37" s="8">
        <v>44.063835144042969</v>
      </c>
      <c r="AA37" s="8">
        <v>43.535377502441406</v>
      </c>
      <c r="AB37" s="8">
        <v>43.256412506103516</v>
      </c>
      <c r="AC37" s="8">
        <v>43.131561279296875</v>
      </c>
      <c r="AD37" s="8">
        <v>43.015312194824219</v>
      </c>
      <c r="AE37" s="8">
        <v>42.388538360595703</v>
      </c>
      <c r="AG37" s="8">
        <f t="shared" si="0"/>
        <v>45.46081473610618</v>
      </c>
    </row>
    <row r="38" spans="1:33" x14ac:dyDescent="0.2">
      <c r="A38" s="3" t="s">
        <v>38</v>
      </c>
      <c r="B38" s="3" t="s">
        <v>231</v>
      </c>
      <c r="C38" s="8">
        <v>42.402061462402344</v>
      </c>
      <c r="D38" s="8">
        <v>41.673366546630859</v>
      </c>
      <c r="E38" s="8">
        <v>41.577335357666016</v>
      </c>
      <c r="F38" s="8">
        <v>41.700229644775391</v>
      </c>
      <c r="G38" s="8">
        <v>43.003913879394531</v>
      </c>
      <c r="H38" s="8">
        <v>44.285266876220703</v>
      </c>
      <c r="I38" s="8">
        <v>44.872859954833984</v>
      </c>
      <c r="J38" s="8">
        <v>44.079574584960938</v>
      </c>
      <c r="K38" s="8">
        <v>44.471435546875</v>
      </c>
      <c r="L38" s="8">
        <v>45.225414276123047</v>
      </c>
      <c r="M38" s="8">
        <v>46.035633087158203</v>
      </c>
      <c r="N38" s="8">
        <v>45.946144104003906</v>
      </c>
      <c r="O38" s="8">
        <v>45.815849304199219</v>
      </c>
      <c r="P38" s="8">
        <v>45.970123291015625</v>
      </c>
      <c r="Q38" s="8">
        <v>46.267166137695313</v>
      </c>
      <c r="R38" s="8">
        <v>46.497329711914063</v>
      </c>
      <c r="S38" s="8">
        <v>46.256385803222656</v>
      </c>
      <c r="T38" s="8">
        <v>44.600479125976563</v>
      </c>
      <c r="U38" s="8">
        <v>45.154300689697266</v>
      </c>
      <c r="V38" s="8">
        <v>44.799240112304688</v>
      </c>
      <c r="W38" s="8">
        <v>44.023342132568359</v>
      </c>
      <c r="X38" s="8">
        <v>43.395156860351563</v>
      </c>
      <c r="Y38" s="8">
        <v>42.067035675048828</v>
      </c>
      <c r="Z38" s="8">
        <v>39.855247497558594</v>
      </c>
      <c r="AA38" s="8">
        <v>39.166133880615234</v>
      </c>
      <c r="AB38" s="8">
        <v>39.048408508300781</v>
      </c>
      <c r="AC38" s="8">
        <v>38.961387634277344</v>
      </c>
      <c r="AD38" s="8">
        <v>39.039665222167969</v>
      </c>
      <c r="AE38" s="8"/>
      <c r="AG38" s="8">
        <f t="shared" si="0"/>
        <v>43.169369090687148</v>
      </c>
    </row>
    <row r="39" spans="1:33" x14ac:dyDescent="0.2">
      <c r="A39" s="3" t="s">
        <v>42</v>
      </c>
      <c r="B39" s="3" t="s">
        <v>235</v>
      </c>
      <c r="C39" s="8">
        <v>27.776599884033203</v>
      </c>
      <c r="D39" s="8">
        <v>27.521774291992188</v>
      </c>
      <c r="E39" s="8">
        <v>27.332788467407227</v>
      </c>
      <c r="F39" s="8">
        <v>27.131000518798828</v>
      </c>
      <c r="G39" s="8">
        <v>26.892915725708008</v>
      </c>
      <c r="H39" s="8">
        <v>26.615486145019531</v>
      </c>
      <c r="I39" s="8">
        <v>26.224693298339844</v>
      </c>
      <c r="J39" s="8">
        <v>26.146528244018555</v>
      </c>
      <c r="K39" s="8">
        <v>25.912862777709961</v>
      </c>
      <c r="L39" s="8">
        <v>25.486278533935547</v>
      </c>
      <c r="M39" s="8">
        <v>25.233009338378906</v>
      </c>
      <c r="N39" s="8">
        <v>25.140979766845703</v>
      </c>
      <c r="O39" s="8">
        <v>24.864635467529297</v>
      </c>
      <c r="P39" s="8">
        <v>24.65641975402832</v>
      </c>
      <c r="Q39" s="8">
        <v>24.395797729492188</v>
      </c>
      <c r="R39" s="8">
        <v>24.386205673217773</v>
      </c>
      <c r="S39" s="8">
        <v>24.177970886230469</v>
      </c>
      <c r="T39" s="8">
        <v>24.008407592773438</v>
      </c>
      <c r="U39" s="8">
        <v>23.599576950073242</v>
      </c>
      <c r="V39" s="8">
        <v>23.214672088623047</v>
      </c>
      <c r="W39" s="8">
        <v>22.83098030090332</v>
      </c>
      <c r="X39" s="8">
        <v>22.456594467163086</v>
      </c>
      <c r="Y39" s="8">
        <v>22.484832763671875</v>
      </c>
      <c r="Z39" s="8">
        <v>22.209871292114258</v>
      </c>
      <c r="AA39" s="8">
        <v>22.008443832397461</v>
      </c>
      <c r="AB39" s="8">
        <v>21.732320785522461</v>
      </c>
      <c r="AC39" s="8">
        <v>21.367599487304688</v>
      </c>
      <c r="AD39" s="8">
        <v>21.300849914550781</v>
      </c>
      <c r="AE39" s="8">
        <v>21.114774703979492</v>
      </c>
      <c r="AG39" s="8">
        <f t="shared" si="0"/>
        <v>23.009988784790039</v>
      </c>
    </row>
    <row r="40" spans="1:33" x14ac:dyDescent="0.2">
      <c r="A40" s="3" t="s">
        <v>35</v>
      </c>
      <c r="B40" s="3" t="s">
        <v>228</v>
      </c>
      <c r="C40" s="8">
        <v>44.137649536132813</v>
      </c>
      <c r="D40" s="8">
        <v>44.791343688964844</v>
      </c>
      <c r="E40" s="8">
        <v>45.211299896240234</v>
      </c>
      <c r="F40" s="8">
        <v>45.730884552001953</v>
      </c>
      <c r="G40" s="8">
        <v>46.138710021972656</v>
      </c>
      <c r="H40" s="8">
        <v>46.401512145996094</v>
      </c>
      <c r="I40" s="8">
        <v>46.434585571289063</v>
      </c>
      <c r="J40" s="8">
        <v>46.392475128173828</v>
      </c>
      <c r="K40" s="8">
        <v>46.806301116943359</v>
      </c>
      <c r="L40" s="8">
        <v>46.627540588378906</v>
      </c>
      <c r="M40" s="8">
        <v>46.805717468261719</v>
      </c>
      <c r="N40" s="8">
        <v>46.95855712890625</v>
      </c>
      <c r="O40" s="8">
        <v>46.969379425048828</v>
      </c>
      <c r="P40" s="8">
        <v>47.183906555175781</v>
      </c>
      <c r="Q40" s="8">
        <v>47.131507873535156</v>
      </c>
      <c r="R40" s="8">
        <v>47.157962799072266</v>
      </c>
      <c r="S40" s="8">
        <v>47.172203063964844</v>
      </c>
      <c r="T40" s="8">
        <v>47.005329132080078</v>
      </c>
      <c r="U40" s="8">
        <v>46.804489135742188</v>
      </c>
      <c r="V40" s="8">
        <v>46.651115417480469</v>
      </c>
      <c r="W40" s="8">
        <v>46.328479766845703</v>
      </c>
      <c r="X40" s="8">
        <v>46.499710083007813</v>
      </c>
      <c r="Y40" s="8">
        <v>46.321083068847656</v>
      </c>
      <c r="Z40" s="8">
        <v>45.767433166503906</v>
      </c>
      <c r="AA40" s="8">
        <v>45.020206451416016</v>
      </c>
      <c r="AB40" s="8">
        <v>44.260478973388672</v>
      </c>
      <c r="AC40" s="8">
        <v>43.491847991943359</v>
      </c>
      <c r="AD40" s="8">
        <v>42.774459838867188</v>
      </c>
      <c r="AE40" s="8">
        <v>42.042930603027344</v>
      </c>
      <c r="AG40" s="8">
        <f t="shared" si="0"/>
        <v>46.271681005304508</v>
      </c>
    </row>
    <row r="41" spans="1:33" x14ac:dyDescent="0.2">
      <c r="A41" s="3" t="s">
        <v>76</v>
      </c>
      <c r="B41" s="3" t="s">
        <v>269</v>
      </c>
      <c r="C41" s="8">
        <v>33.823280334472656</v>
      </c>
      <c r="D41" s="8">
        <v>33.324043273925781</v>
      </c>
      <c r="E41" s="8">
        <v>32.704296112060547</v>
      </c>
      <c r="F41" s="8">
        <v>32.688339233398438</v>
      </c>
      <c r="G41" s="8">
        <v>32.238529205322266</v>
      </c>
      <c r="H41" s="8">
        <v>32.216800689697266</v>
      </c>
      <c r="I41" s="8">
        <v>32.263545989990234</v>
      </c>
      <c r="J41" s="8">
        <v>32.120670318603516</v>
      </c>
      <c r="K41" s="8">
        <v>31.8939208984375</v>
      </c>
      <c r="L41" s="8">
        <v>31.711452484130859</v>
      </c>
      <c r="M41" s="8">
        <v>31.710535049438477</v>
      </c>
      <c r="N41" s="8">
        <v>31.585052490234375</v>
      </c>
      <c r="O41" s="8">
        <v>31.427824020385742</v>
      </c>
      <c r="P41" s="8">
        <v>31.305498123168945</v>
      </c>
      <c r="Q41" s="8">
        <v>31.044239044189453</v>
      </c>
      <c r="R41" s="8">
        <v>30.80463981628418</v>
      </c>
      <c r="S41" s="8">
        <v>30.639535903930664</v>
      </c>
      <c r="T41" s="8">
        <v>30.400253295898438</v>
      </c>
      <c r="U41" s="8">
        <v>30.18089485168457</v>
      </c>
      <c r="V41" s="8">
        <v>29.836156845092773</v>
      </c>
      <c r="W41" s="8">
        <v>29.517129898071289</v>
      </c>
      <c r="X41" s="8">
        <v>29.218461990356445</v>
      </c>
      <c r="Y41" s="8">
        <v>28.999507904052734</v>
      </c>
      <c r="Z41" s="8">
        <v>28.785852432250977</v>
      </c>
      <c r="AA41" s="8">
        <v>28.912633895874023</v>
      </c>
      <c r="AB41" s="8">
        <v>28.949647903442383</v>
      </c>
      <c r="AC41" s="8">
        <v>28.875753402709961</v>
      </c>
      <c r="AD41" s="8">
        <v>28.673171997070313</v>
      </c>
      <c r="AE41" s="8">
        <v>28.661224365234375</v>
      </c>
      <c r="AG41" s="8">
        <f t="shared" si="0"/>
        <v>29.65861043063077</v>
      </c>
    </row>
    <row r="42" spans="1:33" x14ac:dyDescent="0.2">
      <c r="A42" s="3" t="s">
        <v>45</v>
      </c>
      <c r="B42" s="3" t="s">
        <v>238</v>
      </c>
      <c r="C42" s="8">
        <v>28.651090621948242</v>
      </c>
      <c r="D42" s="8">
        <v>28.333047866821289</v>
      </c>
      <c r="E42" s="8">
        <v>28.084615707397461</v>
      </c>
      <c r="F42" s="8">
        <v>27.899143218994141</v>
      </c>
      <c r="G42" s="8">
        <v>27.778301239013672</v>
      </c>
      <c r="H42" s="8">
        <v>27.870872497558594</v>
      </c>
      <c r="I42" s="8">
        <v>27.703014373779297</v>
      </c>
      <c r="J42" s="8">
        <v>27.493719100952148</v>
      </c>
      <c r="K42" s="8">
        <v>27.3953857421875</v>
      </c>
      <c r="L42" s="8">
        <v>27.333461761474609</v>
      </c>
      <c r="M42" s="8">
        <v>27.310100555419922</v>
      </c>
      <c r="N42" s="8">
        <v>27.209966659545898</v>
      </c>
      <c r="O42" s="8">
        <v>27.066438674926758</v>
      </c>
      <c r="P42" s="8">
        <v>26.955165863037109</v>
      </c>
      <c r="Q42" s="8">
        <v>27.020481109619141</v>
      </c>
      <c r="R42" s="8">
        <v>26.973611831665039</v>
      </c>
      <c r="S42" s="8">
        <v>26.674610137939453</v>
      </c>
      <c r="T42" s="8">
        <v>26.500152587890625</v>
      </c>
      <c r="U42" s="8">
        <v>26.24567985534668</v>
      </c>
      <c r="V42" s="8">
        <v>25.901168823242188</v>
      </c>
      <c r="W42" s="8">
        <v>25.743631362915039</v>
      </c>
      <c r="X42" s="8">
        <v>25.537303924560547</v>
      </c>
      <c r="Y42" s="8">
        <v>25.43797492980957</v>
      </c>
      <c r="Z42" s="8">
        <v>25.197416305541992</v>
      </c>
      <c r="AA42" s="8">
        <v>25.207420349121094</v>
      </c>
      <c r="AB42" s="8">
        <v>25.32275390625</v>
      </c>
      <c r="AC42" s="8">
        <v>25.365123748779297</v>
      </c>
      <c r="AD42" s="8">
        <v>25.30335807800293</v>
      </c>
      <c r="AE42" s="8">
        <v>25.230068206787109</v>
      </c>
      <c r="AG42" s="8">
        <f t="shared" si="0"/>
        <v>25.885611274025656</v>
      </c>
    </row>
    <row r="43" spans="1:33" x14ac:dyDescent="0.2">
      <c r="A43" s="3" t="s">
        <v>46</v>
      </c>
      <c r="B43" s="3" t="s">
        <v>239</v>
      </c>
      <c r="C43" s="8">
        <v>18.024585723876953</v>
      </c>
      <c r="D43" s="8">
        <v>17.807086944580078</v>
      </c>
      <c r="E43" s="8">
        <v>17.834667205810547</v>
      </c>
      <c r="F43" s="8">
        <v>17.72138786315918</v>
      </c>
      <c r="G43" s="8">
        <v>17.664646148681641</v>
      </c>
      <c r="H43" s="8">
        <v>17.641153335571289</v>
      </c>
      <c r="I43" s="8">
        <v>17.603975296020508</v>
      </c>
      <c r="J43" s="8">
        <v>17.51637077331543</v>
      </c>
      <c r="K43" s="8">
        <v>17.462120056152344</v>
      </c>
      <c r="L43" s="8">
        <v>17.367738723754883</v>
      </c>
      <c r="M43" s="8">
        <v>17.272430419921875</v>
      </c>
      <c r="N43" s="8">
        <v>17.189836502075195</v>
      </c>
      <c r="O43" s="8">
        <v>17.099227905273438</v>
      </c>
      <c r="P43" s="8">
        <v>17.025327682495117</v>
      </c>
      <c r="Q43" s="8">
        <v>17.013778686523438</v>
      </c>
      <c r="R43" s="8">
        <v>17.046234130859375</v>
      </c>
      <c r="S43" s="8">
        <v>17.02733039855957</v>
      </c>
      <c r="T43" s="8">
        <v>17.005548477172852</v>
      </c>
      <c r="U43" s="8">
        <v>16.949338912963867</v>
      </c>
      <c r="V43" s="8">
        <v>16.79286003112793</v>
      </c>
      <c r="W43" s="8">
        <v>16.694801330566406</v>
      </c>
      <c r="X43" s="8">
        <v>16.672002792358398</v>
      </c>
      <c r="Y43" s="8">
        <v>16.680492401123047</v>
      </c>
      <c r="Z43" s="8">
        <v>16.657676696777344</v>
      </c>
      <c r="AA43" s="8">
        <v>16.682758331298828</v>
      </c>
      <c r="AB43" s="8">
        <v>16.67451286315918</v>
      </c>
      <c r="AC43" s="8">
        <v>16.660879135131836</v>
      </c>
      <c r="AD43" s="8">
        <v>16.648548126220703</v>
      </c>
      <c r="AE43" s="8">
        <v>16.572839736938477</v>
      </c>
      <c r="AG43" s="8">
        <f t="shared" si="0"/>
        <v>16.807596033269707</v>
      </c>
    </row>
    <row r="44" spans="1:33" x14ac:dyDescent="0.2">
      <c r="A44" s="3" t="s">
        <v>50</v>
      </c>
      <c r="B44" s="3" t="s">
        <v>243</v>
      </c>
      <c r="C44" s="8">
        <v>17.956567764282227</v>
      </c>
      <c r="D44" s="8">
        <v>17.8538818359375</v>
      </c>
      <c r="E44" s="8">
        <v>17.775936126708984</v>
      </c>
      <c r="F44" s="8">
        <v>17.662271499633789</v>
      </c>
      <c r="G44" s="8">
        <v>17.694395065307617</v>
      </c>
      <c r="H44" s="8">
        <v>17.645853042602539</v>
      </c>
      <c r="I44" s="8">
        <v>17.599088668823242</v>
      </c>
      <c r="J44" s="8">
        <v>17.529266357421875</v>
      </c>
      <c r="K44" s="8">
        <v>17.455121994018555</v>
      </c>
      <c r="L44" s="8">
        <v>17.391677856445313</v>
      </c>
      <c r="M44" s="8">
        <v>17.322511672973633</v>
      </c>
      <c r="N44" s="8">
        <v>17.240316390991211</v>
      </c>
      <c r="O44" s="8">
        <v>17.150386810302734</v>
      </c>
      <c r="P44" s="8">
        <v>17.09068489074707</v>
      </c>
      <c r="Q44" s="8">
        <v>17.033391952514648</v>
      </c>
      <c r="R44" s="8">
        <v>17.022129058837891</v>
      </c>
      <c r="S44" s="8">
        <v>16.973163604736328</v>
      </c>
      <c r="T44" s="8">
        <v>16.900068283081055</v>
      </c>
      <c r="U44" s="8">
        <v>16.80988883972168</v>
      </c>
      <c r="V44" s="8">
        <v>16.623214721679688</v>
      </c>
      <c r="W44" s="8">
        <v>16.548074722290039</v>
      </c>
      <c r="X44" s="8">
        <v>16.541498184204102</v>
      </c>
      <c r="Y44" s="8">
        <v>16.503534317016602</v>
      </c>
      <c r="Z44" s="8">
        <v>16.493288040161133</v>
      </c>
      <c r="AA44" s="8">
        <v>16.510354995727539</v>
      </c>
      <c r="AB44" s="8">
        <v>16.494821548461914</v>
      </c>
      <c r="AC44" s="8">
        <v>16.48619270324707</v>
      </c>
      <c r="AD44" s="8">
        <v>16.46257209777832</v>
      </c>
      <c r="AE44" s="8">
        <v>16.428075790405273</v>
      </c>
      <c r="AG44" s="8">
        <f t="shared" si="0"/>
        <v>16.674548755992543</v>
      </c>
    </row>
    <row r="45" spans="1:33" x14ac:dyDescent="0.2">
      <c r="A45" s="3" t="s">
        <v>51</v>
      </c>
      <c r="B45" s="3" t="s">
        <v>244</v>
      </c>
      <c r="C45" s="8">
        <v>38.388156890869141</v>
      </c>
      <c r="D45" s="8">
        <v>38.167636871337891</v>
      </c>
      <c r="E45" s="8">
        <v>38.127586364746094</v>
      </c>
      <c r="F45" s="8">
        <v>37.548702239990234</v>
      </c>
      <c r="G45" s="8">
        <v>36.812602996826172</v>
      </c>
      <c r="H45" s="8">
        <v>36.273849487304688</v>
      </c>
      <c r="I45" s="8">
        <v>35.793899536132813</v>
      </c>
      <c r="J45" s="8">
        <v>35.296985626220703</v>
      </c>
      <c r="K45" s="8">
        <v>34.815528869628906</v>
      </c>
      <c r="L45" s="8">
        <v>34.201164245605469</v>
      </c>
      <c r="M45" s="8">
        <v>33.439548492431641</v>
      </c>
      <c r="N45" s="8">
        <v>32.63897705078125</v>
      </c>
      <c r="O45" s="8">
        <v>32.128612518310547</v>
      </c>
      <c r="P45" s="8">
        <v>31.705669403076172</v>
      </c>
      <c r="Q45" s="8">
        <v>31.54241943359375</v>
      </c>
      <c r="R45" s="8">
        <v>31.20793342590332</v>
      </c>
      <c r="S45" s="8">
        <v>30.928882598876953</v>
      </c>
      <c r="T45" s="8">
        <v>30.501201629638672</v>
      </c>
      <c r="U45" s="8">
        <v>30.075029373168945</v>
      </c>
      <c r="V45" s="8">
        <v>29.554712295532227</v>
      </c>
      <c r="W45" s="8">
        <v>29.315567016601563</v>
      </c>
      <c r="X45" s="8">
        <v>29.132419586181641</v>
      </c>
      <c r="Y45" s="8">
        <v>28.809776306152344</v>
      </c>
      <c r="Z45" s="8">
        <v>28.467660903930664</v>
      </c>
      <c r="AA45" s="8">
        <v>28.295616149902344</v>
      </c>
      <c r="AB45" s="8">
        <v>27.955944061279297</v>
      </c>
      <c r="AC45" s="8">
        <v>27.605432510375977</v>
      </c>
      <c r="AD45" s="8">
        <v>27.20390510559082</v>
      </c>
      <c r="AE45" s="8">
        <v>26.815557479858398</v>
      </c>
      <c r="AG45" s="8">
        <f t="shared" si="0"/>
        <v>29.476794849742543</v>
      </c>
    </row>
    <row r="46" spans="1:33" x14ac:dyDescent="0.2">
      <c r="A46" s="3" t="s">
        <v>53</v>
      </c>
      <c r="B46" s="3" t="s">
        <v>246</v>
      </c>
      <c r="C46" s="8">
        <v>28.237253189086914</v>
      </c>
      <c r="D46" s="8">
        <v>28.777256011962891</v>
      </c>
      <c r="E46" s="8">
        <v>29.078975677490234</v>
      </c>
      <c r="F46" s="8">
        <v>28.837984085083008</v>
      </c>
      <c r="G46" s="8">
        <v>28.870847702026367</v>
      </c>
      <c r="H46" s="8">
        <v>29.206428527832031</v>
      </c>
      <c r="I46" s="8">
        <v>29.235849380493164</v>
      </c>
      <c r="J46" s="8">
        <v>29.53520393371582</v>
      </c>
      <c r="K46" s="8">
        <v>29.732767105102539</v>
      </c>
      <c r="L46" s="8">
        <v>29.943477630615234</v>
      </c>
      <c r="M46" s="8">
        <v>30.287500381469727</v>
      </c>
      <c r="N46" s="8">
        <v>30.853017807006836</v>
      </c>
      <c r="O46" s="8">
        <v>30.438190460205078</v>
      </c>
      <c r="P46" s="8">
        <v>30.41943359375</v>
      </c>
      <c r="Q46" s="8">
        <v>30.793649673461914</v>
      </c>
      <c r="R46" s="8">
        <v>30.650091171264648</v>
      </c>
      <c r="S46" s="8">
        <v>30.62995719909668</v>
      </c>
      <c r="T46" s="8">
        <v>30.401172637939453</v>
      </c>
      <c r="U46" s="8">
        <v>30.200040817260742</v>
      </c>
      <c r="V46" s="8">
        <v>29.886266708374023</v>
      </c>
      <c r="W46" s="8">
        <v>29.626745223999023</v>
      </c>
      <c r="X46" s="8">
        <v>29.389875411987305</v>
      </c>
      <c r="Y46" s="8">
        <v>29.158031463623047</v>
      </c>
      <c r="Z46" s="8">
        <v>28.847944259643555</v>
      </c>
      <c r="AA46" s="8">
        <v>28.474924087524414</v>
      </c>
      <c r="AB46" s="8">
        <v>28.395328521728516</v>
      </c>
      <c r="AC46" s="8">
        <v>28.38250732421875</v>
      </c>
      <c r="AD46" s="8">
        <v>28.312469482421875</v>
      </c>
      <c r="AE46" s="8">
        <v>28.105306625366211</v>
      </c>
      <c r="AG46" s="8">
        <f t="shared" si="0"/>
        <v>29.605488863858309</v>
      </c>
    </row>
    <row r="47" spans="1:33" x14ac:dyDescent="0.2">
      <c r="A47" s="3" t="s">
        <v>54</v>
      </c>
      <c r="B47" s="3" t="s">
        <v>247</v>
      </c>
      <c r="C47" s="8">
        <v>39.176582336425781</v>
      </c>
      <c r="D47" s="8">
        <v>39.255630493164063</v>
      </c>
      <c r="E47" s="8">
        <v>39.018829345703125</v>
      </c>
      <c r="F47" s="8">
        <v>38.742877960205078</v>
      </c>
      <c r="G47" s="8">
        <v>38.369258880615234</v>
      </c>
      <c r="H47" s="8">
        <v>38.073307037353516</v>
      </c>
      <c r="I47" s="8">
        <v>37.908920288085938</v>
      </c>
      <c r="J47" s="8">
        <v>37.637615203857422</v>
      </c>
      <c r="K47" s="8">
        <v>36.970687866210938</v>
      </c>
      <c r="L47" s="8">
        <v>36.398651123046875</v>
      </c>
      <c r="M47" s="8">
        <v>35.727310180664063</v>
      </c>
      <c r="N47" s="8">
        <v>35.272006988525391</v>
      </c>
      <c r="O47" s="8">
        <v>34.620685577392578</v>
      </c>
      <c r="P47" s="8">
        <v>33.940723419189453</v>
      </c>
      <c r="Q47" s="8">
        <v>33.754585266113281</v>
      </c>
      <c r="R47" s="8">
        <v>33.3577880859375</v>
      </c>
      <c r="S47" s="8">
        <v>32.909584045410156</v>
      </c>
      <c r="T47" s="8">
        <v>33.100505828857422</v>
      </c>
      <c r="U47" s="8">
        <v>32.524555206298828</v>
      </c>
      <c r="V47" s="8">
        <v>32.16339111328125</v>
      </c>
      <c r="W47" s="8">
        <v>31.795969009399414</v>
      </c>
      <c r="X47" s="8">
        <v>31.48552131652832</v>
      </c>
      <c r="Y47" s="8">
        <v>31.169193267822266</v>
      </c>
      <c r="Z47" s="8">
        <v>30.862764358520508</v>
      </c>
      <c r="AA47" s="8">
        <v>30.560796737670898</v>
      </c>
      <c r="AB47" s="8">
        <v>30.246940612792969</v>
      </c>
      <c r="AC47" s="8">
        <v>29.932821273803711</v>
      </c>
      <c r="AD47" s="8">
        <v>29.559825897216797</v>
      </c>
      <c r="AE47" s="8">
        <v>29.273637771606445</v>
      </c>
      <c r="AG47" s="8">
        <f t="shared" si="0"/>
        <v>31.834273598410867</v>
      </c>
    </row>
    <row r="48" spans="1:33" x14ac:dyDescent="0.2">
      <c r="A48" s="3" t="s">
        <v>155</v>
      </c>
      <c r="B48" s="3" t="s">
        <v>349</v>
      </c>
      <c r="C48" s="8">
        <v>49.680767059326172</v>
      </c>
      <c r="D48" s="8">
        <v>49.652423858642578</v>
      </c>
      <c r="E48" s="8">
        <v>49.504680633544922</v>
      </c>
      <c r="F48" s="8">
        <v>49.414722442626953</v>
      </c>
      <c r="G48" s="8">
        <v>49.092693328857422</v>
      </c>
      <c r="H48" s="8">
        <v>48.291923522949219</v>
      </c>
      <c r="I48" s="8">
        <v>47.843303680419922</v>
      </c>
      <c r="J48" s="8">
        <v>47.224861145019531</v>
      </c>
      <c r="K48" s="8">
        <v>46.914268493652344</v>
      </c>
      <c r="L48" s="8">
        <v>46.386604309082031</v>
      </c>
      <c r="M48" s="8">
        <v>45.799358367919922</v>
      </c>
      <c r="N48" s="8">
        <v>45.332290649414063</v>
      </c>
      <c r="O48" s="8">
        <v>44.743003845214844</v>
      </c>
      <c r="P48" s="8">
        <v>44.436908721923828</v>
      </c>
      <c r="Q48" s="8">
        <v>43.89678955078125</v>
      </c>
      <c r="R48" s="8">
        <v>43.575931549072266</v>
      </c>
      <c r="S48" s="8">
        <v>43.293567657470703</v>
      </c>
      <c r="T48" s="8">
        <v>43.001724243164063</v>
      </c>
      <c r="U48" s="8">
        <v>42.570777893066406</v>
      </c>
      <c r="V48" s="8">
        <v>42.221565246582031</v>
      </c>
      <c r="W48" s="8">
        <v>42.269561767578125</v>
      </c>
      <c r="X48" s="8">
        <v>42.125312805175781</v>
      </c>
      <c r="Y48" s="8">
        <v>41.984447479248047</v>
      </c>
      <c r="Z48" s="8">
        <v>41.728950500488281</v>
      </c>
      <c r="AA48" s="8">
        <v>41.464820861816406</v>
      </c>
      <c r="AB48" s="8">
        <v>41.204135894775391</v>
      </c>
      <c r="AC48" s="8">
        <v>40.961532592773438</v>
      </c>
      <c r="AD48" s="8">
        <v>40.786109924316406</v>
      </c>
      <c r="AE48" s="8"/>
      <c r="AG48" s="8">
        <f t="shared" si="0"/>
        <v>42.31279962713068</v>
      </c>
    </row>
    <row r="49" spans="1:33" x14ac:dyDescent="0.2">
      <c r="A49" s="3" t="s">
        <v>70</v>
      </c>
      <c r="B49" s="3" t="s">
        <v>263</v>
      </c>
      <c r="C49" s="8">
        <v>63.884330749511719</v>
      </c>
      <c r="D49" s="8">
        <v>63.947422027587891</v>
      </c>
      <c r="E49" s="8">
        <v>64.240852355957031</v>
      </c>
      <c r="F49" s="8">
        <v>64.423347473144531</v>
      </c>
      <c r="G49" s="8">
        <v>65.308082580566406</v>
      </c>
      <c r="H49" s="8">
        <v>61.407958984375</v>
      </c>
      <c r="I49" s="8">
        <v>54.543399810791016</v>
      </c>
      <c r="J49" s="8">
        <v>49.57232666015625</v>
      </c>
      <c r="K49" s="8">
        <v>44.586746215820313</v>
      </c>
      <c r="L49" s="8">
        <v>42.920665740966797</v>
      </c>
      <c r="M49" s="8">
        <v>40.24493408203125</v>
      </c>
      <c r="N49" s="8">
        <v>37.020107269287109</v>
      </c>
      <c r="O49" s="8">
        <v>35.652442932128906</v>
      </c>
      <c r="P49" s="8">
        <v>34.425712585449219</v>
      </c>
      <c r="Q49" s="8">
        <v>33.515220642089844</v>
      </c>
      <c r="R49" s="8">
        <v>32.211109161376953</v>
      </c>
      <c r="S49" s="8">
        <v>31.24456787109375</v>
      </c>
      <c r="T49" s="8">
        <v>30.100471496582031</v>
      </c>
      <c r="U49" s="8">
        <v>28.764423370361328</v>
      </c>
      <c r="V49" s="8">
        <v>27.090009689331055</v>
      </c>
      <c r="W49" s="8">
        <v>26.46565055847168</v>
      </c>
      <c r="X49" s="8">
        <v>25.74281120300293</v>
      </c>
      <c r="Y49" s="8">
        <v>24.729253768920898</v>
      </c>
      <c r="Z49" s="8">
        <v>24.48588752746582</v>
      </c>
      <c r="AA49" s="8">
        <v>24.455375671386719</v>
      </c>
      <c r="AB49" s="8">
        <v>24.605491638183594</v>
      </c>
      <c r="AC49" s="8">
        <v>24.950986862182617</v>
      </c>
      <c r="AD49" s="8">
        <v>25.413808822631836</v>
      </c>
      <c r="AE49" s="8"/>
      <c r="AG49" s="8">
        <f t="shared" si="0"/>
        <v>27.263186541470613</v>
      </c>
    </row>
    <row r="50" spans="1:33" x14ac:dyDescent="0.2">
      <c r="A50" s="3" t="s">
        <v>57</v>
      </c>
      <c r="B50" s="3" t="s">
        <v>250</v>
      </c>
      <c r="C50" s="8">
        <v>33.445693969726563</v>
      </c>
      <c r="D50" s="8">
        <v>33.197597503662109</v>
      </c>
      <c r="E50" s="8">
        <v>32.782817840576172</v>
      </c>
      <c r="F50" s="8">
        <v>31.974946975708008</v>
      </c>
      <c r="G50" s="8">
        <v>31.616783142089844</v>
      </c>
      <c r="H50" s="8">
        <v>31.097339630126953</v>
      </c>
      <c r="I50" s="8">
        <v>31.425249099731445</v>
      </c>
      <c r="J50" s="8">
        <v>31.6094970703125</v>
      </c>
      <c r="K50" s="8">
        <v>31.503238677978516</v>
      </c>
      <c r="L50" s="8">
        <v>31.279087066650391</v>
      </c>
      <c r="M50" s="8">
        <v>31.372076034545898</v>
      </c>
      <c r="N50" s="8">
        <v>31.230852127075195</v>
      </c>
      <c r="O50" s="8">
        <v>30.947986602783203</v>
      </c>
      <c r="P50" s="8">
        <v>30.797710418701172</v>
      </c>
      <c r="Q50" s="8">
        <v>30.459148406982422</v>
      </c>
      <c r="R50" s="8">
        <v>30.25733757019043</v>
      </c>
      <c r="S50" s="8">
        <v>30.059619903564453</v>
      </c>
      <c r="T50" s="8">
        <v>29.501686096191406</v>
      </c>
      <c r="U50" s="8">
        <v>28.942647933959961</v>
      </c>
      <c r="V50" s="8">
        <v>28.244787216186523</v>
      </c>
      <c r="W50" s="8">
        <v>27.957927703857422</v>
      </c>
      <c r="X50" s="8">
        <v>28.183742523193359</v>
      </c>
      <c r="Y50" s="8">
        <v>28.070024490356445</v>
      </c>
      <c r="Z50" s="8">
        <v>27.97950553894043</v>
      </c>
      <c r="AA50" s="8">
        <v>27.87718391418457</v>
      </c>
      <c r="AB50" s="8">
        <v>27.826210021972656</v>
      </c>
      <c r="AC50" s="8">
        <v>27.686592102050781</v>
      </c>
      <c r="AD50" s="8">
        <v>27.635456085205078</v>
      </c>
      <c r="AE50" s="8">
        <v>27.480972290039063</v>
      </c>
      <c r="AG50" s="8">
        <f t="shared" si="0"/>
        <v>28.627333901145242</v>
      </c>
    </row>
    <row r="51" spans="1:33" x14ac:dyDescent="0.2">
      <c r="A51" s="3" t="s">
        <v>163</v>
      </c>
      <c r="B51" s="3" t="s">
        <v>357</v>
      </c>
      <c r="C51" s="8">
        <v>41.958431243896484</v>
      </c>
      <c r="D51" s="8">
        <v>41.305713653564453</v>
      </c>
      <c r="E51" s="8">
        <v>40.339485168457031</v>
      </c>
      <c r="F51" s="8">
        <v>39.830787658691406</v>
      </c>
      <c r="G51" s="8">
        <v>39.279834747314453</v>
      </c>
      <c r="H51" s="8">
        <v>40.075927734375</v>
      </c>
      <c r="I51" s="8">
        <v>38.988037109375</v>
      </c>
      <c r="J51" s="8">
        <v>38.978584289550781</v>
      </c>
      <c r="K51" s="8">
        <v>38.447677612304688</v>
      </c>
      <c r="L51" s="8">
        <v>38.326610565185547</v>
      </c>
      <c r="M51" s="8">
        <v>38.832027435302734</v>
      </c>
      <c r="N51" s="8">
        <v>38.852058410644531</v>
      </c>
      <c r="O51" s="8">
        <v>38.929019927978516</v>
      </c>
      <c r="P51" s="8">
        <v>38.845287322998047</v>
      </c>
      <c r="Q51" s="8">
        <v>38.689895629882813</v>
      </c>
      <c r="R51" s="8">
        <v>38.861324310302734</v>
      </c>
      <c r="S51" s="8">
        <v>38.900165557861328</v>
      </c>
      <c r="T51" s="8">
        <v>38.487411499023438</v>
      </c>
      <c r="U51" s="8">
        <v>38.507637023925781</v>
      </c>
      <c r="V51" s="8">
        <v>38.606449127197266</v>
      </c>
      <c r="W51" s="8">
        <v>38.880142211914063</v>
      </c>
      <c r="X51" s="8">
        <v>39.227424621582031</v>
      </c>
      <c r="Y51" s="8">
        <v>39.42596435546875</v>
      </c>
      <c r="Z51" s="8">
        <v>39.541591644287109</v>
      </c>
      <c r="AA51" s="8">
        <v>39.640911102294922</v>
      </c>
      <c r="AB51" s="8">
        <v>39.746513366699219</v>
      </c>
      <c r="AC51" s="8">
        <v>39.677829742431641</v>
      </c>
      <c r="AD51" s="8">
        <v>39.770130157470703</v>
      </c>
      <c r="AE51" s="8"/>
      <c r="AG51" s="8">
        <f t="shared" si="0"/>
        <v>39.075048620050602</v>
      </c>
    </row>
    <row r="52" spans="1:33" x14ac:dyDescent="0.2">
      <c r="A52" s="3" t="s">
        <v>58</v>
      </c>
      <c r="B52" s="3" t="s">
        <v>251</v>
      </c>
      <c r="C52" s="8">
        <v>36.917736053466797</v>
      </c>
      <c r="D52" s="8">
        <v>37.132785797119141</v>
      </c>
      <c r="E52" s="8">
        <v>37.675647735595703</v>
      </c>
      <c r="F52" s="8">
        <v>37.616069793701172</v>
      </c>
      <c r="G52" s="8">
        <v>37.519245147705078</v>
      </c>
      <c r="H52" s="8">
        <v>37.78045654296875</v>
      </c>
      <c r="I52" s="8">
        <v>37.767444610595703</v>
      </c>
      <c r="J52" s="8">
        <v>37.860645294189453</v>
      </c>
      <c r="K52" s="8">
        <v>37.585174560546875</v>
      </c>
      <c r="L52" s="8">
        <v>37.346759796142578</v>
      </c>
      <c r="M52" s="8">
        <v>36.975852966308594</v>
      </c>
      <c r="N52" s="8">
        <v>37.032825469970703</v>
      </c>
      <c r="O52" s="8">
        <v>36.815132141113281</v>
      </c>
      <c r="P52" s="8">
        <v>36.756553649902344</v>
      </c>
      <c r="Q52" s="8">
        <v>36.221279144287109</v>
      </c>
      <c r="R52" s="8">
        <v>35.907463073730469</v>
      </c>
      <c r="S52" s="8">
        <v>35.395286560058594</v>
      </c>
      <c r="T52" s="8">
        <v>35.101787567138672</v>
      </c>
      <c r="U52" s="8">
        <v>34.697669982910156</v>
      </c>
      <c r="V52" s="8">
        <v>33.916744232177734</v>
      </c>
      <c r="W52" s="8">
        <v>33.067245483398438</v>
      </c>
      <c r="X52" s="8">
        <v>31.841987609863281</v>
      </c>
      <c r="Y52" s="8">
        <v>30.447826385498047</v>
      </c>
      <c r="Z52" s="8">
        <v>29.182117462158203</v>
      </c>
      <c r="AA52" s="8">
        <v>27.806278228759766</v>
      </c>
      <c r="AB52" s="8">
        <v>26.479425430297852</v>
      </c>
      <c r="AC52" s="8">
        <v>25.226119995117188</v>
      </c>
      <c r="AD52" s="8">
        <v>24.184755325317383</v>
      </c>
      <c r="AE52" s="8">
        <v>23.325193405151367</v>
      </c>
      <c r="AG52" s="8">
        <f t="shared" si="0"/>
        <v>32.167621092362836</v>
      </c>
    </row>
    <row r="53" spans="1:33" x14ac:dyDescent="0.2">
      <c r="A53" s="3" t="s">
        <v>60</v>
      </c>
      <c r="B53" s="3" t="s">
        <v>253</v>
      </c>
      <c r="C53" s="8">
        <v>34.777217864990234</v>
      </c>
      <c r="D53" s="8">
        <v>34.6043701171875</v>
      </c>
      <c r="E53" s="8">
        <v>34.6417236328125</v>
      </c>
      <c r="F53" s="8">
        <v>34.399112701416016</v>
      </c>
      <c r="G53" s="8">
        <v>34.673873901367188</v>
      </c>
      <c r="H53" s="8">
        <v>34.664196014404297</v>
      </c>
      <c r="I53" s="8">
        <v>34.791175842285156</v>
      </c>
      <c r="J53" s="8">
        <v>34.803901672363281</v>
      </c>
      <c r="K53" s="8">
        <v>34.392684936523438</v>
      </c>
      <c r="L53" s="8">
        <v>34.2708740234375</v>
      </c>
      <c r="M53" s="8">
        <v>33.843772888183594</v>
      </c>
      <c r="N53" s="8">
        <v>33.538619995117188</v>
      </c>
      <c r="O53" s="8">
        <v>33.296329498291016</v>
      </c>
      <c r="P53" s="8">
        <v>33.359592437744141</v>
      </c>
      <c r="Q53" s="8">
        <v>33.3780517578125</v>
      </c>
      <c r="R53" s="8">
        <v>33.020381927490234</v>
      </c>
      <c r="S53" s="8">
        <v>32.477737426757813</v>
      </c>
      <c r="T53" s="8">
        <v>32.602165222167969</v>
      </c>
      <c r="U53" s="8">
        <v>32.364845275878906</v>
      </c>
      <c r="V53" s="8">
        <v>32.415473937988281</v>
      </c>
      <c r="W53" s="8">
        <v>32.539455413818359</v>
      </c>
      <c r="X53" s="8">
        <v>32.135250091552734</v>
      </c>
      <c r="Y53" s="8">
        <v>31.941827774047852</v>
      </c>
      <c r="Z53" s="8">
        <v>31.314823150634766</v>
      </c>
      <c r="AA53" s="8">
        <v>31.025705337524414</v>
      </c>
      <c r="AB53" s="8">
        <v>30.770986557006836</v>
      </c>
      <c r="AC53" s="8">
        <v>30.432886123657227</v>
      </c>
      <c r="AD53" s="8">
        <v>30.27147102355957</v>
      </c>
      <c r="AE53" s="8"/>
      <c r="AG53" s="8">
        <f t="shared" si="0"/>
        <v>32.055332010442562</v>
      </c>
    </row>
    <row r="54" spans="1:33" x14ac:dyDescent="0.2">
      <c r="A54" s="3" t="s">
        <v>59</v>
      </c>
      <c r="B54" s="3" t="s">
        <v>252</v>
      </c>
      <c r="C54" s="8">
        <v>18.794418334960938</v>
      </c>
      <c r="D54" s="8">
        <v>18.441450119018555</v>
      </c>
      <c r="E54" s="8">
        <v>18.144357681274414</v>
      </c>
      <c r="F54" s="8">
        <v>17.948909759521484</v>
      </c>
      <c r="G54" s="8">
        <v>17.902809143066406</v>
      </c>
      <c r="H54" s="8">
        <v>17.955368041992188</v>
      </c>
      <c r="I54" s="8">
        <v>17.915594100952148</v>
      </c>
      <c r="J54" s="8">
        <v>17.903688430786133</v>
      </c>
      <c r="K54" s="8">
        <v>17.836618423461914</v>
      </c>
      <c r="L54" s="8">
        <v>17.771812438964844</v>
      </c>
      <c r="M54" s="8">
        <v>17.691123962402344</v>
      </c>
      <c r="N54" s="8">
        <v>17.579061508178711</v>
      </c>
      <c r="O54" s="8">
        <v>17.469608306884766</v>
      </c>
      <c r="P54" s="8">
        <v>17.367830276489258</v>
      </c>
      <c r="Q54" s="8">
        <v>17.267621994018555</v>
      </c>
      <c r="R54" s="8">
        <v>17.188892364501953</v>
      </c>
      <c r="S54" s="8">
        <v>17.09742546081543</v>
      </c>
      <c r="T54" s="8">
        <v>17.002811431884766</v>
      </c>
      <c r="U54" s="8">
        <v>16.88599967956543</v>
      </c>
      <c r="V54" s="8">
        <v>16.664953231811523</v>
      </c>
      <c r="W54" s="8">
        <v>16.568901062011719</v>
      </c>
      <c r="X54" s="8">
        <v>16.504543304443359</v>
      </c>
      <c r="Y54" s="8">
        <v>16.443658828735352</v>
      </c>
      <c r="Z54" s="8">
        <v>16.362009048461914</v>
      </c>
      <c r="AA54" s="8">
        <v>16.322860717773438</v>
      </c>
      <c r="AB54" s="8">
        <v>16.271949768066406</v>
      </c>
      <c r="AC54" s="8">
        <v>16.224653244018555</v>
      </c>
      <c r="AD54" s="8">
        <v>16.161823272705078</v>
      </c>
      <c r="AE54" s="8">
        <v>16.095335006713867</v>
      </c>
      <c r="AG54" s="8">
        <f t="shared" si="0"/>
        <v>16.664909536188301</v>
      </c>
    </row>
    <row r="55" spans="1:33" x14ac:dyDescent="0.2">
      <c r="A55" s="3" t="s">
        <v>61</v>
      </c>
      <c r="B55" s="3" t="s">
        <v>254</v>
      </c>
      <c r="C55" s="8">
        <v>16.011384963989258</v>
      </c>
      <c r="D55" s="8">
        <v>15.86951732635498</v>
      </c>
      <c r="E55" s="8">
        <v>15.720304489135742</v>
      </c>
      <c r="F55" s="8">
        <v>15.58570671081543</v>
      </c>
      <c r="G55" s="8">
        <v>15.519201278686523</v>
      </c>
      <c r="H55" s="8">
        <v>15.47593879699707</v>
      </c>
      <c r="I55" s="8">
        <v>15.419096946716309</v>
      </c>
      <c r="J55" s="8">
        <v>15.347480773925781</v>
      </c>
      <c r="K55" s="8">
        <v>15.316716194152832</v>
      </c>
      <c r="L55" s="8">
        <v>15.277759552001953</v>
      </c>
      <c r="M55" s="8">
        <v>15.235490798950195</v>
      </c>
      <c r="N55" s="8">
        <v>15.15836238861084</v>
      </c>
      <c r="O55" s="8">
        <v>15.055007934570313</v>
      </c>
      <c r="P55" s="8">
        <v>14.966877937316895</v>
      </c>
      <c r="Q55" s="8">
        <v>14.916476249694824</v>
      </c>
      <c r="R55" s="8">
        <v>14.846986770629883</v>
      </c>
      <c r="S55" s="8">
        <v>14.771993637084961</v>
      </c>
      <c r="T55" s="8">
        <v>14.700346946716309</v>
      </c>
      <c r="U55" s="8">
        <v>14.586286544799805</v>
      </c>
      <c r="V55" s="8">
        <v>14.447264671325684</v>
      </c>
      <c r="W55" s="8">
        <v>14.388177871704102</v>
      </c>
      <c r="X55" s="8">
        <v>14.346540451049805</v>
      </c>
      <c r="Y55" s="8">
        <v>14.294939994812012</v>
      </c>
      <c r="Z55" s="8">
        <v>14.25360107421875</v>
      </c>
      <c r="AA55" s="8">
        <v>14.226720809936523</v>
      </c>
      <c r="AB55" s="8">
        <v>14.172331809997559</v>
      </c>
      <c r="AC55" s="8">
        <v>14.127926826477051</v>
      </c>
      <c r="AD55" s="8">
        <v>14.090575218200684</v>
      </c>
      <c r="AE55" s="8">
        <v>14.055492401123047</v>
      </c>
      <c r="AG55" s="8">
        <f t="shared" si="0"/>
        <v>14.457744598388672</v>
      </c>
    </row>
    <row r="56" spans="1:33" x14ac:dyDescent="0.2">
      <c r="A56" s="3" t="s">
        <v>63</v>
      </c>
      <c r="B56" s="3" t="s">
        <v>256</v>
      </c>
      <c r="C56" s="8">
        <v>42.887588500976563</v>
      </c>
      <c r="D56" s="8">
        <v>43.109199523925781</v>
      </c>
      <c r="E56" s="8">
        <v>43.706722259521484</v>
      </c>
      <c r="F56" s="8">
        <v>45.315708160400391</v>
      </c>
      <c r="G56" s="8">
        <v>44.474372863769531</v>
      </c>
      <c r="H56" s="8">
        <v>44.859989166259766</v>
      </c>
      <c r="I56" s="8">
        <v>45.045642852783203</v>
      </c>
      <c r="J56" s="8">
        <v>44.546348571777344</v>
      </c>
      <c r="K56" s="8">
        <v>43.614860534667969</v>
      </c>
      <c r="L56" s="8">
        <v>44.472431182861328</v>
      </c>
      <c r="M56" s="8">
        <v>45.028301239013672</v>
      </c>
      <c r="N56" s="8">
        <v>44.966663360595703</v>
      </c>
      <c r="O56" s="8">
        <v>44.901718139648438</v>
      </c>
      <c r="P56" s="8">
        <v>45.019683837890625</v>
      </c>
      <c r="Q56" s="8">
        <v>45.370285034179688</v>
      </c>
      <c r="R56" s="8">
        <v>49.516464233398438</v>
      </c>
      <c r="S56" s="8">
        <v>47.031551361083984</v>
      </c>
      <c r="T56" s="8">
        <v>47.300655364990234</v>
      </c>
      <c r="U56" s="8">
        <v>47.585300445556641</v>
      </c>
      <c r="V56" s="8">
        <v>47.025211334228516</v>
      </c>
      <c r="W56" s="8">
        <v>46.704299926757813</v>
      </c>
      <c r="X56" s="8">
        <v>46.419837951660156</v>
      </c>
      <c r="Y56" s="8">
        <v>45.465312957763672</v>
      </c>
      <c r="Z56" s="8">
        <v>44.599403381347656</v>
      </c>
      <c r="AA56" s="8">
        <v>43.789882659912109</v>
      </c>
      <c r="AB56" s="8">
        <v>43.592464447021484</v>
      </c>
      <c r="AC56" s="8">
        <v>43.207233428955078</v>
      </c>
      <c r="AD56" s="8">
        <v>43.002414703369141</v>
      </c>
      <c r="AE56" s="8"/>
      <c r="AG56" s="8">
        <f t="shared" si="0"/>
        <v>46.275489460338243</v>
      </c>
    </row>
    <row r="57" spans="1:33" x14ac:dyDescent="0.2">
      <c r="A57" s="3" t="s">
        <v>68</v>
      </c>
      <c r="B57" s="3" t="s">
        <v>261</v>
      </c>
      <c r="C57" s="8">
        <v>52.750629425048828</v>
      </c>
      <c r="D57" s="8">
        <v>51.701522827148438</v>
      </c>
      <c r="E57" s="8">
        <v>50.313591003417969</v>
      </c>
      <c r="F57" s="8">
        <v>49.430774688720703</v>
      </c>
      <c r="G57" s="8">
        <v>48.893756866455078</v>
      </c>
      <c r="H57" s="8">
        <v>48.336139678955078</v>
      </c>
      <c r="I57" s="8">
        <v>47.703334808349609</v>
      </c>
      <c r="J57" s="8">
        <v>47.470008850097656</v>
      </c>
      <c r="K57" s="8">
        <v>47.181400299072266</v>
      </c>
      <c r="L57" s="8">
        <v>46.917812347412109</v>
      </c>
      <c r="M57" s="8">
        <v>46.688480377197266</v>
      </c>
      <c r="N57" s="8">
        <v>45.943431854248047</v>
      </c>
      <c r="O57" s="8">
        <v>44.268489837646484</v>
      </c>
      <c r="P57" s="8">
        <v>42.893146514892578</v>
      </c>
      <c r="Q57" s="8">
        <v>42.149822235107422</v>
      </c>
      <c r="R57" s="8">
        <v>41.766853332519531</v>
      </c>
      <c r="S57" s="8">
        <v>41.366050720214844</v>
      </c>
      <c r="T57" s="8">
        <v>40.900699615478516</v>
      </c>
      <c r="U57" s="8">
        <v>40.479999542236328</v>
      </c>
      <c r="V57" s="8">
        <v>40.129508972167969</v>
      </c>
      <c r="W57" s="8">
        <v>40.312232971191406</v>
      </c>
      <c r="X57" s="8">
        <v>40.116054534912109</v>
      </c>
      <c r="Y57" s="8">
        <v>40.142593383789063</v>
      </c>
      <c r="Z57" s="8">
        <v>40.111190795898438</v>
      </c>
      <c r="AA57" s="8">
        <v>39.957027435302734</v>
      </c>
      <c r="AB57" s="8">
        <v>39.815814971923828</v>
      </c>
      <c r="AC57" s="8">
        <v>39.842170715332031</v>
      </c>
      <c r="AD57" s="8">
        <v>39.403602600097656</v>
      </c>
      <c r="AE57" s="8"/>
      <c r="AG57" s="8">
        <f t="shared" si="0"/>
        <v>40.463456934148617</v>
      </c>
    </row>
    <row r="58" spans="1:33" x14ac:dyDescent="0.2">
      <c r="A58" s="3" t="s">
        <v>65</v>
      </c>
      <c r="B58" s="3" t="s">
        <v>258</v>
      </c>
      <c r="C58" s="8">
        <v>55.612892150878906</v>
      </c>
      <c r="D58" s="8">
        <v>54.206241607666016</v>
      </c>
      <c r="E58" s="8">
        <v>52.420764923095703</v>
      </c>
      <c r="F58" s="8">
        <v>64.13055419921875</v>
      </c>
      <c r="G58" s="8">
        <v>63.572345733642578</v>
      </c>
      <c r="H58" s="8">
        <v>63.364555358886719</v>
      </c>
      <c r="I58" s="8">
        <v>64.248748779296875</v>
      </c>
      <c r="J58" s="8">
        <v>64.991424560546875</v>
      </c>
      <c r="K58" s="8">
        <v>64.549102783203125</v>
      </c>
      <c r="L58" s="8">
        <v>65.013175964355469</v>
      </c>
      <c r="M58" s="8">
        <v>66.357429504394531</v>
      </c>
      <c r="N58" s="8">
        <v>66.438766479492188</v>
      </c>
      <c r="O58" s="8">
        <v>66.137138366699219</v>
      </c>
      <c r="P58" s="8">
        <v>65.761550903320313</v>
      </c>
      <c r="Q58" s="8">
        <v>64.85552978515625</v>
      </c>
      <c r="R58" s="8">
        <v>63.798427581787109</v>
      </c>
      <c r="S58" s="8">
        <v>63.459770202636719</v>
      </c>
      <c r="T58" s="8">
        <v>62.100231170654297</v>
      </c>
      <c r="U58" s="8">
        <v>60.722332000732422</v>
      </c>
      <c r="V58" s="8">
        <v>61.176979064941406</v>
      </c>
      <c r="W58" s="8">
        <v>60.772789001464844</v>
      </c>
      <c r="X58" s="8">
        <v>60.522861480712891</v>
      </c>
      <c r="Y58" s="8">
        <v>60.197311401367188</v>
      </c>
      <c r="Z58" s="8">
        <v>59.609149932861328</v>
      </c>
      <c r="AA58" s="8">
        <v>58.995594024658203</v>
      </c>
      <c r="AB58" s="8">
        <v>58.344467163085938</v>
      </c>
      <c r="AC58" s="8">
        <v>57.439022064208984</v>
      </c>
      <c r="AD58" s="8">
        <v>57.044727325439453</v>
      </c>
      <c r="AE58" s="8">
        <v>56.558139801025391</v>
      </c>
      <c r="AG58" s="8">
        <f t="shared" si="0"/>
        <v>60.881810274991125</v>
      </c>
    </row>
    <row r="59" spans="1:33" x14ac:dyDescent="0.2">
      <c r="A59" s="3" t="s">
        <v>47</v>
      </c>
      <c r="B59" s="3" t="s">
        <v>240</v>
      </c>
      <c r="C59" s="8">
        <v>16.671306610107422</v>
      </c>
      <c r="D59" s="8">
        <v>16.483053207397461</v>
      </c>
      <c r="E59" s="8">
        <v>16.299106597900391</v>
      </c>
      <c r="F59" s="8">
        <v>16.15736198425293</v>
      </c>
      <c r="G59" s="8">
        <v>16.054903030395508</v>
      </c>
      <c r="H59" s="8">
        <v>15.973368644714355</v>
      </c>
      <c r="I59" s="8">
        <v>15.885316848754883</v>
      </c>
      <c r="J59" s="8">
        <v>15.790488243103027</v>
      </c>
      <c r="K59" s="8">
        <v>15.735127449035645</v>
      </c>
      <c r="L59" s="8">
        <v>15.679186820983887</v>
      </c>
      <c r="M59" s="8">
        <v>15.650345802307129</v>
      </c>
      <c r="N59" s="8">
        <v>15.559358596801758</v>
      </c>
      <c r="O59" s="8">
        <v>15.480889320373535</v>
      </c>
      <c r="P59" s="8">
        <v>15.404288291931152</v>
      </c>
      <c r="Q59" s="8">
        <v>15.387752532958984</v>
      </c>
      <c r="R59" s="8">
        <v>15.35446834564209</v>
      </c>
      <c r="S59" s="8">
        <v>15.315201759338379</v>
      </c>
      <c r="T59" s="8">
        <v>15.300254821777344</v>
      </c>
      <c r="U59" s="8">
        <v>15.255112648010254</v>
      </c>
      <c r="V59" s="8">
        <v>15.19289493560791</v>
      </c>
      <c r="W59" s="8">
        <v>15.175193786621094</v>
      </c>
      <c r="X59" s="8">
        <v>15.179659843444824</v>
      </c>
      <c r="Y59" s="8">
        <v>15.1768798828125</v>
      </c>
      <c r="Z59" s="8">
        <v>15.16892147064209</v>
      </c>
      <c r="AA59" s="8">
        <v>15.167654037475586</v>
      </c>
      <c r="AB59" s="8">
        <v>15.126469612121582</v>
      </c>
      <c r="AC59" s="8">
        <v>15.094693183898926</v>
      </c>
      <c r="AD59" s="8">
        <v>15.07215690612793</v>
      </c>
      <c r="AE59" s="8">
        <v>15.039570808410645</v>
      </c>
      <c r="AG59" s="8">
        <f t="shared" si="0"/>
        <v>15.21933737668124</v>
      </c>
    </row>
    <row r="60" spans="1:33" x14ac:dyDescent="0.2">
      <c r="A60" s="3" t="s">
        <v>66</v>
      </c>
      <c r="B60" s="3" t="s">
        <v>259</v>
      </c>
      <c r="C60" s="8">
        <v>40.800056457519531</v>
      </c>
      <c r="D60" s="8">
        <v>40.412334442138672</v>
      </c>
      <c r="E60" s="8">
        <v>40.33795166015625</v>
      </c>
      <c r="F60" s="8">
        <v>40.203868865966797</v>
      </c>
      <c r="G60" s="8">
        <v>40.134487152099609</v>
      </c>
      <c r="H60" s="8">
        <v>40.184051513671875</v>
      </c>
      <c r="I60" s="8">
        <v>40.113990783691406</v>
      </c>
      <c r="J60" s="8">
        <v>40.233707427978516</v>
      </c>
      <c r="K60" s="8">
        <v>40.116455078125</v>
      </c>
      <c r="L60" s="8">
        <v>40.298923492431641</v>
      </c>
      <c r="M60" s="8">
        <v>39.675777435302734</v>
      </c>
      <c r="N60" s="8">
        <v>39.232028961181641</v>
      </c>
      <c r="O60" s="8">
        <v>39.408397674560547</v>
      </c>
      <c r="P60" s="8">
        <v>39.153560638427734</v>
      </c>
      <c r="Q60" s="8">
        <v>39.013534545898438</v>
      </c>
      <c r="R60" s="8">
        <v>38.887638092041016</v>
      </c>
      <c r="S60" s="8">
        <v>38.631591796875</v>
      </c>
      <c r="T60" s="31">
        <v>38.300792694091797</v>
      </c>
      <c r="U60" s="8">
        <v>37.94488525390625</v>
      </c>
      <c r="V60" s="8">
        <v>37.753368377685547</v>
      </c>
      <c r="W60" s="8">
        <v>37.923954010009766</v>
      </c>
      <c r="X60" s="8">
        <v>37.85418701171875</v>
      </c>
      <c r="Y60" s="8">
        <v>37.773811340332031</v>
      </c>
      <c r="Z60" s="8">
        <v>38.060897827148438</v>
      </c>
      <c r="AA60" s="8">
        <v>37.880928039550781</v>
      </c>
      <c r="AB60" s="8">
        <v>37.939140319824219</v>
      </c>
      <c r="AC60" s="8">
        <v>38.033409118652344</v>
      </c>
      <c r="AD60" s="8">
        <v>38.257102966308594</v>
      </c>
      <c r="AE60" s="8">
        <v>38.204689025878906</v>
      </c>
      <c r="AG60" s="8">
        <f t="shared" si="0"/>
        <v>38.086472251198508</v>
      </c>
    </row>
    <row r="61" spans="1:33" x14ac:dyDescent="0.2">
      <c r="A61" s="3" t="s">
        <v>71</v>
      </c>
      <c r="B61" s="3" t="s">
        <v>264</v>
      </c>
      <c r="C61" s="8">
        <v>28.762678146362305</v>
      </c>
      <c r="D61" s="8">
        <v>28.495588302612305</v>
      </c>
      <c r="E61" s="8">
        <v>28.412654876708984</v>
      </c>
      <c r="F61" s="8">
        <v>28.319284439086914</v>
      </c>
      <c r="G61" s="8">
        <v>28.339376449584961</v>
      </c>
      <c r="H61" s="8">
        <v>28.252586364746094</v>
      </c>
      <c r="I61" s="8">
        <v>28.109001159667969</v>
      </c>
      <c r="J61" s="8">
        <v>27.912448883056641</v>
      </c>
      <c r="K61" s="8">
        <v>27.908245086669922</v>
      </c>
      <c r="L61" s="8">
        <v>27.703098297119141</v>
      </c>
      <c r="M61" s="8">
        <v>27.480962753295898</v>
      </c>
      <c r="N61" s="8">
        <v>27.243831634521484</v>
      </c>
      <c r="O61" s="8">
        <v>27.167242050170898</v>
      </c>
      <c r="P61" s="8">
        <v>27.080600738525391</v>
      </c>
      <c r="Q61" s="8">
        <v>26.980649948120117</v>
      </c>
      <c r="R61" s="8">
        <v>26.84111213684082</v>
      </c>
      <c r="S61" s="8">
        <v>26.69249153137207</v>
      </c>
      <c r="T61" s="8">
        <v>26.500160217285156</v>
      </c>
      <c r="U61" s="8">
        <v>26.334873199462891</v>
      </c>
      <c r="V61" s="8">
        <v>26.067253112792969</v>
      </c>
      <c r="W61" s="8">
        <v>25.902324676513672</v>
      </c>
      <c r="X61" s="8">
        <v>25.585302352905273</v>
      </c>
      <c r="Y61" s="8">
        <v>25.409408569335938</v>
      </c>
      <c r="Z61" s="8">
        <v>25.481805801391602</v>
      </c>
      <c r="AA61" s="8">
        <v>25.67097282409668</v>
      </c>
      <c r="AB61" s="8">
        <v>25.778112411499023</v>
      </c>
      <c r="AC61" s="8">
        <v>25.874114990234375</v>
      </c>
      <c r="AD61" s="8">
        <v>26.00764274597168</v>
      </c>
      <c r="AE61" s="8">
        <v>26.175086975097656</v>
      </c>
      <c r="AG61" s="8">
        <f t="shared" si="0"/>
        <v>26.023983348499645</v>
      </c>
    </row>
    <row r="62" spans="1:33" x14ac:dyDescent="0.2">
      <c r="A62" s="3" t="s">
        <v>73</v>
      </c>
      <c r="B62" s="3" t="s">
        <v>266</v>
      </c>
      <c r="C62" s="8">
        <v>51.468944549560547</v>
      </c>
      <c r="D62" s="8">
        <v>51.556743621826172</v>
      </c>
      <c r="E62" s="8">
        <v>51.407211303710938</v>
      </c>
      <c r="F62" s="8">
        <v>51.196392059326172</v>
      </c>
      <c r="G62" s="8">
        <v>51.079387664794922</v>
      </c>
      <c r="H62" s="8">
        <v>50.676052093505859</v>
      </c>
      <c r="I62" s="8">
        <v>50.597400665283203</v>
      </c>
      <c r="J62" s="8">
        <v>50.160324096679688</v>
      </c>
      <c r="K62" s="8">
        <v>49.576377868652344</v>
      </c>
      <c r="L62" s="8">
        <v>49.040641784667969</v>
      </c>
      <c r="M62" s="8">
        <v>48.815708160400391</v>
      </c>
      <c r="N62" s="8">
        <v>48.668418884277344</v>
      </c>
      <c r="O62" s="8">
        <v>48.289760589599609</v>
      </c>
      <c r="P62" s="8">
        <v>48.131649017333984</v>
      </c>
      <c r="Q62" s="8">
        <v>48.137371063232422</v>
      </c>
      <c r="R62" s="8">
        <v>48.356868743896484</v>
      </c>
      <c r="S62" s="8">
        <v>48.392356872558594</v>
      </c>
      <c r="T62" s="8">
        <v>47.902030944824219</v>
      </c>
      <c r="U62" s="8">
        <v>47.536884307861328</v>
      </c>
      <c r="V62" s="8">
        <v>47.304737091064453</v>
      </c>
      <c r="W62" s="8">
        <v>47.105194091796875</v>
      </c>
      <c r="X62" s="8">
        <v>47.052288055419922</v>
      </c>
      <c r="Y62" s="8">
        <v>47.836025238037109</v>
      </c>
      <c r="Z62" s="8">
        <v>47.069080352783203</v>
      </c>
      <c r="AA62" s="8">
        <v>47.159137725830078</v>
      </c>
      <c r="AB62" s="8">
        <v>47.122039794921875</v>
      </c>
      <c r="AC62" s="8">
        <v>47.154613494873047</v>
      </c>
      <c r="AD62" s="8">
        <v>47.079307556152344</v>
      </c>
      <c r="AE62" s="8">
        <v>46.966190338134766</v>
      </c>
      <c r="AG62" s="8">
        <f t="shared" si="0"/>
        <v>47.530603928999469</v>
      </c>
    </row>
    <row r="63" spans="1:33" x14ac:dyDescent="0.2">
      <c r="A63" s="3" t="s">
        <v>67</v>
      </c>
      <c r="B63" s="3" t="s">
        <v>260</v>
      </c>
      <c r="C63" s="8">
        <v>46.567329406738281</v>
      </c>
      <c r="D63" s="8">
        <v>45.996303558349609</v>
      </c>
      <c r="E63" s="8">
        <v>45.985118865966797</v>
      </c>
      <c r="F63" s="8">
        <v>45.910923004150391</v>
      </c>
      <c r="G63" s="8">
        <v>45.851669311523438</v>
      </c>
      <c r="H63" s="8">
        <v>45.694538116455078</v>
      </c>
      <c r="I63" s="8">
        <v>45.483158111572266</v>
      </c>
      <c r="J63" s="8">
        <v>45.144565582275391</v>
      </c>
      <c r="K63" s="8">
        <v>44.966335296630859</v>
      </c>
      <c r="L63" s="8">
        <v>44.619705200195313</v>
      </c>
      <c r="M63" s="8">
        <v>44.263984680175781</v>
      </c>
      <c r="N63" s="8">
        <v>44.028091430664063</v>
      </c>
      <c r="O63" s="8">
        <v>43.444004058837891</v>
      </c>
      <c r="P63" s="8">
        <v>42.783470153808594</v>
      </c>
      <c r="Q63" s="8">
        <v>42.060222625732422</v>
      </c>
      <c r="R63" s="8">
        <v>41.173999786376953</v>
      </c>
      <c r="S63" s="8">
        <v>40.393768310546875</v>
      </c>
      <c r="T63" s="8">
        <v>39.200420379638672</v>
      </c>
      <c r="U63" s="8">
        <v>38.315711975097656</v>
      </c>
      <c r="V63" s="8">
        <v>37.411258697509766</v>
      </c>
      <c r="W63" s="8">
        <v>36.641223907470703</v>
      </c>
      <c r="X63" s="8">
        <v>35.585491180419922</v>
      </c>
      <c r="Y63" s="8">
        <v>34.671333312988281</v>
      </c>
      <c r="Z63" s="8">
        <v>33.580703735351563</v>
      </c>
      <c r="AA63" s="8">
        <v>32.933254241943359</v>
      </c>
      <c r="AB63" s="8">
        <v>32.138679504394531</v>
      </c>
      <c r="AC63" s="8">
        <v>30.496688842773438</v>
      </c>
      <c r="AD63" s="8">
        <v>30.123054504394531</v>
      </c>
      <c r="AE63" s="8"/>
      <c r="AG63" s="8">
        <f t="shared" si="0"/>
        <v>36.54962227561257</v>
      </c>
    </row>
    <row r="64" spans="1:33" x14ac:dyDescent="0.2">
      <c r="A64" s="3" t="s">
        <v>69</v>
      </c>
      <c r="B64" s="3" t="s">
        <v>262</v>
      </c>
      <c r="C64" s="8">
        <v>41.391925811767578</v>
      </c>
      <c r="D64" s="8">
        <v>41.210700988769531</v>
      </c>
      <c r="E64" s="8">
        <v>40.616237640380859</v>
      </c>
      <c r="F64" s="8">
        <v>41.167449951171875</v>
      </c>
      <c r="G64" s="8">
        <v>41.133220672607422</v>
      </c>
      <c r="H64" s="8">
        <v>41.206916809082031</v>
      </c>
      <c r="I64" s="8">
        <v>41.188488006591797</v>
      </c>
      <c r="J64" s="8">
        <v>40.735317230224609</v>
      </c>
      <c r="K64" s="8">
        <v>40.657562255859375</v>
      </c>
      <c r="L64" s="8">
        <v>40.518955230712891</v>
      </c>
      <c r="M64" s="8">
        <v>40.675846099853516</v>
      </c>
      <c r="N64" s="8">
        <v>40.851287841796875</v>
      </c>
      <c r="O64" s="8">
        <v>40.949783325195313</v>
      </c>
      <c r="P64" s="8">
        <v>40.672637939453125</v>
      </c>
      <c r="Q64" s="8">
        <v>41.204166412353516</v>
      </c>
      <c r="R64" s="8">
        <v>41.087104797363281</v>
      </c>
      <c r="S64" s="8">
        <v>41.452682495117188</v>
      </c>
      <c r="T64" s="8">
        <v>41.600639343261719</v>
      </c>
      <c r="U64" s="8">
        <v>42.228893280029297</v>
      </c>
      <c r="V64" s="8">
        <v>42.057918548583984</v>
      </c>
      <c r="W64" s="8">
        <v>42.295120239257813</v>
      </c>
      <c r="X64" s="8">
        <v>42.566497802734375</v>
      </c>
      <c r="Y64" s="8">
        <v>42.641895294189453</v>
      </c>
      <c r="Z64" s="8">
        <v>42.664112091064453</v>
      </c>
      <c r="AA64" s="8">
        <v>42.421566009521484</v>
      </c>
      <c r="AB64" s="8">
        <v>42.555984497070313</v>
      </c>
      <c r="AC64" s="8">
        <v>42.930591583251953</v>
      </c>
      <c r="AD64" s="8">
        <v>42.693706512451172</v>
      </c>
      <c r="AE64" s="8"/>
      <c r="AG64" s="8">
        <f t="shared" si="0"/>
        <v>42.142946763472125</v>
      </c>
    </row>
    <row r="65" spans="1:33" x14ac:dyDescent="0.2">
      <c r="A65" s="3" t="s">
        <v>75</v>
      </c>
      <c r="B65" s="3" t="s">
        <v>268</v>
      </c>
      <c r="C65" s="8">
        <v>47.938556671142578</v>
      </c>
      <c r="D65" s="8">
        <v>50.672374725341797</v>
      </c>
      <c r="E65" s="8">
        <v>50.646717071533203</v>
      </c>
      <c r="F65" s="8">
        <v>50.450332641601563</v>
      </c>
      <c r="G65" s="8">
        <v>49.849308013916016</v>
      </c>
      <c r="H65" s="8">
        <v>49.115985870361328</v>
      </c>
      <c r="I65" s="8">
        <v>49.026329040527344</v>
      </c>
      <c r="J65" s="8">
        <v>48.767154693603516</v>
      </c>
      <c r="K65" s="8">
        <v>48.172142028808594</v>
      </c>
      <c r="L65" s="8">
        <v>47.850395202636719</v>
      </c>
      <c r="M65" s="8">
        <v>47.422660827636719</v>
      </c>
      <c r="N65" s="8">
        <v>46.805248260498047</v>
      </c>
      <c r="O65" s="8">
        <v>46.669933319091797</v>
      </c>
      <c r="P65" s="8">
        <v>46.411556243896484</v>
      </c>
      <c r="Q65" s="8">
        <v>45.84967041015625</v>
      </c>
      <c r="R65" s="8">
        <v>45.600517272949219</v>
      </c>
      <c r="S65" s="8">
        <v>45.629737854003906</v>
      </c>
      <c r="T65" s="8">
        <v>45.100303649902344</v>
      </c>
      <c r="U65" s="8">
        <v>44.576923370361328</v>
      </c>
      <c r="V65" s="8">
        <v>44.660076141357422</v>
      </c>
      <c r="W65" s="8">
        <v>44.678737640380859</v>
      </c>
      <c r="X65" s="8">
        <v>44.358440399169922</v>
      </c>
      <c r="Y65" s="8">
        <v>44.014564514160156</v>
      </c>
      <c r="Z65" s="8">
        <v>44.051235198974609</v>
      </c>
      <c r="AA65" s="8">
        <v>44.100376129150391</v>
      </c>
      <c r="AB65" s="8">
        <v>44.258708953857422</v>
      </c>
      <c r="AC65" s="8">
        <v>44.131023406982422</v>
      </c>
      <c r="AD65" s="8">
        <v>43.946571350097656</v>
      </c>
      <c r="AE65" s="8"/>
      <c r="AG65" s="8">
        <f t="shared" si="0"/>
        <v>44.639056465842508</v>
      </c>
    </row>
    <row r="66" spans="1:33" x14ac:dyDescent="0.2">
      <c r="A66" s="3" t="s">
        <v>78</v>
      </c>
      <c r="B66" s="3" t="s">
        <v>271</v>
      </c>
      <c r="C66" s="8">
        <v>27.084804534912109</v>
      </c>
      <c r="D66" s="8">
        <v>26.562162399291992</v>
      </c>
      <c r="E66" s="8">
        <v>26.000675201416016</v>
      </c>
      <c r="F66" s="8">
        <v>25.485542297363281</v>
      </c>
      <c r="G66" s="8">
        <v>25.329143524169922</v>
      </c>
      <c r="H66" s="8">
        <v>25.214382171630859</v>
      </c>
      <c r="I66" s="8">
        <v>25.100421905517578</v>
      </c>
      <c r="J66" s="8">
        <v>25.007328033447266</v>
      </c>
      <c r="K66" s="8">
        <v>24.975385665893555</v>
      </c>
      <c r="L66" s="8">
        <v>24.96483039855957</v>
      </c>
      <c r="M66" s="8">
        <v>24.840902328491211</v>
      </c>
      <c r="N66" s="8">
        <v>24.670051574707031</v>
      </c>
      <c r="O66" s="8">
        <v>24.476842880249023</v>
      </c>
      <c r="P66" s="8">
        <v>24.353885650634766</v>
      </c>
      <c r="Q66" s="8">
        <v>24.216629028320313</v>
      </c>
      <c r="R66" s="8">
        <v>24.042070388793945</v>
      </c>
      <c r="S66" s="8">
        <v>23.870256423950195</v>
      </c>
      <c r="T66" s="8">
        <v>23.703115463256836</v>
      </c>
      <c r="U66" s="8">
        <v>23.411468505859375</v>
      </c>
      <c r="V66" s="8">
        <v>23.146503448486328</v>
      </c>
      <c r="W66" s="8">
        <v>23.012418746948242</v>
      </c>
      <c r="X66" s="8">
        <v>23.002538681030273</v>
      </c>
      <c r="Y66" s="8">
        <v>23.034276962280273</v>
      </c>
      <c r="Z66" s="8">
        <v>23.104331970214844</v>
      </c>
      <c r="AA66" s="8">
        <v>23.255060195922852</v>
      </c>
      <c r="AB66" s="8">
        <v>23.252143859863281</v>
      </c>
      <c r="AC66" s="8">
        <v>23.344596862792969</v>
      </c>
      <c r="AD66" s="8">
        <v>23.31645393371582</v>
      </c>
      <c r="AE66" s="8">
        <v>23.223573684692383</v>
      </c>
      <c r="AG66" s="8">
        <f t="shared" si="0"/>
        <v>23.348562240600586</v>
      </c>
    </row>
    <row r="67" spans="1:33" x14ac:dyDescent="0.2">
      <c r="A67" s="3" t="s">
        <v>84</v>
      </c>
      <c r="B67" s="3" t="s">
        <v>277</v>
      </c>
      <c r="C67" s="8">
        <v>16.9320068359375</v>
      </c>
      <c r="D67" s="8">
        <v>16.79075813293457</v>
      </c>
      <c r="E67" s="8">
        <v>16.661811828613281</v>
      </c>
      <c r="F67" s="8">
        <v>16.5833740234375</v>
      </c>
      <c r="G67" s="8">
        <v>16.542730331420898</v>
      </c>
      <c r="H67" s="8">
        <v>16.577354431152344</v>
      </c>
      <c r="I67" s="8">
        <v>16.513242721557617</v>
      </c>
      <c r="J67" s="8">
        <v>16.375953674316406</v>
      </c>
      <c r="K67" s="8">
        <v>16.273841857910156</v>
      </c>
      <c r="L67" s="8">
        <v>16.206811904907227</v>
      </c>
      <c r="M67" s="8">
        <v>16.044826507568359</v>
      </c>
      <c r="N67" s="8">
        <v>15.925678253173828</v>
      </c>
      <c r="O67" s="8">
        <v>15.762392044067383</v>
      </c>
      <c r="P67" s="8">
        <v>15.673687934875488</v>
      </c>
      <c r="Q67" s="8">
        <v>15.512532234191895</v>
      </c>
      <c r="R67" s="8">
        <v>15.354000091552734</v>
      </c>
      <c r="S67" s="8">
        <v>15.137496948242188</v>
      </c>
      <c r="T67" s="8">
        <v>15.006047248840332</v>
      </c>
      <c r="U67" s="8">
        <v>14.900070190429688</v>
      </c>
      <c r="V67" s="8">
        <v>14.696555137634277</v>
      </c>
      <c r="W67" s="8">
        <v>14.749034881591797</v>
      </c>
      <c r="X67" s="8">
        <v>14.808366775512695</v>
      </c>
      <c r="Y67" s="8">
        <v>14.905529022216797</v>
      </c>
      <c r="Z67" s="8">
        <v>15.00130558013916</v>
      </c>
      <c r="AA67" s="8">
        <v>15.058280944824219</v>
      </c>
      <c r="AB67" s="8">
        <v>15.090753555297852</v>
      </c>
      <c r="AC67" s="8">
        <v>15.096649169921875</v>
      </c>
      <c r="AD67" s="8">
        <v>15.043957710266113</v>
      </c>
      <c r="AE67" s="8">
        <v>14.996015548706055</v>
      </c>
      <c r="AG67" s="8">
        <f t="shared" ref="AG67:AG130" si="1">AVERAGE($R67:$AB67)</f>
        <v>14.973403670571066</v>
      </c>
    </row>
    <row r="68" spans="1:33" x14ac:dyDescent="0.2">
      <c r="A68" s="3" t="s">
        <v>80</v>
      </c>
      <c r="B68" s="3" t="s">
        <v>273</v>
      </c>
      <c r="C68" s="8">
        <v>26.323104858398438</v>
      </c>
      <c r="D68" s="8">
        <v>26.13134765625</v>
      </c>
      <c r="E68" s="8">
        <v>25.930332183837891</v>
      </c>
      <c r="F68" s="8">
        <v>25.7271728515625</v>
      </c>
      <c r="G68" s="8">
        <v>25.441801071166992</v>
      </c>
      <c r="H68" s="8">
        <v>25.032356262207031</v>
      </c>
      <c r="I68" s="8">
        <v>24.715343475341797</v>
      </c>
      <c r="J68" s="8">
        <v>24.362960815429688</v>
      </c>
      <c r="K68" s="8">
        <v>24.013774871826172</v>
      </c>
      <c r="L68" s="8">
        <v>23.624574661254883</v>
      </c>
      <c r="M68" s="8">
        <v>23.387630462646484</v>
      </c>
      <c r="N68" s="8">
        <v>23.158475875854492</v>
      </c>
      <c r="O68" s="8">
        <v>22.948118209838867</v>
      </c>
      <c r="P68" s="8">
        <v>22.669794082641602</v>
      </c>
      <c r="Q68" s="8">
        <v>22.303991317749023</v>
      </c>
      <c r="R68" s="8">
        <v>21.795886993408203</v>
      </c>
      <c r="S68" s="8">
        <v>21.266304016113281</v>
      </c>
      <c r="T68" s="31">
        <v>20.700939178466797</v>
      </c>
      <c r="U68" s="8">
        <v>20.192964553833008</v>
      </c>
      <c r="V68" s="8">
        <v>19.695468902587891</v>
      </c>
      <c r="W68" s="8">
        <v>19.275066375732422</v>
      </c>
      <c r="X68" s="8">
        <v>18.850730895996094</v>
      </c>
      <c r="Y68" s="8">
        <v>18.458332061767578</v>
      </c>
      <c r="Z68" s="8">
        <v>18.140811920166016</v>
      </c>
      <c r="AA68" s="8">
        <v>17.840627670288086</v>
      </c>
      <c r="AB68" s="8">
        <v>17.566015243530273</v>
      </c>
      <c r="AC68" s="8">
        <v>17.269660949707031</v>
      </c>
      <c r="AD68" s="8">
        <v>16.960294723510742</v>
      </c>
      <c r="AE68" s="8">
        <v>16.653045654296875</v>
      </c>
      <c r="AG68" s="8">
        <f t="shared" si="1"/>
        <v>19.434831619262695</v>
      </c>
    </row>
    <row r="69" spans="1:33" x14ac:dyDescent="0.2">
      <c r="A69" s="3" t="s">
        <v>79</v>
      </c>
      <c r="B69" s="3" t="s">
        <v>272</v>
      </c>
      <c r="C69" s="8">
        <v>22.722509384155273</v>
      </c>
      <c r="D69" s="8">
        <v>22.149333953857422</v>
      </c>
      <c r="E69" s="8">
        <v>21.719663619995117</v>
      </c>
      <c r="F69" s="8">
        <v>21.272235870361328</v>
      </c>
      <c r="G69" s="8">
        <v>20.879810333251953</v>
      </c>
      <c r="H69" s="8">
        <v>20.250991821289063</v>
      </c>
      <c r="I69" s="8">
        <v>19.952507019042969</v>
      </c>
      <c r="J69" s="8">
        <v>19.576122283935547</v>
      </c>
      <c r="K69" s="8">
        <v>19.407167434692383</v>
      </c>
      <c r="L69" s="8">
        <v>19.338741302490234</v>
      </c>
      <c r="M69" s="8">
        <v>19.185680389404297</v>
      </c>
      <c r="N69" s="8">
        <v>19.038862228393555</v>
      </c>
      <c r="O69" s="8">
        <v>18.854721069335938</v>
      </c>
      <c r="P69" s="8">
        <v>18.682374954223633</v>
      </c>
      <c r="Q69" s="8">
        <v>18.501169204711914</v>
      </c>
      <c r="R69" s="8">
        <v>18.253488540649414</v>
      </c>
      <c r="S69" s="8">
        <v>18.02515983581543</v>
      </c>
      <c r="T69" s="31">
        <v>17.900320053100586</v>
      </c>
      <c r="U69" s="8">
        <v>17.685661315917969</v>
      </c>
      <c r="V69" s="8">
        <v>17.432538986206055</v>
      </c>
      <c r="W69" s="8">
        <v>17.270965576171875</v>
      </c>
      <c r="X69" s="8">
        <v>17.029758453369141</v>
      </c>
      <c r="Y69" s="8">
        <v>16.739225387573242</v>
      </c>
      <c r="Z69" s="8">
        <v>16.472682952880859</v>
      </c>
      <c r="AA69" s="8">
        <v>16.233072280883789</v>
      </c>
      <c r="AB69" s="8">
        <v>15.950048446655273</v>
      </c>
      <c r="AC69" s="8">
        <v>15.743973731994629</v>
      </c>
      <c r="AD69" s="8">
        <v>15.537893295288086</v>
      </c>
      <c r="AE69" s="8">
        <v>15.284904479980469</v>
      </c>
      <c r="AG69" s="8">
        <f t="shared" si="1"/>
        <v>17.181174711747602</v>
      </c>
    </row>
    <row r="70" spans="1:33" x14ac:dyDescent="0.2">
      <c r="A70" s="3" t="s">
        <v>82</v>
      </c>
      <c r="B70" s="3" t="s">
        <v>275</v>
      </c>
      <c r="C70" s="8">
        <v>18.113857269287109</v>
      </c>
      <c r="D70" s="8">
        <v>17.994977951049805</v>
      </c>
      <c r="E70" s="8">
        <v>17.901561737060547</v>
      </c>
      <c r="F70" s="8">
        <v>17.831169128417969</v>
      </c>
      <c r="G70" s="8">
        <v>17.779630661010742</v>
      </c>
      <c r="H70" s="8">
        <v>17.765995025634766</v>
      </c>
      <c r="I70" s="8">
        <v>17.723854064941406</v>
      </c>
      <c r="J70" s="8">
        <v>17.716527938842773</v>
      </c>
      <c r="K70" s="8">
        <v>17.820423126220703</v>
      </c>
      <c r="L70" s="8">
        <v>17.873752593994141</v>
      </c>
      <c r="M70" s="8">
        <v>17.790388107299805</v>
      </c>
      <c r="N70" s="8">
        <v>17.708700180053711</v>
      </c>
      <c r="O70" s="8">
        <v>17.686943054199219</v>
      </c>
      <c r="P70" s="8">
        <v>17.649024963378906</v>
      </c>
      <c r="Q70" s="8">
        <v>17.590934753417969</v>
      </c>
      <c r="R70" s="8">
        <v>17.567771911621094</v>
      </c>
      <c r="S70" s="8">
        <v>17.37565803527832</v>
      </c>
      <c r="T70" s="8">
        <v>17.300214767456055</v>
      </c>
      <c r="U70" s="8">
        <v>16.983648300170898</v>
      </c>
      <c r="V70" s="8">
        <v>16.82139778137207</v>
      </c>
      <c r="W70" s="8">
        <v>16.584611892700195</v>
      </c>
      <c r="X70" s="8">
        <v>16.389545440673828</v>
      </c>
      <c r="Y70" s="8">
        <v>16.324916839599609</v>
      </c>
      <c r="Z70" s="8">
        <v>16.258142471313477</v>
      </c>
      <c r="AA70" s="8">
        <v>16.116867065429688</v>
      </c>
      <c r="AB70" s="8">
        <v>16.093391418457031</v>
      </c>
      <c r="AC70" s="8">
        <v>16.151973724365234</v>
      </c>
      <c r="AD70" s="8">
        <v>16.098518371582031</v>
      </c>
      <c r="AE70" s="8">
        <v>16.093971252441406</v>
      </c>
      <c r="AG70" s="8">
        <f t="shared" si="1"/>
        <v>16.710560538552024</v>
      </c>
    </row>
    <row r="71" spans="1:33" x14ac:dyDescent="0.2">
      <c r="A71" s="3" t="s">
        <v>81</v>
      </c>
      <c r="B71" s="3" t="s">
        <v>274</v>
      </c>
      <c r="C71" s="8">
        <v>18.033313751220703</v>
      </c>
      <c r="D71" s="8">
        <v>17.854377746582031</v>
      </c>
      <c r="E71" s="8">
        <v>17.702297210693359</v>
      </c>
      <c r="F71" s="8">
        <v>17.657754898071289</v>
      </c>
      <c r="G71" s="8">
        <v>17.613666534423828</v>
      </c>
      <c r="H71" s="8">
        <v>17.68889045715332</v>
      </c>
      <c r="I71" s="8">
        <v>17.570127487182617</v>
      </c>
      <c r="J71" s="8">
        <v>17.377843856811523</v>
      </c>
      <c r="K71" s="8">
        <v>17.254461288452148</v>
      </c>
      <c r="L71" s="8">
        <v>17.138225555419922</v>
      </c>
      <c r="M71" s="8">
        <v>16.944372177124023</v>
      </c>
      <c r="N71" s="8">
        <v>16.71348762512207</v>
      </c>
      <c r="O71" s="8">
        <v>16.462991714477539</v>
      </c>
      <c r="P71" s="8">
        <v>16.239114761352539</v>
      </c>
      <c r="Q71" s="8">
        <v>16.047657012939453</v>
      </c>
      <c r="R71" s="8">
        <v>15.843319892883301</v>
      </c>
      <c r="S71" s="8">
        <v>15.593533515930176</v>
      </c>
      <c r="T71" s="8">
        <v>15.400223731994629</v>
      </c>
      <c r="U71" s="8">
        <v>15.123202323913574</v>
      </c>
      <c r="V71" s="8">
        <v>14.79654598236084</v>
      </c>
      <c r="W71" s="8">
        <v>14.651790618896484</v>
      </c>
      <c r="X71" s="8">
        <v>14.587576866149902</v>
      </c>
      <c r="Y71" s="8">
        <v>14.477949142456055</v>
      </c>
      <c r="Z71" s="8">
        <v>14.487123489379883</v>
      </c>
      <c r="AA71" s="8">
        <v>14.408570289611816</v>
      </c>
      <c r="AB71" s="8">
        <v>14.256734848022461</v>
      </c>
      <c r="AC71" s="8">
        <v>13.892724990844727</v>
      </c>
      <c r="AD71" s="8">
        <v>13.802472114562988</v>
      </c>
      <c r="AE71" s="8">
        <v>13.805371284484863</v>
      </c>
      <c r="AG71" s="8">
        <f t="shared" si="1"/>
        <v>14.875142791054465</v>
      </c>
    </row>
    <row r="72" spans="1:33" x14ac:dyDescent="0.2">
      <c r="A72" s="3" t="s">
        <v>85</v>
      </c>
      <c r="B72" s="3" t="s">
        <v>278</v>
      </c>
      <c r="C72" s="8">
        <v>22.925588607788086</v>
      </c>
      <c r="D72" s="8">
        <v>22.831207275390625</v>
      </c>
      <c r="E72" s="8">
        <v>22.670310974121094</v>
      </c>
      <c r="F72" s="8">
        <v>22.560085296630859</v>
      </c>
      <c r="G72" s="8">
        <v>22.535736083984375</v>
      </c>
      <c r="H72" s="8">
        <v>22.426847457885742</v>
      </c>
      <c r="I72" s="8">
        <v>22.232696533203125</v>
      </c>
      <c r="J72" s="8">
        <v>21.91224479675293</v>
      </c>
      <c r="K72" s="8">
        <v>21.654397964477539</v>
      </c>
      <c r="L72" s="8">
        <v>21.415979385375977</v>
      </c>
      <c r="M72" s="8">
        <v>21.301267623901367</v>
      </c>
      <c r="N72" s="8">
        <v>21.041172027587891</v>
      </c>
      <c r="O72" s="8">
        <v>20.835777282714844</v>
      </c>
      <c r="P72" s="8">
        <v>20.77580451965332</v>
      </c>
      <c r="Q72" s="8">
        <v>20.761100769042969</v>
      </c>
      <c r="R72" s="8">
        <v>20.760480880737305</v>
      </c>
      <c r="S72" s="8">
        <v>20.707084655761719</v>
      </c>
      <c r="T72" s="8">
        <v>20.703126907348633</v>
      </c>
      <c r="U72" s="8">
        <v>20.668428421020508</v>
      </c>
      <c r="V72" s="8">
        <v>20.645544052124023</v>
      </c>
      <c r="W72" s="8">
        <v>20.596977233886719</v>
      </c>
      <c r="X72" s="8">
        <v>20.491296768188477</v>
      </c>
      <c r="Y72" s="8">
        <v>20.417062759399414</v>
      </c>
      <c r="Z72" s="8">
        <v>20.308788299560547</v>
      </c>
      <c r="AA72" s="8">
        <v>20.215734481811523</v>
      </c>
      <c r="AB72" s="8">
        <v>20.117715835571289</v>
      </c>
      <c r="AC72" s="8">
        <v>19.965126037597656</v>
      </c>
      <c r="AD72" s="8">
        <v>19.814519882202148</v>
      </c>
      <c r="AE72" s="8">
        <v>19.63728141784668</v>
      </c>
      <c r="AG72" s="8">
        <f t="shared" si="1"/>
        <v>20.512021845037285</v>
      </c>
    </row>
    <row r="73" spans="1:33" x14ac:dyDescent="0.2">
      <c r="A73" s="3" t="s">
        <v>86</v>
      </c>
      <c r="B73" s="3" t="s">
        <v>279</v>
      </c>
      <c r="C73" s="8">
        <v>29.117042541503906</v>
      </c>
      <c r="D73" s="8">
        <v>28.98469352722168</v>
      </c>
      <c r="E73" s="8">
        <v>28.729496002197266</v>
      </c>
      <c r="F73" s="8">
        <v>28.464000701904297</v>
      </c>
      <c r="G73" s="8">
        <v>28.268352508544922</v>
      </c>
      <c r="H73" s="8">
        <v>28.141403198242188</v>
      </c>
      <c r="I73" s="8">
        <v>28.027109146118164</v>
      </c>
      <c r="J73" s="8">
        <v>27.869173049926758</v>
      </c>
      <c r="K73" s="8">
        <v>27.727777481079102</v>
      </c>
      <c r="L73" s="8">
        <v>27.619495391845703</v>
      </c>
      <c r="M73" s="8">
        <v>27.516921997070313</v>
      </c>
      <c r="N73" s="8">
        <v>27.421474456787109</v>
      </c>
      <c r="O73" s="8">
        <v>27.318990707397461</v>
      </c>
      <c r="P73" s="8">
        <v>27.253713607788086</v>
      </c>
      <c r="Q73" s="8">
        <v>27.150197982788086</v>
      </c>
      <c r="R73" s="8">
        <v>27.008926391601563</v>
      </c>
      <c r="S73" s="8">
        <v>26.926532745361328</v>
      </c>
      <c r="T73" s="8">
        <v>26.800912857055664</v>
      </c>
      <c r="U73" s="8">
        <v>26.612842559814453</v>
      </c>
      <c r="V73" s="8">
        <v>26.395919799804688</v>
      </c>
      <c r="W73" s="8">
        <v>26.247173309326172</v>
      </c>
      <c r="X73" s="8">
        <v>26.212728500366211</v>
      </c>
      <c r="Y73" s="8">
        <v>26.1656494140625</v>
      </c>
      <c r="Z73" s="8">
        <v>26.029495239257813</v>
      </c>
      <c r="AA73" s="8">
        <v>26.014705657958984</v>
      </c>
      <c r="AB73" s="8">
        <v>26.034307479858398</v>
      </c>
      <c r="AC73" s="8">
        <v>26.093414306640625</v>
      </c>
      <c r="AD73" s="8">
        <v>26.098173141479492</v>
      </c>
      <c r="AE73" s="8">
        <v>26.081108093261719</v>
      </c>
      <c r="AG73" s="8">
        <f t="shared" si="1"/>
        <v>26.404472177678887</v>
      </c>
    </row>
    <row r="74" spans="1:33" x14ac:dyDescent="0.2">
      <c r="A74" s="3" t="s">
        <v>87</v>
      </c>
      <c r="B74" s="3" t="s">
        <v>280</v>
      </c>
      <c r="C74" s="8">
        <v>34.378330230712891</v>
      </c>
      <c r="D74" s="8">
        <v>34.338191986083984</v>
      </c>
      <c r="E74" s="8">
        <v>34.205310821533203</v>
      </c>
      <c r="F74" s="8">
        <v>33.788616180419922</v>
      </c>
      <c r="G74" s="8">
        <v>33.746204376220703</v>
      </c>
      <c r="H74" s="8">
        <v>33.658344268798828</v>
      </c>
      <c r="I74" s="8">
        <v>33.189888000488281</v>
      </c>
      <c r="J74" s="8">
        <v>32.809524536132813</v>
      </c>
      <c r="K74" s="8">
        <v>32.644577026367188</v>
      </c>
      <c r="L74" s="8">
        <v>32.612430572509766</v>
      </c>
      <c r="M74" s="8">
        <v>32.4512939453125</v>
      </c>
      <c r="N74" s="8">
        <v>32.250789642333984</v>
      </c>
      <c r="O74" s="8">
        <v>32.524620056152344</v>
      </c>
      <c r="P74" s="8">
        <v>32.636104583740234</v>
      </c>
      <c r="Q74" s="8">
        <v>32.585624694824219</v>
      </c>
      <c r="R74" s="8">
        <v>32.448680877685547</v>
      </c>
      <c r="S74" s="8">
        <v>32.505146026611328</v>
      </c>
      <c r="T74" s="8">
        <v>32.501922607421875</v>
      </c>
      <c r="U74" s="8">
        <v>32.303508758544922</v>
      </c>
      <c r="V74" s="8">
        <v>32.159675598144531</v>
      </c>
      <c r="W74" s="8">
        <v>31.951496124267578</v>
      </c>
      <c r="X74" s="8">
        <v>31.904550552368164</v>
      </c>
      <c r="Y74" s="8">
        <v>31.815607070922852</v>
      </c>
      <c r="Z74" s="8">
        <v>31.773012161254883</v>
      </c>
      <c r="AA74" s="8">
        <v>31.734218597412109</v>
      </c>
      <c r="AB74" s="8">
        <v>31.724681854248047</v>
      </c>
      <c r="AC74" s="8">
        <v>31.798721313476563</v>
      </c>
      <c r="AD74" s="8">
        <v>31.776714324951172</v>
      </c>
      <c r="AE74" s="8">
        <v>31.724811553955078</v>
      </c>
      <c r="AG74" s="8">
        <f t="shared" si="1"/>
        <v>32.074772748080164</v>
      </c>
    </row>
    <row r="75" spans="1:33" x14ac:dyDescent="0.2">
      <c r="A75" s="3" t="s">
        <v>89</v>
      </c>
      <c r="B75" s="3" t="s">
        <v>282</v>
      </c>
      <c r="C75" s="8">
        <v>11.725110054016113</v>
      </c>
      <c r="D75" s="8">
        <v>11.589923858642578</v>
      </c>
      <c r="E75" s="8">
        <v>11.456301689147949</v>
      </c>
      <c r="F75" s="8">
        <v>11.337201118469238</v>
      </c>
      <c r="G75" s="8">
        <v>11.221928596496582</v>
      </c>
      <c r="H75" s="8">
        <v>11.119105339050293</v>
      </c>
      <c r="I75" s="8">
        <v>11.01300048828125</v>
      </c>
      <c r="J75" s="8">
        <v>10.920208930969238</v>
      </c>
      <c r="K75" s="8">
        <v>10.805789947509766</v>
      </c>
      <c r="L75" s="8">
        <v>10.696807861328125</v>
      </c>
      <c r="M75" s="8">
        <v>10.611603736877441</v>
      </c>
      <c r="N75" s="8">
        <v>10.533671379089355</v>
      </c>
      <c r="O75" s="8">
        <v>10.460753440856934</v>
      </c>
      <c r="P75" s="8">
        <v>10.41679573059082</v>
      </c>
      <c r="Q75" s="8">
        <v>10.394816398620605</v>
      </c>
      <c r="R75" s="8">
        <v>10.373858451843262</v>
      </c>
      <c r="S75" s="8">
        <v>10.354666709899902</v>
      </c>
      <c r="T75" s="8">
        <v>10.300143241882324</v>
      </c>
      <c r="U75" s="8">
        <v>10.271997451782227</v>
      </c>
      <c r="V75" s="8">
        <v>10.22944164276123</v>
      </c>
      <c r="W75" s="8">
        <v>10.231642723083496</v>
      </c>
      <c r="X75" s="8">
        <v>10.215290069580078</v>
      </c>
      <c r="Y75" s="8">
        <v>10.207785606384277</v>
      </c>
      <c r="Z75" s="8">
        <v>10.213778495788574</v>
      </c>
      <c r="AA75" s="8">
        <v>10.219457626342773</v>
      </c>
      <c r="AB75" s="8">
        <v>10.213905334472656</v>
      </c>
      <c r="AC75" s="8">
        <v>10.212501525878906</v>
      </c>
      <c r="AD75" s="8">
        <v>10.212284088134766</v>
      </c>
      <c r="AE75" s="8">
        <v>10.196504592895508</v>
      </c>
      <c r="AG75" s="8">
        <f t="shared" si="1"/>
        <v>10.257451577620072</v>
      </c>
    </row>
    <row r="76" spans="1:33" x14ac:dyDescent="0.2">
      <c r="A76" s="3" t="s">
        <v>88</v>
      </c>
      <c r="B76" s="3" t="s">
        <v>281</v>
      </c>
      <c r="C76" s="8">
        <v>17.473674774169922</v>
      </c>
      <c r="D76" s="8">
        <v>17.795417785644531</v>
      </c>
      <c r="E76" s="8">
        <v>17.843700408935547</v>
      </c>
      <c r="F76" s="8">
        <v>17.81096076965332</v>
      </c>
      <c r="G76" s="8">
        <v>17.734476089477539</v>
      </c>
      <c r="H76" s="8">
        <v>17.776096343994141</v>
      </c>
      <c r="I76" s="8">
        <v>17.614891052246094</v>
      </c>
      <c r="J76" s="8">
        <v>17.501926422119141</v>
      </c>
      <c r="K76" s="8">
        <v>17.534749984741211</v>
      </c>
      <c r="L76" s="8">
        <v>17.489740371704102</v>
      </c>
      <c r="M76" s="8">
        <v>17.475038528442383</v>
      </c>
      <c r="N76" s="8">
        <v>17.468843460083008</v>
      </c>
      <c r="O76" s="8">
        <v>17.469223022460938</v>
      </c>
      <c r="P76" s="8">
        <v>17.414211273193359</v>
      </c>
      <c r="Q76" s="8">
        <v>17.423471450805664</v>
      </c>
      <c r="R76" s="8">
        <v>17.317571640014648</v>
      </c>
      <c r="S76" s="8">
        <v>17.186212539672852</v>
      </c>
      <c r="T76" s="8">
        <v>17.200166702270508</v>
      </c>
      <c r="U76" s="8">
        <v>16.971271514892578</v>
      </c>
      <c r="V76" s="8">
        <v>16.834953308105469</v>
      </c>
      <c r="W76" s="8">
        <v>16.721639633178711</v>
      </c>
      <c r="X76" s="8">
        <v>16.600261688232422</v>
      </c>
      <c r="Y76" s="8">
        <v>16.502002716064453</v>
      </c>
      <c r="Z76" s="8">
        <v>16.292793273925781</v>
      </c>
      <c r="AA76" s="8">
        <v>16.170566558837891</v>
      </c>
      <c r="AB76" s="8">
        <v>16.057147979736328</v>
      </c>
      <c r="AC76" s="8">
        <v>15.873798370361328</v>
      </c>
      <c r="AD76" s="8">
        <v>15.824355125427246</v>
      </c>
      <c r="AE76" s="8">
        <v>15.758955001831055</v>
      </c>
      <c r="AG76" s="8">
        <f t="shared" si="1"/>
        <v>16.714053414084695</v>
      </c>
    </row>
    <row r="77" spans="1:33" x14ac:dyDescent="0.2">
      <c r="A77" s="3" t="s">
        <v>90</v>
      </c>
      <c r="B77" s="3" t="s">
        <v>283</v>
      </c>
      <c r="C77" s="8">
        <v>39.575523376464844</v>
      </c>
      <c r="D77" s="8">
        <v>38.695388793945313</v>
      </c>
      <c r="E77" s="8">
        <v>38.087089538574219</v>
      </c>
      <c r="F77" s="8">
        <v>37.437515258789063</v>
      </c>
      <c r="G77" s="8">
        <v>36.471576690673828</v>
      </c>
      <c r="H77" s="8">
        <v>36.310630798339844</v>
      </c>
      <c r="I77" s="8">
        <v>36.856483459472656</v>
      </c>
      <c r="J77" s="8">
        <v>37.208835601806641</v>
      </c>
      <c r="K77" s="8">
        <v>37.466232299804688</v>
      </c>
      <c r="L77" s="8">
        <v>37.478797912597656</v>
      </c>
      <c r="M77" s="8">
        <v>37.735984802246094</v>
      </c>
      <c r="N77" s="8">
        <v>38.278579711914063</v>
      </c>
      <c r="O77" s="8">
        <v>38.534133911132813</v>
      </c>
      <c r="P77" s="8">
        <v>38.860038757324219</v>
      </c>
      <c r="Q77" s="8">
        <v>39.022502899169922</v>
      </c>
      <c r="R77" s="8">
        <v>38.954334259033203</v>
      </c>
      <c r="S77" s="8">
        <v>38.731422424316406</v>
      </c>
      <c r="T77" s="8">
        <v>38.400150299072266</v>
      </c>
      <c r="U77" s="8">
        <v>38.193084716796875</v>
      </c>
      <c r="V77" s="8">
        <v>37.707881927490234</v>
      </c>
      <c r="W77" s="8">
        <v>37.538291931152344</v>
      </c>
      <c r="X77" s="8">
        <v>37.285549163818359</v>
      </c>
      <c r="Y77" s="8">
        <v>37.040672302246094</v>
      </c>
      <c r="Z77" s="8">
        <v>36.828777313232422</v>
      </c>
      <c r="AA77" s="8">
        <v>36.364524841308594</v>
      </c>
      <c r="AB77" s="8">
        <v>35.970626831054688</v>
      </c>
      <c r="AC77" s="8">
        <v>35.466030120849609</v>
      </c>
      <c r="AD77" s="8">
        <v>35.082260131835938</v>
      </c>
      <c r="AE77" s="8">
        <v>34.803569793701172</v>
      </c>
      <c r="AG77" s="8">
        <f t="shared" si="1"/>
        <v>37.5468469099565</v>
      </c>
    </row>
    <row r="78" spans="1:33" x14ac:dyDescent="0.2">
      <c r="A78" s="3" t="s">
        <v>91</v>
      </c>
      <c r="B78" s="3" t="s">
        <v>284</v>
      </c>
      <c r="C78" s="8">
        <v>29.798599243164063</v>
      </c>
      <c r="D78" s="8">
        <v>29.846885681152344</v>
      </c>
      <c r="E78" s="8">
        <v>29.864704132080078</v>
      </c>
      <c r="F78" s="8">
        <v>30.004718780517578</v>
      </c>
      <c r="G78" s="8">
        <v>30.111625671386719</v>
      </c>
      <c r="H78" s="8">
        <v>30.199333190917969</v>
      </c>
      <c r="I78" s="8">
        <v>30.352085113525391</v>
      </c>
      <c r="J78" s="8">
        <v>30.369468688964844</v>
      </c>
      <c r="K78" s="8">
        <v>30.345207214355469</v>
      </c>
      <c r="L78" s="8">
        <v>30.37785530090332</v>
      </c>
      <c r="M78" s="8">
        <v>30.325422286987305</v>
      </c>
      <c r="N78" s="8">
        <v>30.212514877319336</v>
      </c>
      <c r="O78" s="8">
        <v>30.142971038818359</v>
      </c>
      <c r="P78" s="8">
        <v>30.062213897705078</v>
      </c>
      <c r="Q78" s="8">
        <v>30.089145660400391</v>
      </c>
      <c r="R78" s="8">
        <v>29.928895950317383</v>
      </c>
      <c r="S78" s="8">
        <v>29.694648742675781</v>
      </c>
      <c r="T78" s="8">
        <v>29.502323150634766</v>
      </c>
      <c r="U78" s="8">
        <v>29.23484992980957</v>
      </c>
      <c r="V78" s="8">
        <v>28.86231803894043</v>
      </c>
      <c r="W78" s="8">
        <v>28.517988204956055</v>
      </c>
      <c r="X78" s="8">
        <v>28.169294357299805</v>
      </c>
      <c r="Y78" s="8">
        <v>27.809965133666992</v>
      </c>
      <c r="Z78" s="8">
        <v>27.492343902587891</v>
      </c>
      <c r="AA78" s="8">
        <v>27.134504318237305</v>
      </c>
      <c r="AB78" s="8">
        <v>26.740083694458008</v>
      </c>
      <c r="AC78" s="8">
        <v>26.519405364990234</v>
      </c>
      <c r="AD78" s="8">
        <v>26.280603408813477</v>
      </c>
      <c r="AE78" s="8">
        <v>26.01829719543457</v>
      </c>
      <c r="AG78" s="8">
        <f t="shared" si="1"/>
        <v>28.462474129416726</v>
      </c>
    </row>
    <row r="79" spans="1:33" x14ac:dyDescent="0.2">
      <c r="A79" s="3" t="s">
        <v>96</v>
      </c>
      <c r="B79" s="3" t="s">
        <v>289</v>
      </c>
      <c r="C79" s="8">
        <v>36.299396514892578</v>
      </c>
      <c r="D79" s="8">
        <v>35.122524261474609</v>
      </c>
      <c r="E79" s="8">
        <v>34.045768737792969</v>
      </c>
      <c r="F79" s="8">
        <v>33.042163848876953</v>
      </c>
      <c r="G79" s="8">
        <v>32.163505554199219</v>
      </c>
      <c r="H79" s="8">
        <v>31.280305862426758</v>
      </c>
      <c r="I79" s="8">
        <v>30.411594390869141</v>
      </c>
      <c r="J79" s="8">
        <v>29.696813583374023</v>
      </c>
      <c r="K79" s="8">
        <v>28.866628646850586</v>
      </c>
      <c r="L79" s="8">
        <v>28.542724609375</v>
      </c>
      <c r="M79" s="8">
        <v>28.219955444335938</v>
      </c>
      <c r="N79" s="8">
        <v>27.770116806030273</v>
      </c>
      <c r="O79" s="8">
        <v>27.388248443603516</v>
      </c>
      <c r="P79" s="8">
        <v>26.923641204833984</v>
      </c>
      <c r="Q79" s="8">
        <v>26.610967636108398</v>
      </c>
      <c r="R79" s="8">
        <v>26.293331146240234</v>
      </c>
      <c r="S79" s="8">
        <v>25.94517707824707</v>
      </c>
      <c r="T79" s="8">
        <v>25.600278854370117</v>
      </c>
      <c r="U79" s="8">
        <v>25.239955902099609</v>
      </c>
      <c r="V79" s="8">
        <v>24.865625381469727</v>
      </c>
      <c r="W79" s="8">
        <v>24.613712310791016</v>
      </c>
      <c r="X79" s="8">
        <v>24.366142272949219</v>
      </c>
      <c r="Y79" s="8">
        <v>24.191593170166016</v>
      </c>
      <c r="Z79" s="8">
        <v>24.030796051025391</v>
      </c>
      <c r="AA79" s="8">
        <v>23.901079177856445</v>
      </c>
      <c r="AB79" s="8">
        <v>23.724531173706055</v>
      </c>
      <c r="AC79" s="8">
        <v>23.508865356445313</v>
      </c>
      <c r="AD79" s="8">
        <v>23.270727157592773</v>
      </c>
      <c r="AE79" s="8">
        <v>23.030208587646484</v>
      </c>
      <c r="AG79" s="8">
        <f t="shared" si="1"/>
        <v>24.797474774447355</v>
      </c>
    </row>
    <row r="80" spans="1:33" x14ac:dyDescent="0.2">
      <c r="A80" s="3" t="s">
        <v>97</v>
      </c>
      <c r="B80" s="3" t="s">
        <v>290</v>
      </c>
      <c r="C80" s="8"/>
      <c r="D80" s="8"/>
      <c r="E80" s="8">
        <v>17.502666473388672</v>
      </c>
      <c r="F80" s="8">
        <v>17.761985778808594</v>
      </c>
      <c r="G80" s="8">
        <v>17.509321212768555</v>
      </c>
      <c r="H80" s="8">
        <v>17.400238037109375</v>
      </c>
      <c r="I80" s="8">
        <v>17.784963607788086</v>
      </c>
      <c r="J80" s="8">
        <v>17.855478286743164</v>
      </c>
      <c r="K80" s="8">
        <v>17.587898254394531</v>
      </c>
      <c r="L80" s="8">
        <v>17.481756210327148</v>
      </c>
      <c r="M80" s="8">
        <v>17.609649658203125</v>
      </c>
      <c r="N80" s="8">
        <v>17.504398345947266</v>
      </c>
      <c r="O80" s="8">
        <v>17.604181289672852</v>
      </c>
      <c r="P80" s="8">
        <v>17.697938919067383</v>
      </c>
      <c r="Q80" s="8">
        <v>17.843254089355469</v>
      </c>
      <c r="R80" s="8">
        <v>17.935600280761719</v>
      </c>
      <c r="S80" s="8">
        <v>17.90087890625</v>
      </c>
      <c r="T80" s="8">
        <v>17.542678833007813</v>
      </c>
      <c r="U80" s="8">
        <v>17.123464584350586</v>
      </c>
      <c r="V80" s="8">
        <v>16.748722076416016</v>
      </c>
      <c r="W80" s="8">
        <v>16.677959442138672</v>
      </c>
      <c r="X80" s="8">
        <v>16.443605422973633</v>
      </c>
      <c r="Y80" s="8">
        <v>16.286184310913086</v>
      </c>
      <c r="Z80" s="8">
        <v>15.929121971130371</v>
      </c>
      <c r="AA80" s="8">
        <v>15.671114921569824</v>
      </c>
      <c r="AB80" s="8">
        <v>15.309465408325195</v>
      </c>
      <c r="AC80" s="8">
        <v>14.959810256958008</v>
      </c>
      <c r="AD80" s="8">
        <v>14.735454559326172</v>
      </c>
      <c r="AE80" s="8">
        <v>14.535524368286133</v>
      </c>
      <c r="AG80" s="8">
        <f t="shared" si="1"/>
        <v>16.688072377985176</v>
      </c>
    </row>
    <row r="81" spans="1:33" x14ac:dyDescent="0.2">
      <c r="A81" s="3" t="s">
        <v>92</v>
      </c>
      <c r="B81" s="3" t="s">
        <v>285</v>
      </c>
      <c r="C81" s="8">
        <v>34.399524688720703</v>
      </c>
      <c r="D81" s="8">
        <v>35.144439697265625</v>
      </c>
      <c r="E81" s="8">
        <v>35.103675842285156</v>
      </c>
      <c r="F81" s="8">
        <v>35.002872467041016</v>
      </c>
      <c r="G81" s="8">
        <v>35.152511596679688</v>
      </c>
      <c r="H81" s="8">
        <v>35.036128997802734</v>
      </c>
      <c r="I81" s="8">
        <v>34.764404296875</v>
      </c>
      <c r="J81" s="8">
        <v>36.830501556396484</v>
      </c>
      <c r="K81" s="8">
        <v>37.477077484130859</v>
      </c>
      <c r="L81" s="8">
        <v>38.048919677734375</v>
      </c>
      <c r="M81" s="8">
        <v>38.099712371826172</v>
      </c>
      <c r="N81" s="8">
        <v>38.239784240722656</v>
      </c>
      <c r="O81" s="8">
        <v>38.522590637207031</v>
      </c>
      <c r="P81" s="8">
        <v>38.868389129638672</v>
      </c>
      <c r="Q81" s="8">
        <v>39.006080627441406</v>
      </c>
      <c r="R81" s="8">
        <v>39.246906280517578</v>
      </c>
      <c r="S81" s="8">
        <v>38.973293304443359</v>
      </c>
      <c r="T81" s="8">
        <v>38.800872802734375</v>
      </c>
      <c r="U81" s="8">
        <v>38.500560760498047</v>
      </c>
      <c r="V81" s="8">
        <v>37.990047454833984</v>
      </c>
      <c r="W81" s="8">
        <v>37.457569122314453</v>
      </c>
      <c r="X81" s="8">
        <v>37.034042358398438</v>
      </c>
      <c r="Y81" s="8">
        <v>36.735080718994141</v>
      </c>
      <c r="Z81" s="8">
        <v>36.635787963867188</v>
      </c>
      <c r="AA81" s="8">
        <v>36.806331634521484</v>
      </c>
      <c r="AB81" s="8">
        <v>36.623634338378906</v>
      </c>
      <c r="AC81" s="8">
        <v>36.412666320800781</v>
      </c>
      <c r="AD81" s="8">
        <v>35.981204986572266</v>
      </c>
      <c r="AE81" s="8">
        <v>35.530288696289063</v>
      </c>
      <c r="AG81" s="8">
        <f t="shared" si="1"/>
        <v>37.709466067227453</v>
      </c>
    </row>
    <row r="82" spans="1:33" x14ac:dyDescent="0.2">
      <c r="A82" s="3" t="s">
        <v>98</v>
      </c>
      <c r="B82" s="3" t="s">
        <v>291</v>
      </c>
      <c r="C82" s="8">
        <v>41.260631561279297</v>
      </c>
      <c r="D82" s="8">
        <v>40.131874084472656</v>
      </c>
      <c r="E82" s="8">
        <v>39.153923034667969</v>
      </c>
      <c r="F82" s="8">
        <v>38.259021759033203</v>
      </c>
      <c r="G82" s="8">
        <v>37.277542114257813</v>
      </c>
      <c r="H82" s="8">
        <v>36.433807373046875</v>
      </c>
      <c r="I82" s="8">
        <v>35.479179382324219</v>
      </c>
      <c r="J82" s="8">
        <v>34.664623260498047</v>
      </c>
      <c r="K82" s="8">
        <v>34.069625854492188</v>
      </c>
      <c r="L82" s="8">
        <v>33.190456390380859</v>
      </c>
      <c r="M82" s="8">
        <v>32.817966461181641</v>
      </c>
      <c r="N82" s="8">
        <v>32.436134338378906</v>
      </c>
      <c r="O82" s="8">
        <v>31.481864929199219</v>
      </c>
      <c r="P82" s="8">
        <v>31.076272964477539</v>
      </c>
      <c r="Q82" s="8">
        <v>30.402034759521484</v>
      </c>
      <c r="R82" s="8">
        <v>29.767936706542969</v>
      </c>
      <c r="S82" s="8">
        <v>29.012712478637695</v>
      </c>
      <c r="T82" s="8">
        <v>27.999967575073242</v>
      </c>
      <c r="U82" s="8">
        <v>27.186304092407227</v>
      </c>
      <c r="V82" s="8">
        <v>26.10316276550293</v>
      </c>
      <c r="W82" s="8">
        <v>25.822439193725586</v>
      </c>
      <c r="X82" s="8">
        <v>25.330585479736328</v>
      </c>
      <c r="Y82" s="8">
        <v>24.474269866943359</v>
      </c>
      <c r="Z82" s="8">
        <v>23.576234817504883</v>
      </c>
      <c r="AA82" s="8">
        <v>23.088596343994141</v>
      </c>
      <c r="AB82" s="8">
        <v>22.441873550415039</v>
      </c>
      <c r="AC82" s="8">
        <v>22.030981063842773</v>
      </c>
      <c r="AD82" s="8">
        <v>21.616317749023438</v>
      </c>
      <c r="AE82" s="8"/>
      <c r="AG82" s="8">
        <f t="shared" si="1"/>
        <v>25.891280260953035</v>
      </c>
    </row>
    <row r="83" spans="1:33" x14ac:dyDescent="0.2">
      <c r="A83" s="3" t="s">
        <v>107</v>
      </c>
      <c r="B83" s="3" t="s">
        <v>300</v>
      </c>
      <c r="C83" s="8">
        <v>27.475362777709961</v>
      </c>
      <c r="D83" s="8">
        <v>27.428531646728516</v>
      </c>
      <c r="E83" s="8">
        <v>27.033964157104492</v>
      </c>
      <c r="F83" s="8">
        <v>26.86326789855957</v>
      </c>
      <c r="G83" s="8">
        <v>26.852386474609375</v>
      </c>
      <c r="H83" s="8">
        <v>26.862886428833008</v>
      </c>
      <c r="I83" s="8">
        <v>27.151281356811523</v>
      </c>
      <c r="J83" s="8">
        <v>27.64405632019043</v>
      </c>
      <c r="K83" s="8">
        <v>27.645774841308594</v>
      </c>
      <c r="L83" s="8">
        <v>27.738180160522461</v>
      </c>
      <c r="M83" s="8">
        <v>27.577495574951172</v>
      </c>
      <c r="N83" s="8">
        <v>27.538993835449219</v>
      </c>
      <c r="O83" s="8">
        <v>27.454107284545898</v>
      </c>
      <c r="P83" s="8">
        <v>27.418888092041016</v>
      </c>
      <c r="Q83" s="8">
        <v>27.340688705444336</v>
      </c>
      <c r="R83" s="8">
        <v>27.260190963745117</v>
      </c>
      <c r="S83" s="8">
        <v>27.373477935791016</v>
      </c>
      <c r="T83" s="8">
        <v>27.202999114990234</v>
      </c>
      <c r="U83" s="8">
        <v>26.827939987182617</v>
      </c>
      <c r="V83" s="8">
        <v>26.132553100585938</v>
      </c>
      <c r="W83" s="8">
        <v>25.884908676147461</v>
      </c>
      <c r="X83" s="8">
        <v>25.963932037353516</v>
      </c>
      <c r="Y83" s="8">
        <v>26.059696197509766</v>
      </c>
      <c r="Z83" s="8">
        <v>26.195638656616211</v>
      </c>
      <c r="AA83" s="8">
        <v>26.131427764892578</v>
      </c>
      <c r="AB83" s="8">
        <v>26.129671096801758</v>
      </c>
      <c r="AC83" s="8">
        <v>26.098957061767578</v>
      </c>
      <c r="AD83" s="8">
        <v>26.089090347290039</v>
      </c>
      <c r="AE83" s="8">
        <v>26.04271125793457</v>
      </c>
      <c r="AG83" s="8">
        <f t="shared" si="1"/>
        <v>26.469312321056019</v>
      </c>
    </row>
    <row r="84" spans="1:33" x14ac:dyDescent="0.2">
      <c r="A84" s="3" t="s">
        <v>99</v>
      </c>
      <c r="B84" s="3" t="s">
        <v>292</v>
      </c>
      <c r="C84" s="8">
        <v>29.342252731323242</v>
      </c>
      <c r="D84" s="8">
        <v>30.999433517456055</v>
      </c>
      <c r="E84" s="8">
        <v>32.351036071777344</v>
      </c>
      <c r="F84" s="8">
        <v>32.285919189453125</v>
      </c>
      <c r="G84" s="8">
        <v>32.064804077148438</v>
      </c>
      <c r="H84" s="8">
        <v>31.796360015869141</v>
      </c>
      <c r="I84" s="8">
        <v>31.257143020629883</v>
      </c>
      <c r="J84" s="8">
        <v>30.533010482788086</v>
      </c>
      <c r="K84" s="8">
        <v>30.571109771728516</v>
      </c>
      <c r="L84" s="8">
        <v>30.879861831665039</v>
      </c>
      <c r="M84" s="8">
        <v>31.104526519775391</v>
      </c>
      <c r="N84" s="8">
        <v>31.280147552490234</v>
      </c>
      <c r="O84" s="8">
        <v>31.82634162902832</v>
      </c>
      <c r="P84" s="8">
        <v>32.179401397705078</v>
      </c>
      <c r="Q84" s="8">
        <v>32.343334197998047</v>
      </c>
      <c r="R84" s="8">
        <v>32.667758941650391</v>
      </c>
      <c r="S84" s="8">
        <v>32.584602355957031</v>
      </c>
      <c r="T84" s="8">
        <v>32.004299163818359</v>
      </c>
      <c r="U84" s="8">
        <v>32.192516326904297</v>
      </c>
      <c r="V84" s="8">
        <v>31.773796081542969</v>
      </c>
      <c r="W84" s="8">
        <v>31.510711669921875</v>
      </c>
      <c r="X84" s="8">
        <v>31.357002258300781</v>
      </c>
      <c r="Y84" s="8">
        <v>31.193992614746094</v>
      </c>
      <c r="Z84" s="8">
        <v>31.156126022338867</v>
      </c>
      <c r="AA84" s="8">
        <v>31.166946411132813</v>
      </c>
      <c r="AB84" s="8">
        <v>31.093591690063477</v>
      </c>
      <c r="AC84" s="8">
        <v>30.976051330566406</v>
      </c>
      <c r="AD84" s="8">
        <v>30.670780181884766</v>
      </c>
      <c r="AE84" s="8"/>
      <c r="AG84" s="8">
        <f t="shared" si="1"/>
        <v>31.700122139670633</v>
      </c>
    </row>
    <row r="85" spans="1:33" x14ac:dyDescent="0.2">
      <c r="A85" s="3" t="s">
        <v>104</v>
      </c>
      <c r="B85" s="3" t="s">
        <v>297</v>
      </c>
      <c r="C85" s="8">
        <v>35.502605438232422</v>
      </c>
      <c r="D85" s="8">
        <v>33.999137878417969</v>
      </c>
      <c r="E85" s="8">
        <v>33.370067596435547</v>
      </c>
      <c r="F85" s="8">
        <v>32.389686584472656</v>
      </c>
      <c r="G85" s="8">
        <v>31.924966812133789</v>
      </c>
      <c r="H85" s="8">
        <v>30.872674942016602</v>
      </c>
      <c r="I85" s="8">
        <v>31.014743804931641</v>
      </c>
      <c r="J85" s="8">
        <v>29.428255081176758</v>
      </c>
      <c r="K85" s="8">
        <v>29.075080871582031</v>
      </c>
      <c r="L85" s="8">
        <v>30.796169281005859</v>
      </c>
      <c r="M85" s="8">
        <v>30.593013763427734</v>
      </c>
      <c r="N85" s="8">
        <v>29.985946655273438</v>
      </c>
      <c r="O85" s="8">
        <v>29.281578063964844</v>
      </c>
      <c r="P85" s="8">
        <v>29.468482971191406</v>
      </c>
      <c r="Q85" s="8">
        <v>28.825435638427734</v>
      </c>
      <c r="R85" s="8">
        <v>28.791999816894531</v>
      </c>
      <c r="S85" s="8">
        <v>28.962152481079102</v>
      </c>
      <c r="T85" s="8">
        <v>28.801029205322266</v>
      </c>
      <c r="U85" s="8">
        <v>28.527444839477539</v>
      </c>
      <c r="V85" s="8">
        <v>28.329765319824219</v>
      </c>
      <c r="W85" s="8">
        <v>28.551992416381836</v>
      </c>
      <c r="X85" s="8">
        <v>28.171142578125</v>
      </c>
      <c r="Y85" s="8">
        <v>28.084346771240234</v>
      </c>
      <c r="Z85" s="8">
        <v>27.778499603271484</v>
      </c>
      <c r="AA85" s="8">
        <v>27.339500427246094</v>
      </c>
      <c r="AB85" s="8">
        <v>27.035295486450195</v>
      </c>
      <c r="AC85" s="8">
        <v>26.753128051757813</v>
      </c>
      <c r="AD85" s="8">
        <v>26.604288101196289</v>
      </c>
      <c r="AE85" s="8"/>
      <c r="AG85" s="8">
        <f t="shared" si="1"/>
        <v>28.215742631392047</v>
      </c>
    </row>
    <row r="86" spans="1:33" x14ac:dyDescent="0.2">
      <c r="A86" s="3" t="s">
        <v>100</v>
      </c>
      <c r="B86" s="3" t="s">
        <v>293</v>
      </c>
      <c r="C86" s="8">
        <v>39.662696838378906</v>
      </c>
      <c r="D86" s="8">
        <v>40.096607208251953</v>
      </c>
      <c r="E86" s="8">
        <v>40.49444580078125</v>
      </c>
      <c r="F86" s="8">
        <v>40.998363494873047</v>
      </c>
      <c r="G86" s="8">
        <v>41.612388610839844</v>
      </c>
      <c r="H86" s="8">
        <v>42.347370147705078</v>
      </c>
      <c r="I86" s="8">
        <v>42.622570037841797</v>
      </c>
      <c r="J86" s="8">
        <v>42.759628295898438</v>
      </c>
      <c r="K86" s="8">
        <v>42.813270568847656</v>
      </c>
      <c r="L86" s="8">
        <v>42.599849700927734</v>
      </c>
      <c r="M86" s="8">
        <v>43.925323486328125</v>
      </c>
      <c r="N86" s="8">
        <v>43.779514312744141</v>
      </c>
      <c r="O86" s="8">
        <v>43.716533660888672</v>
      </c>
      <c r="P86" s="8">
        <v>43.972438812255859</v>
      </c>
      <c r="Q86" s="8">
        <v>44.208206176757813</v>
      </c>
      <c r="R86" s="8">
        <v>44.525623321533203</v>
      </c>
      <c r="S86" s="8">
        <v>44.867790222167969</v>
      </c>
      <c r="T86" s="8">
        <v>44.200244903564453</v>
      </c>
      <c r="U86" s="8">
        <v>44.485359191894531</v>
      </c>
      <c r="V86" s="8">
        <v>44.533599853515625</v>
      </c>
      <c r="W86" s="8">
        <v>44.482101440429688</v>
      </c>
      <c r="X86" s="8">
        <v>43.071186065673828</v>
      </c>
      <c r="Y86" s="8">
        <v>41.526420593261719</v>
      </c>
      <c r="Z86" s="8">
        <v>39.995094299316406</v>
      </c>
      <c r="AA86" s="8">
        <v>40.238998413085938</v>
      </c>
      <c r="AB86" s="8">
        <v>39.108516693115234</v>
      </c>
      <c r="AC86" s="8">
        <v>38.589679718017578</v>
      </c>
      <c r="AD86" s="8">
        <v>38.353778839111328</v>
      </c>
      <c r="AE86" s="8"/>
      <c r="AG86" s="8">
        <f t="shared" si="1"/>
        <v>42.821357727050781</v>
      </c>
    </row>
    <row r="87" spans="1:33" x14ac:dyDescent="0.2">
      <c r="A87" s="3" t="s">
        <v>105</v>
      </c>
      <c r="B87" s="3" t="s">
        <v>298</v>
      </c>
      <c r="C87" s="8">
        <v>30.954874038696289</v>
      </c>
      <c r="D87" s="8">
        <v>32.230358123779297</v>
      </c>
      <c r="E87" s="8">
        <v>31.831565856933594</v>
      </c>
      <c r="F87" s="8">
        <v>31.556364059448242</v>
      </c>
      <c r="G87" s="8">
        <v>31.068130493164063</v>
      </c>
      <c r="H87" s="8">
        <v>30.792146682739258</v>
      </c>
      <c r="I87" s="8">
        <v>30.973451614379883</v>
      </c>
      <c r="J87" s="8">
        <v>31.18187141418457</v>
      </c>
      <c r="K87" s="8">
        <v>31.157314300537109</v>
      </c>
      <c r="L87" s="8">
        <v>31.250339508056641</v>
      </c>
      <c r="M87" s="8">
        <v>30.951271057128906</v>
      </c>
      <c r="N87" s="8">
        <v>30.63140869140625</v>
      </c>
      <c r="O87" s="8">
        <v>30.61482048034668</v>
      </c>
      <c r="P87" s="8">
        <v>30.702766418457031</v>
      </c>
      <c r="Q87" s="8">
        <v>30.485513687133789</v>
      </c>
      <c r="R87" s="8">
        <v>30.367916107177734</v>
      </c>
      <c r="S87" s="8">
        <v>29.978412628173828</v>
      </c>
      <c r="T87" s="8">
        <v>29.700761795043945</v>
      </c>
      <c r="U87" s="8">
        <v>29.172647476196289</v>
      </c>
      <c r="V87" s="8">
        <v>28.578353881835938</v>
      </c>
      <c r="W87" s="8">
        <v>28.330364227294922</v>
      </c>
      <c r="X87" s="8">
        <v>28.297662734985352</v>
      </c>
      <c r="Y87" s="8">
        <v>28.398857116699219</v>
      </c>
      <c r="Z87" s="8">
        <v>28.421424865722656</v>
      </c>
      <c r="AA87" s="8">
        <v>28.398164749145508</v>
      </c>
      <c r="AB87" s="8">
        <v>28.294614791870117</v>
      </c>
      <c r="AC87" s="8">
        <v>28.301450729370117</v>
      </c>
      <c r="AD87" s="8">
        <v>28.139669418334961</v>
      </c>
      <c r="AE87" s="8">
        <v>27.915773391723633</v>
      </c>
      <c r="AG87" s="8">
        <f t="shared" si="1"/>
        <v>28.903561852195047</v>
      </c>
    </row>
    <row r="88" spans="1:33" x14ac:dyDescent="0.2">
      <c r="A88" s="3" t="s">
        <v>106</v>
      </c>
      <c r="B88" s="3" t="s">
        <v>299</v>
      </c>
      <c r="C88" s="8">
        <v>9.7879161834716797</v>
      </c>
      <c r="D88" s="8">
        <v>9.7699117660522461</v>
      </c>
      <c r="E88" s="8">
        <v>9.7503881454467773</v>
      </c>
      <c r="F88" s="8">
        <v>9.6927976608276367</v>
      </c>
      <c r="G88" s="8">
        <v>9.6633596420288086</v>
      </c>
      <c r="H88" s="8">
        <v>9.6457366943359375</v>
      </c>
      <c r="I88" s="8">
        <v>9.6346807479858398</v>
      </c>
      <c r="J88" s="8">
        <v>9.6294698715209961</v>
      </c>
      <c r="K88" s="8">
        <v>9.6359844207763672</v>
      </c>
      <c r="L88" s="8">
        <v>9.6119422912597656</v>
      </c>
      <c r="M88" s="8">
        <v>9.5953159332275391</v>
      </c>
      <c r="N88" s="8">
        <v>9.5978870391845703</v>
      </c>
      <c r="O88" s="8">
        <v>9.5713491439819336</v>
      </c>
      <c r="P88" s="8">
        <v>9.5056610107421875</v>
      </c>
      <c r="Q88" s="8">
        <v>9.4490041732788086</v>
      </c>
      <c r="R88" s="8">
        <v>9.3977365493774414</v>
      </c>
      <c r="S88" s="8">
        <v>9.3913030624389648</v>
      </c>
      <c r="T88" s="8">
        <v>9.4001827239990234</v>
      </c>
      <c r="U88" s="8">
        <v>9.3511133193969727</v>
      </c>
      <c r="V88" s="8">
        <v>9.305908203125</v>
      </c>
      <c r="W88" s="8">
        <v>9.3198127746582031</v>
      </c>
      <c r="X88" s="8">
        <v>9.2490739822387695</v>
      </c>
      <c r="Y88" s="8">
        <v>9.2242603302001953</v>
      </c>
      <c r="Z88" s="8">
        <v>9.1681098937988281</v>
      </c>
      <c r="AA88" s="8">
        <v>9.1711025238037109</v>
      </c>
      <c r="AB88" s="8">
        <v>9.1534337997436523</v>
      </c>
      <c r="AC88" s="8">
        <v>9.1223745346069336</v>
      </c>
      <c r="AD88" s="8">
        <v>9.074284553527832</v>
      </c>
      <c r="AE88" s="8">
        <v>9.0451078414916992</v>
      </c>
      <c r="AG88" s="8">
        <f t="shared" si="1"/>
        <v>9.2847306511618868</v>
      </c>
    </row>
    <row r="89" spans="1:33" x14ac:dyDescent="0.2">
      <c r="A89" s="3" t="s">
        <v>110</v>
      </c>
      <c r="B89" s="3" t="s">
        <v>303</v>
      </c>
      <c r="C89" s="8">
        <v>36.74102783203125</v>
      </c>
      <c r="D89" s="8">
        <v>37.289402008056641</v>
      </c>
      <c r="E89" s="8">
        <v>37.566013336181641</v>
      </c>
      <c r="F89" s="8">
        <v>37.88507080078125</v>
      </c>
      <c r="G89" s="8">
        <v>38.29779052734375</v>
      </c>
      <c r="H89" s="8">
        <v>38.663967132568359</v>
      </c>
      <c r="I89" s="8">
        <v>39.046211242675781</v>
      </c>
      <c r="J89" s="8">
        <v>39.149917602539063</v>
      </c>
      <c r="K89" s="8">
        <v>39.31878662109375</v>
      </c>
      <c r="L89" s="8">
        <v>39.512096405029297</v>
      </c>
      <c r="M89" s="8">
        <v>39.551898956298828</v>
      </c>
      <c r="N89" s="8">
        <v>39.362556457519531</v>
      </c>
      <c r="O89" s="8">
        <v>39.734645843505859</v>
      </c>
      <c r="P89" s="8">
        <v>39.590160369873047</v>
      </c>
      <c r="Q89" s="8">
        <v>39.623981475830078</v>
      </c>
      <c r="R89" s="8">
        <v>39.529331207275391</v>
      </c>
      <c r="S89" s="8">
        <v>39.341907501220703</v>
      </c>
      <c r="T89" s="8">
        <v>38.501976013183594</v>
      </c>
      <c r="U89" s="8">
        <v>37.68756103515625</v>
      </c>
      <c r="V89" s="8">
        <v>37.163497924804688</v>
      </c>
      <c r="W89" s="8">
        <v>36.873600006103516</v>
      </c>
      <c r="X89" s="8">
        <v>36.824954986572266</v>
      </c>
      <c r="Y89" s="8">
        <v>36.904438018798828</v>
      </c>
      <c r="Z89" s="8">
        <v>36.965896606445313</v>
      </c>
      <c r="AA89" s="8">
        <v>36.914302825927734</v>
      </c>
      <c r="AB89" s="8">
        <v>36.852993011474609</v>
      </c>
      <c r="AC89" s="8">
        <v>36.857124328613281</v>
      </c>
      <c r="AD89" s="8">
        <v>36.854656219482422</v>
      </c>
      <c r="AE89" s="8">
        <v>36.980484008789063</v>
      </c>
      <c r="AG89" s="8">
        <f t="shared" si="1"/>
        <v>37.596405376087539</v>
      </c>
    </row>
    <row r="90" spans="1:33" x14ac:dyDescent="0.2">
      <c r="A90" s="3" t="s">
        <v>122</v>
      </c>
      <c r="B90" s="3" t="s">
        <v>316</v>
      </c>
      <c r="C90" s="8">
        <v>40.361740112304688</v>
      </c>
      <c r="D90" s="8">
        <v>40.08306884765625</v>
      </c>
      <c r="E90" s="8">
        <v>39.750141143798828</v>
      </c>
      <c r="F90" s="8">
        <v>39.559764862060547</v>
      </c>
      <c r="G90" s="8">
        <v>39.769298553466797</v>
      </c>
      <c r="H90" s="8">
        <v>40.120513916015625</v>
      </c>
      <c r="I90" s="8">
        <v>40.431777954101563</v>
      </c>
      <c r="J90" s="8">
        <v>40.609390258789063</v>
      </c>
      <c r="K90" s="8">
        <v>40.702674865722656</v>
      </c>
      <c r="L90" s="8">
        <v>40.723365783691406</v>
      </c>
      <c r="M90" s="8">
        <v>40.665050506591797</v>
      </c>
      <c r="N90" s="8">
        <v>40.509738922119141</v>
      </c>
      <c r="O90" s="8">
        <v>40.726680755615234</v>
      </c>
      <c r="P90" s="8">
        <v>40.592674255371094</v>
      </c>
      <c r="Q90" s="8">
        <v>40.501731872558594</v>
      </c>
      <c r="R90" s="8">
        <v>40.206153869628906</v>
      </c>
      <c r="S90" s="8">
        <v>39.852352142333984</v>
      </c>
      <c r="T90" s="8">
        <v>39.401008605957031</v>
      </c>
      <c r="U90" s="8">
        <v>38.997074127197266</v>
      </c>
      <c r="V90" s="8">
        <v>39.013454437255859</v>
      </c>
      <c r="W90" s="8">
        <v>39.743900299072266</v>
      </c>
      <c r="X90" s="8">
        <v>40.071418762207031</v>
      </c>
      <c r="Y90" s="8">
        <v>40.293651580810547</v>
      </c>
      <c r="Z90" s="8">
        <v>40.503841400146484</v>
      </c>
      <c r="AA90" s="8">
        <v>40.585235595703125</v>
      </c>
      <c r="AB90" s="8">
        <v>40.743370056152344</v>
      </c>
      <c r="AC90" s="8">
        <v>40.78936767578125</v>
      </c>
      <c r="AD90" s="8">
        <v>40.872280120849609</v>
      </c>
      <c r="AE90" s="8">
        <v>40.942081451416016</v>
      </c>
      <c r="AG90" s="8">
        <f t="shared" si="1"/>
        <v>39.946496443314985</v>
      </c>
    </row>
    <row r="91" spans="1:33" x14ac:dyDescent="0.2">
      <c r="A91" s="3" t="s">
        <v>123</v>
      </c>
      <c r="B91" s="3" t="s">
        <v>317</v>
      </c>
      <c r="C91" s="8">
        <v>37.790046691894531</v>
      </c>
      <c r="D91" s="8">
        <v>36.702339172363281</v>
      </c>
      <c r="E91" s="8">
        <v>35.982902526855469</v>
      </c>
      <c r="F91" s="8">
        <v>35.159458160400391</v>
      </c>
      <c r="G91" s="8">
        <v>34.099491119384766</v>
      </c>
      <c r="H91" s="8">
        <v>32.953472137451172</v>
      </c>
      <c r="I91" s="8">
        <v>32.492412567138672</v>
      </c>
      <c r="J91" s="8">
        <v>31.497308731079102</v>
      </c>
      <c r="K91" s="8">
        <v>31.247871398925781</v>
      </c>
      <c r="L91" s="8">
        <v>31.151187896728516</v>
      </c>
      <c r="M91" s="8">
        <v>31.164928436279297</v>
      </c>
      <c r="N91" s="8">
        <v>30.782062530517578</v>
      </c>
      <c r="O91" s="8">
        <v>30.574012756347656</v>
      </c>
      <c r="P91" s="8">
        <v>30.410623550415039</v>
      </c>
      <c r="Q91" s="8">
        <v>30.176025390625</v>
      </c>
      <c r="R91" s="8">
        <v>29.908538818359375</v>
      </c>
      <c r="S91" s="8">
        <v>29.763198852539063</v>
      </c>
      <c r="T91" s="8">
        <v>29.600446701049805</v>
      </c>
      <c r="U91" s="8">
        <v>29.36024284362793</v>
      </c>
      <c r="V91" s="8">
        <v>29.126235961914063</v>
      </c>
      <c r="W91" s="8">
        <v>29.315164566040039</v>
      </c>
      <c r="X91" s="8">
        <v>29.13939094543457</v>
      </c>
      <c r="Y91" s="8">
        <v>28.819730758666992</v>
      </c>
      <c r="Z91" s="8">
        <v>28.580709457397461</v>
      </c>
      <c r="AA91" s="8">
        <v>28.155254364013672</v>
      </c>
      <c r="AB91" s="8">
        <v>27.718841552734375</v>
      </c>
      <c r="AC91" s="8">
        <v>27.291566848754883</v>
      </c>
      <c r="AD91" s="8">
        <v>26.898006439208984</v>
      </c>
      <c r="AE91" s="8">
        <v>26.542409896850586</v>
      </c>
      <c r="AG91" s="8">
        <f t="shared" si="1"/>
        <v>29.044341347434305</v>
      </c>
    </row>
    <row r="92" spans="1:33" x14ac:dyDescent="0.2">
      <c r="A92" s="3" t="s">
        <v>111</v>
      </c>
      <c r="B92" s="3" t="s">
        <v>304</v>
      </c>
      <c r="C92" s="8">
        <v>40.800449371337891</v>
      </c>
      <c r="D92" s="8">
        <v>39.919544219970703</v>
      </c>
      <c r="E92" s="8">
        <v>38.760814666748047</v>
      </c>
      <c r="F92" s="8">
        <v>37.908390045166016</v>
      </c>
      <c r="G92" s="8">
        <v>36.934009552001953</v>
      </c>
      <c r="H92" s="8">
        <v>36.324810028076172</v>
      </c>
      <c r="I92" s="8">
        <v>35.804553985595703</v>
      </c>
      <c r="J92" s="8">
        <v>34.571060180664063</v>
      </c>
      <c r="K92" s="8">
        <v>33.862747192382813</v>
      </c>
      <c r="L92" s="8">
        <v>32.928272247314453</v>
      </c>
      <c r="M92" s="8">
        <v>32.387924194335938</v>
      </c>
      <c r="N92" s="8">
        <v>32.215972900390625</v>
      </c>
      <c r="O92" s="8">
        <v>32.191993713378906</v>
      </c>
      <c r="P92" s="8">
        <v>31.957799911499023</v>
      </c>
      <c r="Q92" s="8">
        <v>31.445159912109375</v>
      </c>
      <c r="R92" s="8">
        <v>30.023706436157227</v>
      </c>
      <c r="S92" s="8">
        <v>28.944408416748047</v>
      </c>
      <c r="T92" s="8">
        <v>28.600290298461914</v>
      </c>
      <c r="U92" s="8">
        <v>27.207866668701172</v>
      </c>
      <c r="V92" s="8">
        <v>26.500999450683594</v>
      </c>
      <c r="W92" s="8">
        <v>26.311285018920898</v>
      </c>
      <c r="X92" s="8">
        <v>26.384487152099609</v>
      </c>
      <c r="Y92" s="8">
        <v>25.861888885498047</v>
      </c>
      <c r="Z92" s="8">
        <v>25.374359130859375</v>
      </c>
      <c r="AA92" s="8">
        <v>24.610063552856445</v>
      </c>
      <c r="AB92" s="8">
        <v>23.757173538208008</v>
      </c>
      <c r="AC92" s="8">
        <v>23.103542327880859</v>
      </c>
      <c r="AD92" s="8">
        <v>22.625324249267578</v>
      </c>
      <c r="AE92" s="8"/>
      <c r="AG92" s="8">
        <f t="shared" si="1"/>
        <v>26.688775322654031</v>
      </c>
    </row>
    <row r="93" spans="1:33" x14ac:dyDescent="0.2">
      <c r="A93" s="3" t="s">
        <v>114</v>
      </c>
      <c r="B93" s="3" t="s">
        <v>308</v>
      </c>
      <c r="C93" s="8">
        <v>51.219367980957031</v>
      </c>
      <c r="D93" s="8">
        <v>51.253593444824219</v>
      </c>
      <c r="E93" s="8">
        <v>51.049335479736328</v>
      </c>
      <c r="F93" s="8">
        <v>50.635646820068359</v>
      </c>
      <c r="G93" s="8">
        <v>50.804412841796875</v>
      </c>
      <c r="H93" s="8">
        <v>49.493686676025391</v>
      </c>
      <c r="I93" s="8">
        <v>47.859844207763672</v>
      </c>
      <c r="J93" s="8">
        <v>46.472980499267578</v>
      </c>
      <c r="K93" s="8">
        <v>45.231449127197266</v>
      </c>
      <c r="L93" s="8">
        <v>44.545822143554688</v>
      </c>
      <c r="M93" s="8">
        <v>43.802448272705078</v>
      </c>
      <c r="N93" s="8">
        <v>43.192733764648438</v>
      </c>
      <c r="O93" s="8">
        <v>42.564373016357422</v>
      </c>
      <c r="P93" s="8">
        <v>41.902675628662109</v>
      </c>
      <c r="Q93" s="8">
        <v>40.992172241210938</v>
      </c>
      <c r="R93" s="8">
        <v>40.736003875732422</v>
      </c>
      <c r="S93" s="8">
        <v>40.487586975097656</v>
      </c>
      <c r="T93" s="8">
        <v>39.900974273681641</v>
      </c>
      <c r="U93" s="8">
        <v>39.244621276855469</v>
      </c>
      <c r="V93" s="8">
        <v>38.805385589599609</v>
      </c>
      <c r="W93" s="8">
        <v>38.393104553222656</v>
      </c>
      <c r="X93" s="8">
        <v>37.378852844238281</v>
      </c>
      <c r="Y93" s="8">
        <v>37.307708740234375</v>
      </c>
      <c r="Z93" s="8">
        <v>36.843429565429688</v>
      </c>
      <c r="AA93" s="8">
        <v>36.414016723632813</v>
      </c>
      <c r="AB93" s="8">
        <v>35.588924407958984</v>
      </c>
      <c r="AC93" s="8">
        <v>35.002918243408203</v>
      </c>
      <c r="AD93" s="8">
        <v>34.371536254882813</v>
      </c>
      <c r="AE93" s="8">
        <v>33.783771514892578</v>
      </c>
      <c r="AG93" s="8">
        <f t="shared" si="1"/>
        <v>38.281873529607601</v>
      </c>
    </row>
    <row r="94" spans="1:33" x14ac:dyDescent="0.2">
      <c r="A94" s="3" t="s">
        <v>115</v>
      </c>
      <c r="B94" s="3" t="s">
        <v>309</v>
      </c>
      <c r="C94" s="8">
        <v>34.22967529296875</v>
      </c>
      <c r="D94" s="8">
        <v>33.703540802001953</v>
      </c>
      <c r="E94" s="8">
        <v>33.06048583984375</v>
      </c>
      <c r="F94" s="8">
        <v>32.503097534179688</v>
      </c>
      <c r="G94" s="8">
        <v>31.974098205566406</v>
      </c>
      <c r="H94" s="8">
        <v>31.523406982421875</v>
      </c>
      <c r="I94" s="8">
        <v>31.033664703369141</v>
      </c>
      <c r="J94" s="8">
        <v>30.554643630981445</v>
      </c>
      <c r="K94" s="8">
        <v>29.988872528076172</v>
      </c>
      <c r="L94" s="8">
        <v>29.496160507202148</v>
      </c>
      <c r="M94" s="8">
        <v>29.049474716186523</v>
      </c>
      <c r="N94" s="8">
        <v>28.590446472167969</v>
      </c>
      <c r="O94" s="8">
        <v>28.375396728515625</v>
      </c>
      <c r="P94" s="8">
        <v>28.056293487548828</v>
      </c>
      <c r="Q94" s="8">
        <v>27.613645553588867</v>
      </c>
      <c r="R94" s="8">
        <v>27.259525299072266</v>
      </c>
      <c r="S94" s="8">
        <v>26.846126556396484</v>
      </c>
      <c r="T94" s="8">
        <v>26.500057220458984</v>
      </c>
      <c r="U94" s="8">
        <v>26.130851745605469</v>
      </c>
      <c r="V94" s="8">
        <v>25.955045700073242</v>
      </c>
      <c r="W94" s="8">
        <v>25.797403335571289</v>
      </c>
      <c r="X94" s="8">
        <v>25.714004516601563</v>
      </c>
      <c r="Y94" s="8">
        <v>25.655481338500977</v>
      </c>
      <c r="Z94" s="8">
        <v>25.712564468383789</v>
      </c>
      <c r="AA94" s="8">
        <v>25.702058792114258</v>
      </c>
      <c r="AB94" s="8">
        <v>25.500869750976563</v>
      </c>
      <c r="AC94" s="8">
        <v>25.204181671142578</v>
      </c>
      <c r="AD94" s="8">
        <v>25.115901947021484</v>
      </c>
      <c r="AE94" s="8">
        <v>24.942350387573242</v>
      </c>
      <c r="AG94" s="8">
        <f t="shared" si="1"/>
        <v>26.070362611250445</v>
      </c>
    </row>
    <row r="95" spans="1:33" x14ac:dyDescent="0.2">
      <c r="A95" s="3" t="s">
        <v>120</v>
      </c>
      <c r="B95" s="3" t="s">
        <v>314</v>
      </c>
      <c r="C95" s="8">
        <v>34.914909362792969</v>
      </c>
      <c r="D95" s="8">
        <v>35.277183532714844</v>
      </c>
      <c r="E95" s="8">
        <v>35.168426513671875</v>
      </c>
      <c r="F95" s="8">
        <v>35.024833679199219</v>
      </c>
      <c r="G95" s="8">
        <v>35.111221313476563</v>
      </c>
      <c r="H95" s="8">
        <v>34.972625732421875</v>
      </c>
      <c r="I95" s="8">
        <v>35.253837585449219</v>
      </c>
      <c r="J95" s="8">
        <v>35.393840789794922</v>
      </c>
      <c r="K95" s="8">
        <v>35.544223785400391</v>
      </c>
      <c r="L95" s="8">
        <v>35.462631225585938</v>
      </c>
      <c r="M95" s="8">
        <v>34.869300842285156</v>
      </c>
      <c r="N95" s="8">
        <v>35.264225006103516</v>
      </c>
      <c r="O95" s="8">
        <v>34.788002014160156</v>
      </c>
      <c r="P95" s="8">
        <v>34.209568023681641</v>
      </c>
      <c r="Q95" s="8">
        <v>33.306980133056641</v>
      </c>
      <c r="R95" s="8">
        <v>32.161376953125</v>
      </c>
      <c r="S95" s="8">
        <v>31.700691223144531</v>
      </c>
      <c r="T95" s="8">
        <v>31.047836303710938</v>
      </c>
      <c r="U95" s="8">
        <v>30.813196182250977</v>
      </c>
      <c r="V95" s="8">
        <v>30.635965347290039</v>
      </c>
      <c r="W95" s="8">
        <v>30.14143180847168</v>
      </c>
      <c r="X95" s="8">
        <v>29.298561096191406</v>
      </c>
      <c r="Y95" s="8">
        <v>28.144336700439453</v>
      </c>
      <c r="Z95" s="8">
        <v>27.305253982543945</v>
      </c>
      <c r="AA95" s="8">
        <v>26.58575439453125</v>
      </c>
      <c r="AB95" s="8">
        <v>26.316360473632813</v>
      </c>
      <c r="AC95" s="8">
        <v>26.031032562255859</v>
      </c>
      <c r="AD95" s="8">
        <v>25.619220733642578</v>
      </c>
      <c r="AE95" s="8"/>
      <c r="AG95" s="8">
        <f t="shared" si="1"/>
        <v>29.468251315030184</v>
      </c>
    </row>
    <row r="96" spans="1:33" x14ac:dyDescent="0.2">
      <c r="A96" s="3" t="s">
        <v>121</v>
      </c>
      <c r="B96" s="3" t="s">
        <v>315</v>
      </c>
      <c r="C96" s="8">
        <v>25.817848205566406</v>
      </c>
      <c r="D96" s="8">
        <v>25.575229644775391</v>
      </c>
      <c r="E96" s="8">
        <v>25.296710968017578</v>
      </c>
      <c r="F96" s="8">
        <v>25.067371368408203</v>
      </c>
      <c r="G96" s="8">
        <v>24.801050186157227</v>
      </c>
      <c r="H96" s="8">
        <v>24.643621444702148</v>
      </c>
      <c r="I96" s="8">
        <v>24.508159637451172</v>
      </c>
      <c r="J96" s="8">
        <v>24.305553436279297</v>
      </c>
      <c r="K96" s="8">
        <v>24.155437469482422</v>
      </c>
      <c r="L96" s="8">
        <v>23.885026931762695</v>
      </c>
      <c r="M96" s="8">
        <v>23.660703659057617</v>
      </c>
      <c r="N96" s="8">
        <v>23.462884902954102</v>
      </c>
      <c r="O96" s="8">
        <v>23.207681655883789</v>
      </c>
      <c r="P96" s="8">
        <v>22.902080535888672</v>
      </c>
      <c r="Q96" s="8">
        <v>22.567977905273438</v>
      </c>
      <c r="R96" s="8">
        <v>22.297296524047852</v>
      </c>
      <c r="S96" s="8">
        <v>22.077491760253906</v>
      </c>
      <c r="T96" s="8">
        <v>21.90546989440918</v>
      </c>
      <c r="U96" s="8">
        <v>21.747627258300781</v>
      </c>
      <c r="V96" s="8">
        <v>21.34765625</v>
      </c>
      <c r="W96" s="8">
        <v>21.12940788269043</v>
      </c>
      <c r="X96" s="8">
        <v>20.912248611450195</v>
      </c>
      <c r="Y96" s="8">
        <v>20.693904876708984</v>
      </c>
      <c r="Z96" s="8">
        <v>20.573291778564453</v>
      </c>
      <c r="AA96" s="8">
        <v>20.466239929199219</v>
      </c>
      <c r="AB96" s="8">
        <v>20.408430099487305</v>
      </c>
      <c r="AC96" s="8">
        <v>20.308757781982422</v>
      </c>
      <c r="AD96" s="8">
        <v>20.209197998046875</v>
      </c>
      <c r="AE96" s="8"/>
      <c r="AG96" s="8">
        <f t="shared" si="1"/>
        <v>21.232642260464754</v>
      </c>
    </row>
    <row r="97" spans="1:33" x14ac:dyDescent="0.2">
      <c r="A97" s="3" t="s">
        <v>112</v>
      </c>
      <c r="B97" s="3" t="s">
        <v>305</v>
      </c>
      <c r="C97" s="8">
        <v>31.182357788085938</v>
      </c>
      <c r="D97" s="8">
        <v>31.023466110229492</v>
      </c>
      <c r="E97" s="8">
        <v>30.869287490844727</v>
      </c>
      <c r="F97" s="8">
        <v>30.808977127075195</v>
      </c>
      <c r="G97" s="8">
        <v>30.669307708740234</v>
      </c>
      <c r="H97" s="8">
        <v>30.396234512329102</v>
      </c>
      <c r="I97" s="8">
        <v>30.436479568481445</v>
      </c>
      <c r="J97" s="8">
        <v>30.485496520996094</v>
      </c>
      <c r="K97" s="8">
        <v>30.357778549194336</v>
      </c>
      <c r="L97" s="8">
        <v>30.086856842041016</v>
      </c>
      <c r="M97" s="8">
        <v>29.910030364990234</v>
      </c>
      <c r="N97" s="8">
        <v>29.685739517211914</v>
      </c>
      <c r="O97" s="8">
        <v>29.574930191040039</v>
      </c>
      <c r="P97" s="8">
        <v>29.394283294677734</v>
      </c>
      <c r="Q97" s="8">
        <v>29.391637802124023</v>
      </c>
      <c r="R97" s="8">
        <v>29.187301635742188</v>
      </c>
      <c r="S97" s="8">
        <v>29.052055358886719</v>
      </c>
      <c r="T97" s="8">
        <v>28.801187515258789</v>
      </c>
      <c r="U97" s="8">
        <v>28.547964096069336</v>
      </c>
      <c r="V97" s="8">
        <v>28.169750213623047</v>
      </c>
      <c r="W97" s="8">
        <v>28.337827682495117</v>
      </c>
      <c r="X97" s="8">
        <v>28.080385208129883</v>
      </c>
      <c r="Y97" s="8">
        <v>28.105779647827148</v>
      </c>
      <c r="Z97" s="8">
        <v>27.990547180175781</v>
      </c>
      <c r="AA97" s="8">
        <v>27.859106063842773</v>
      </c>
      <c r="AB97" s="8">
        <v>27.750862121582031</v>
      </c>
      <c r="AC97" s="8">
        <v>27.634012222290039</v>
      </c>
      <c r="AD97" s="8">
        <v>27.525949478149414</v>
      </c>
      <c r="AE97" s="8">
        <v>27.369791030883789</v>
      </c>
      <c r="AG97" s="8">
        <f t="shared" si="1"/>
        <v>28.352978793057527</v>
      </c>
    </row>
    <row r="98" spans="1:33" x14ac:dyDescent="0.2">
      <c r="A98" s="3" t="s">
        <v>109</v>
      </c>
      <c r="B98" s="3" t="s">
        <v>302</v>
      </c>
      <c r="C98" s="8">
        <v>42.295829772949219</v>
      </c>
      <c r="D98" s="8">
        <v>41.365337371826172</v>
      </c>
      <c r="E98" s="8">
        <v>41.000728607177734</v>
      </c>
      <c r="F98" s="8">
        <v>40.032863616943359</v>
      </c>
      <c r="G98" s="8">
        <v>39.809944152832031</v>
      </c>
      <c r="H98" s="8">
        <v>39.569602966308594</v>
      </c>
      <c r="I98" s="8">
        <v>40.31939697265625</v>
      </c>
      <c r="J98" s="8">
        <v>40.471328735351563</v>
      </c>
      <c r="K98" s="8">
        <v>42.625240325927734</v>
      </c>
      <c r="L98" s="8">
        <v>43.505245208740234</v>
      </c>
      <c r="M98" s="8">
        <v>44.291645050048828</v>
      </c>
      <c r="N98" s="8">
        <v>44.737510681152344</v>
      </c>
      <c r="O98" s="8">
        <v>44.927539825439453</v>
      </c>
      <c r="P98" s="8">
        <v>44.451404571533203</v>
      </c>
      <c r="Q98" s="8">
        <v>44.641323089599609</v>
      </c>
      <c r="R98" s="8">
        <v>44.772552490234375</v>
      </c>
      <c r="S98" s="8">
        <v>44.300704956054688</v>
      </c>
      <c r="T98" s="8">
        <v>43.962905883789063</v>
      </c>
      <c r="U98" s="8">
        <v>43.674335479736328</v>
      </c>
      <c r="V98" s="8">
        <v>43.083892822265625</v>
      </c>
      <c r="W98" s="8">
        <v>42.632762908935547</v>
      </c>
      <c r="X98" s="8">
        <v>42.418209075927734</v>
      </c>
      <c r="Y98" s="8">
        <v>42.323574066162109</v>
      </c>
      <c r="Z98" s="8">
        <v>42.712066650390625</v>
      </c>
      <c r="AA98" s="8">
        <v>42.900276184082031</v>
      </c>
      <c r="AB98" s="8">
        <v>42.996562957763672</v>
      </c>
      <c r="AC98" s="8">
        <v>43.171382904052734</v>
      </c>
      <c r="AD98" s="8">
        <v>43.080730438232422</v>
      </c>
      <c r="AE98" s="8">
        <v>42.880054473876953</v>
      </c>
      <c r="AG98" s="8">
        <f t="shared" si="1"/>
        <v>43.252531225031071</v>
      </c>
    </row>
    <row r="99" spans="1:33" x14ac:dyDescent="0.2">
      <c r="A99" s="3" t="s">
        <v>118</v>
      </c>
      <c r="B99" s="3" t="s">
        <v>312</v>
      </c>
      <c r="C99" s="8">
        <v>14.106292724609375</v>
      </c>
      <c r="D99" s="8">
        <v>15.601980209350586</v>
      </c>
      <c r="E99" s="8">
        <v>16.402046203613281</v>
      </c>
      <c r="F99" s="8">
        <v>16.392724990844727</v>
      </c>
      <c r="G99" s="8">
        <v>16.234851837158203</v>
      </c>
      <c r="H99" s="8">
        <v>16.6226806640625</v>
      </c>
      <c r="I99" s="8">
        <v>16.482254028320313</v>
      </c>
      <c r="J99" s="8">
        <v>16.350255966186523</v>
      </c>
      <c r="K99" s="8">
        <v>16.121284484863281</v>
      </c>
      <c r="L99" s="8">
        <v>16.140165328979492</v>
      </c>
      <c r="M99" s="8">
        <v>15.955598831176758</v>
      </c>
      <c r="N99" s="8">
        <v>15.987632751464844</v>
      </c>
      <c r="O99" s="8">
        <v>16.117397308349609</v>
      </c>
      <c r="P99" s="8">
        <v>16.198862075805664</v>
      </c>
      <c r="Q99" s="8">
        <v>16.350337982177734</v>
      </c>
      <c r="R99" s="8">
        <v>16.376798629760742</v>
      </c>
      <c r="S99" s="8">
        <v>16.542629241943359</v>
      </c>
      <c r="T99" s="8">
        <v>16.400733947753906</v>
      </c>
      <c r="U99" s="8">
        <v>16.381214141845703</v>
      </c>
      <c r="V99" s="8">
        <v>16.485130310058594</v>
      </c>
      <c r="W99" s="8">
        <v>16.451213836669922</v>
      </c>
      <c r="X99" s="8">
        <v>16.371477127075195</v>
      </c>
      <c r="Y99" s="8">
        <v>16.015453338623047</v>
      </c>
      <c r="Z99" s="8">
        <v>15.740124702453613</v>
      </c>
      <c r="AA99" s="8">
        <v>15.566391944885254</v>
      </c>
      <c r="AB99" s="8">
        <v>15.63519287109375</v>
      </c>
      <c r="AC99" s="8">
        <v>15.478813171386719</v>
      </c>
      <c r="AD99" s="8">
        <v>15.423150062561035</v>
      </c>
      <c r="AE99" s="8"/>
      <c r="AG99" s="8">
        <f t="shared" si="1"/>
        <v>16.178760008378461</v>
      </c>
    </row>
    <row r="100" spans="1:33" x14ac:dyDescent="0.2">
      <c r="A100" s="3" t="s">
        <v>108</v>
      </c>
      <c r="B100" s="3" t="s">
        <v>301</v>
      </c>
      <c r="C100" s="8">
        <v>36.828342437744141</v>
      </c>
      <c r="D100" s="8">
        <v>37.129554748535156</v>
      </c>
      <c r="E100" s="8">
        <v>35.708724975585938</v>
      </c>
      <c r="F100" s="8">
        <v>35.267581939697266</v>
      </c>
      <c r="G100" s="8">
        <v>36.319999694824219</v>
      </c>
      <c r="H100" s="8">
        <v>34.931529998779297</v>
      </c>
      <c r="I100" s="8">
        <v>36.288490295410156</v>
      </c>
      <c r="J100" s="8">
        <v>35.325965881347656</v>
      </c>
      <c r="K100" s="8">
        <v>35.642463684082031</v>
      </c>
      <c r="L100" s="8">
        <v>34.926830291748047</v>
      </c>
      <c r="M100" s="8">
        <v>34.421375274658203</v>
      </c>
      <c r="N100" s="8">
        <v>34.616245269775391</v>
      </c>
      <c r="O100" s="8">
        <v>34.391063690185547</v>
      </c>
      <c r="P100" s="8">
        <v>34.555049896240234</v>
      </c>
      <c r="Q100" s="8">
        <v>34.362491607666016</v>
      </c>
      <c r="R100" s="8">
        <v>33.778644561767578</v>
      </c>
      <c r="S100" s="8">
        <v>33.925834655761719</v>
      </c>
      <c r="T100" s="8">
        <v>33.10015869140625</v>
      </c>
      <c r="U100" s="8">
        <v>32.963951110839844</v>
      </c>
      <c r="V100" s="8">
        <v>32.981399536132813</v>
      </c>
      <c r="W100" s="8">
        <v>32.540653228759766</v>
      </c>
      <c r="X100" s="8">
        <v>32.3277587890625</v>
      </c>
      <c r="Y100" s="8">
        <v>31.704790115356445</v>
      </c>
      <c r="Z100" s="8">
        <v>31.267154693603516</v>
      </c>
      <c r="AA100" s="8">
        <v>30.839780807495117</v>
      </c>
      <c r="AB100" s="8">
        <v>30.514419555664063</v>
      </c>
      <c r="AC100" s="8">
        <v>30.204095840454102</v>
      </c>
      <c r="AD100" s="8">
        <v>29.935333251953125</v>
      </c>
      <c r="AE100" s="8">
        <v>29.637537002563477</v>
      </c>
      <c r="AG100" s="8">
        <f t="shared" si="1"/>
        <v>32.358595067804508</v>
      </c>
    </row>
    <row r="101" spans="1:33" x14ac:dyDescent="0.2">
      <c r="A101" s="3" t="s">
        <v>119</v>
      </c>
      <c r="B101" s="3" t="s">
        <v>313</v>
      </c>
      <c r="C101" s="8">
        <v>47.928150177001953</v>
      </c>
      <c r="D101" s="8">
        <v>47.594314575195313</v>
      </c>
      <c r="E101" s="8">
        <v>47.723442077636719</v>
      </c>
      <c r="F101" s="8">
        <v>47.455654144287109</v>
      </c>
      <c r="G101" s="8">
        <v>46.466072082519531</v>
      </c>
      <c r="H101" s="8">
        <v>46.358318328857422</v>
      </c>
      <c r="I101" s="8">
        <v>45.838417053222656</v>
      </c>
      <c r="J101" s="8">
        <v>45.054073333740234</v>
      </c>
      <c r="K101" s="8">
        <v>44.410125732421875</v>
      </c>
      <c r="L101" s="8">
        <v>43.624885559082031</v>
      </c>
      <c r="M101" s="8">
        <v>42.35693359375</v>
      </c>
      <c r="N101" s="8">
        <v>41.656455993652344</v>
      </c>
      <c r="O101" s="8">
        <v>40.724540710449219</v>
      </c>
      <c r="P101" s="8">
        <v>40.096714019775391</v>
      </c>
      <c r="Q101" s="8">
        <v>39.576534271240234</v>
      </c>
      <c r="R101" s="8">
        <v>39.073032379150391</v>
      </c>
      <c r="S101" s="8">
        <v>38.600605010986328</v>
      </c>
      <c r="T101" s="8">
        <v>38.168529510498047</v>
      </c>
      <c r="U101" s="8">
        <v>37.224018096923828</v>
      </c>
      <c r="V101" s="8">
        <v>36.33099365234375</v>
      </c>
      <c r="W101" s="8">
        <v>35.308925628662109</v>
      </c>
      <c r="X101" s="8">
        <v>34.160785675048828</v>
      </c>
      <c r="Y101" s="8">
        <v>32.217056274414063</v>
      </c>
      <c r="Z101" s="8">
        <v>30.091670989990234</v>
      </c>
      <c r="AA101" s="8">
        <v>28.152847290039063</v>
      </c>
      <c r="AB101" s="8">
        <v>27.210935592651367</v>
      </c>
      <c r="AC101" s="8">
        <v>26.852611541748047</v>
      </c>
      <c r="AD101" s="8">
        <v>26.335643768310547</v>
      </c>
      <c r="AE101" s="8">
        <v>26.007287979125977</v>
      </c>
      <c r="AG101" s="8">
        <f t="shared" si="1"/>
        <v>34.23085455460982</v>
      </c>
    </row>
    <row r="102" spans="1:33" x14ac:dyDescent="0.2">
      <c r="A102" s="3" t="s">
        <v>116</v>
      </c>
      <c r="B102" s="3" t="s">
        <v>310</v>
      </c>
      <c r="C102" s="8">
        <v>66.327491760253906</v>
      </c>
      <c r="D102" s="8">
        <v>65.753890991210938</v>
      </c>
      <c r="E102" s="8">
        <v>65.278839111328125</v>
      </c>
      <c r="F102" s="8">
        <v>65.215126037597656</v>
      </c>
      <c r="G102" s="8">
        <v>63.984352111816406</v>
      </c>
      <c r="H102" s="8">
        <v>62.695808410644531</v>
      </c>
      <c r="I102" s="8">
        <v>61.140251159667969</v>
      </c>
      <c r="J102" s="8">
        <v>59.634803771972656</v>
      </c>
      <c r="K102" s="8">
        <v>58.02288818359375</v>
      </c>
      <c r="L102" s="8">
        <v>56.28582763671875</v>
      </c>
      <c r="M102" s="8">
        <v>54.560981750488281</v>
      </c>
      <c r="N102" s="8">
        <v>53.937923431396484</v>
      </c>
      <c r="O102" s="8">
        <v>53.296684265136719</v>
      </c>
      <c r="P102" s="8">
        <v>52.019161224365234</v>
      </c>
      <c r="Q102" s="8">
        <v>50.105812072753906</v>
      </c>
      <c r="R102" s="8">
        <v>47.800498962402344</v>
      </c>
      <c r="S102" s="8">
        <v>45.43743896484375</v>
      </c>
      <c r="T102" s="8">
        <v>43.329555511474609</v>
      </c>
      <c r="U102" s="8">
        <v>41.408340454101563</v>
      </c>
      <c r="V102" s="8">
        <v>38.865394592285156</v>
      </c>
      <c r="W102" s="8">
        <v>36.508331298828125</v>
      </c>
      <c r="X102" s="8">
        <v>33.985977172851563</v>
      </c>
      <c r="Y102" s="8">
        <v>31.711238861083984</v>
      </c>
      <c r="Z102" s="8">
        <v>29.718055725097656</v>
      </c>
      <c r="AA102" s="8">
        <v>28.116369247436523</v>
      </c>
      <c r="AB102" s="8">
        <v>26.86260986328125</v>
      </c>
      <c r="AC102" s="8">
        <v>26.035848617553711</v>
      </c>
      <c r="AD102" s="8">
        <v>25.309988021850586</v>
      </c>
      <c r="AE102" s="8">
        <v>24.719804763793945</v>
      </c>
      <c r="AG102" s="8">
        <f t="shared" si="1"/>
        <v>36.703982786698774</v>
      </c>
    </row>
    <row r="103" spans="1:33" x14ac:dyDescent="0.2">
      <c r="A103" s="3" t="s">
        <v>124</v>
      </c>
      <c r="B103" s="3" t="s">
        <v>318</v>
      </c>
      <c r="C103" s="8">
        <v>32.226863861083984</v>
      </c>
      <c r="D103" s="8">
        <v>32.418014526367188</v>
      </c>
      <c r="E103" s="8">
        <v>32.362148284912109</v>
      </c>
      <c r="F103" s="8">
        <v>32.338218688964844</v>
      </c>
      <c r="G103" s="8">
        <v>32.223827362060547</v>
      </c>
      <c r="H103" s="8">
        <v>32.029445648193359</v>
      </c>
      <c r="I103" s="8">
        <v>31.768651962280273</v>
      </c>
      <c r="J103" s="8">
        <v>31.526237487792969</v>
      </c>
      <c r="K103" s="8">
        <v>31.327053070068359</v>
      </c>
      <c r="L103" s="8">
        <v>31.125226974487305</v>
      </c>
      <c r="M103" s="8">
        <v>30.556240081787109</v>
      </c>
      <c r="N103" s="8">
        <v>29.948616027832031</v>
      </c>
      <c r="O103" s="8">
        <v>30.381498336791992</v>
      </c>
      <c r="P103" s="8">
        <v>30.046356201171875</v>
      </c>
      <c r="Q103" s="8">
        <v>28.897365570068359</v>
      </c>
      <c r="R103" s="8">
        <v>29.662925720214844</v>
      </c>
      <c r="S103" s="8">
        <v>29.140121459960938</v>
      </c>
      <c r="T103" s="8">
        <v>28.500062942504883</v>
      </c>
      <c r="U103" s="8">
        <v>27.853784561157227</v>
      </c>
      <c r="V103" s="8">
        <v>27.116674423217773</v>
      </c>
      <c r="W103" s="8">
        <v>26.689580917358398</v>
      </c>
      <c r="X103" s="8">
        <v>26.418394088745117</v>
      </c>
      <c r="Y103" s="8">
        <v>26.223102569580078</v>
      </c>
      <c r="Z103" s="8">
        <v>25.483316421508789</v>
      </c>
      <c r="AA103" s="8">
        <v>24.836080551147461</v>
      </c>
      <c r="AB103" s="8">
        <v>23.947593688964844</v>
      </c>
      <c r="AC103" s="8">
        <v>23.426368713378906</v>
      </c>
      <c r="AD103" s="8">
        <v>23.279748916625977</v>
      </c>
      <c r="AE103" s="8"/>
      <c r="AG103" s="8">
        <f t="shared" si="1"/>
        <v>26.897421576760031</v>
      </c>
    </row>
    <row r="104" spans="1:33" x14ac:dyDescent="0.2">
      <c r="A104" s="3" t="s">
        <v>131</v>
      </c>
      <c r="B104" s="3" t="s">
        <v>325</v>
      </c>
      <c r="C104" s="8">
        <v>44.887523651123047</v>
      </c>
      <c r="D104" s="8">
        <v>44.318153381347656</v>
      </c>
      <c r="E104" s="8">
        <v>43.935234069824219</v>
      </c>
      <c r="F104" s="8">
        <v>43.218120574951172</v>
      </c>
      <c r="G104" s="8">
        <v>42.814945220947266</v>
      </c>
      <c r="H104" s="8">
        <v>41.969333648681641</v>
      </c>
      <c r="I104" s="8">
        <v>41.29913330078125</v>
      </c>
      <c r="J104" s="8">
        <v>40.802707672119141</v>
      </c>
      <c r="K104" s="8">
        <v>40.204372406005859</v>
      </c>
      <c r="L104" s="8">
        <v>39.180644989013672</v>
      </c>
      <c r="M104" s="8">
        <v>39.444709777832031</v>
      </c>
      <c r="N104" s="8">
        <v>38.844539642333984</v>
      </c>
      <c r="O104" s="8">
        <v>38.291324615478516</v>
      </c>
      <c r="P104" s="8">
        <v>37.792022705078125</v>
      </c>
      <c r="Q104" s="8">
        <v>37.233737945556641</v>
      </c>
      <c r="R104" s="8">
        <v>36.823783874511719</v>
      </c>
      <c r="S104" s="8">
        <v>36.431060791015625</v>
      </c>
      <c r="T104" s="8">
        <v>36.000816345214844</v>
      </c>
      <c r="U104" s="8">
        <v>35.652095794677734</v>
      </c>
      <c r="V104" s="8">
        <v>35.334186553955078</v>
      </c>
      <c r="W104" s="8">
        <v>34.990890502929688</v>
      </c>
      <c r="X104" s="8">
        <v>34.702724456787109</v>
      </c>
      <c r="Y104" s="8">
        <v>34.481273651123047</v>
      </c>
      <c r="Z104" s="8">
        <v>34.247337341308594</v>
      </c>
      <c r="AA104" s="8">
        <v>33.939239501953125</v>
      </c>
      <c r="AB104" s="8">
        <v>33.461063385009766</v>
      </c>
      <c r="AC104" s="8">
        <v>33.241249084472656</v>
      </c>
      <c r="AD104" s="8">
        <v>32.813446044921875</v>
      </c>
      <c r="AE104" s="8"/>
      <c r="AG104" s="8">
        <f t="shared" si="1"/>
        <v>35.096770199862391</v>
      </c>
    </row>
    <row r="105" spans="1:33" x14ac:dyDescent="0.2">
      <c r="A105" s="3" t="s">
        <v>129</v>
      </c>
      <c r="B105" s="3" t="s">
        <v>323</v>
      </c>
      <c r="C105" s="8">
        <v>13.791775703430176</v>
      </c>
      <c r="D105" s="8">
        <v>13.748775482177734</v>
      </c>
      <c r="E105" s="8">
        <v>13.692596435546875</v>
      </c>
      <c r="F105" s="8">
        <v>13.633525848388672</v>
      </c>
      <c r="G105" s="8">
        <v>13.584552764892578</v>
      </c>
      <c r="H105" s="8">
        <v>13.572870254516602</v>
      </c>
      <c r="I105" s="8">
        <v>13.565446853637695</v>
      </c>
      <c r="J105" s="8">
        <v>13.540351867675781</v>
      </c>
      <c r="K105" s="8">
        <v>13.485675811767578</v>
      </c>
      <c r="L105" s="8">
        <v>13.439136505126953</v>
      </c>
      <c r="M105" s="8">
        <v>13.37717342376709</v>
      </c>
      <c r="N105" s="8">
        <v>13.302194595336914</v>
      </c>
      <c r="O105" s="8">
        <v>13.215109825134277</v>
      </c>
      <c r="P105" s="8">
        <v>13.151936531066895</v>
      </c>
      <c r="Q105" s="8">
        <v>13.089248657226563</v>
      </c>
      <c r="R105" s="8">
        <v>13.06413745880127</v>
      </c>
      <c r="S105" s="8">
        <v>13.016600608825684</v>
      </c>
      <c r="T105" s="8">
        <v>13.000699996948242</v>
      </c>
      <c r="U105" s="8">
        <v>12.914691925048828</v>
      </c>
      <c r="V105" s="8">
        <v>12.778584480285645</v>
      </c>
      <c r="W105" s="8">
        <v>12.739049911499023</v>
      </c>
      <c r="X105" s="8">
        <v>12.699410438537598</v>
      </c>
      <c r="Y105" s="8">
        <v>12.672201156616211</v>
      </c>
      <c r="Z105" s="8">
        <v>12.668196678161621</v>
      </c>
      <c r="AA105" s="8">
        <v>12.648938179016113</v>
      </c>
      <c r="AB105" s="8">
        <v>12.634489059448242</v>
      </c>
      <c r="AC105" s="8">
        <v>12.607507705688477</v>
      </c>
      <c r="AD105" s="8">
        <v>12.593319892883301</v>
      </c>
      <c r="AE105" s="8">
        <v>12.573948860168457</v>
      </c>
      <c r="AG105" s="8">
        <f t="shared" si="1"/>
        <v>12.803363626653498</v>
      </c>
    </row>
    <row r="106" spans="1:33" x14ac:dyDescent="0.2">
      <c r="A106" s="3" t="s">
        <v>132</v>
      </c>
      <c r="B106" s="3" t="s">
        <v>326</v>
      </c>
      <c r="C106" s="8">
        <v>13.155669212341309</v>
      </c>
      <c r="D106" s="8">
        <v>13.066466331481934</v>
      </c>
      <c r="E106" s="8">
        <v>13.042113304138184</v>
      </c>
      <c r="F106" s="8">
        <v>13.039461135864258</v>
      </c>
      <c r="G106" s="8">
        <v>13.053074836730957</v>
      </c>
      <c r="H106" s="8">
        <v>13.032528877258301</v>
      </c>
      <c r="I106" s="8">
        <v>12.984492301940918</v>
      </c>
      <c r="J106" s="8">
        <v>12.845391273498535</v>
      </c>
      <c r="K106" s="8">
        <v>12.722301483154297</v>
      </c>
      <c r="L106" s="8">
        <v>12.645752906799316</v>
      </c>
      <c r="M106" s="8">
        <v>12.598773956298828</v>
      </c>
      <c r="N106" s="8">
        <v>12.541669845581055</v>
      </c>
      <c r="O106" s="8">
        <v>12.487033843994141</v>
      </c>
      <c r="P106" s="8">
        <v>12.380799293518066</v>
      </c>
      <c r="Q106" s="8">
        <v>12.302506446838379</v>
      </c>
      <c r="R106" s="8">
        <v>12.20576286315918</v>
      </c>
      <c r="S106" s="8">
        <v>12.106443405151367</v>
      </c>
      <c r="T106" s="8">
        <v>12.000544548034668</v>
      </c>
      <c r="U106" s="8">
        <v>11.884415626525879</v>
      </c>
      <c r="V106" s="8">
        <v>11.780572891235352</v>
      </c>
      <c r="W106" s="8">
        <v>11.72276496887207</v>
      </c>
      <c r="X106" s="8">
        <v>11.695283889770508</v>
      </c>
      <c r="Y106" s="8">
        <v>11.62703800201416</v>
      </c>
      <c r="Z106" s="8">
        <v>11.594093322753906</v>
      </c>
      <c r="AA106" s="8">
        <v>11.566531181335449</v>
      </c>
      <c r="AB106" s="8">
        <v>11.486669540405273</v>
      </c>
      <c r="AC106" s="8">
        <v>11.434352874755859</v>
      </c>
      <c r="AD106" s="8">
        <v>11.403915405273438</v>
      </c>
      <c r="AE106" s="8">
        <v>11.324314117431641</v>
      </c>
      <c r="AG106" s="8">
        <f t="shared" si="1"/>
        <v>11.788192749023438</v>
      </c>
    </row>
    <row r="107" spans="1:33" x14ac:dyDescent="0.2">
      <c r="A107" s="3" t="s">
        <v>128</v>
      </c>
      <c r="B107" s="3" t="s">
        <v>322</v>
      </c>
      <c r="C107" s="8">
        <v>41.055042266845703</v>
      </c>
      <c r="D107" s="8">
        <v>41.956462860107422</v>
      </c>
      <c r="E107" s="8">
        <v>42.100696563720703</v>
      </c>
      <c r="F107" s="8">
        <v>42.144374847412109</v>
      </c>
      <c r="G107" s="8">
        <v>42.368091583251953</v>
      </c>
      <c r="H107" s="8">
        <v>42.451034545898438</v>
      </c>
      <c r="I107" s="8">
        <v>42.729232788085938</v>
      </c>
      <c r="J107" s="8">
        <v>43.009029388427734</v>
      </c>
      <c r="K107" s="8">
        <v>43.053401947021484</v>
      </c>
      <c r="L107" s="8">
        <v>43.062252044677734</v>
      </c>
      <c r="M107" s="8">
        <v>43.131526947021484</v>
      </c>
      <c r="N107" s="8">
        <v>43.271072387695313</v>
      </c>
      <c r="O107" s="8">
        <v>42.981945037841797</v>
      </c>
      <c r="P107" s="8">
        <v>43.4337158203125</v>
      </c>
      <c r="Q107" s="8">
        <v>43.443187713623047</v>
      </c>
      <c r="R107" s="8">
        <v>43.477077484130859</v>
      </c>
      <c r="S107" s="8">
        <v>43.300186157226563</v>
      </c>
      <c r="T107" s="8">
        <v>43.100826263427734</v>
      </c>
      <c r="U107" s="8">
        <v>42.942283630371094</v>
      </c>
      <c r="V107" s="8">
        <v>42.795619964599609</v>
      </c>
      <c r="W107" s="8">
        <v>42.833255767822266</v>
      </c>
      <c r="X107" s="8">
        <v>42.837730407714844</v>
      </c>
      <c r="Y107" s="8">
        <v>42.68115234375</v>
      </c>
      <c r="Z107" s="8">
        <v>42.381626129150391</v>
      </c>
      <c r="AA107" s="8">
        <v>42.163162231445313</v>
      </c>
      <c r="AB107" s="8">
        <v>41.752388000488281</v>
      </c>
      <c r="AC107" s="8">
        <v>41.34307861328125</v>
      </c>
      <c r="AD107" s="8">
        <v>40.966110229492188</v>
      </c>
      <c r="AE107" s="8"/>
      <c r="AG107" s="8">
        <f t="shared" si="1"/>
        <v>42.751391670920633</v>
      </c>
    </row>
    <row r="108" spans="1:33" x14ac:dyDescent="0.2">
      <c r="A108" s="3" t="s">
        <v>126</v>
      </c>
      <c r="B108" s="3" t="s">
        <v>320</v>
      </c>
      <c r="C108" s="8">
        <v>34.974269866943359</v>
      </c>
      <c r="D108" s="8">
        <v>35.415210723876953</v>
      </c>
      <c r="E108" s="8">
        <v>35.721935272216797</v>
      </c>
      <c r="F108" s="8">
        <v>35.945529937744141</v>
      </c>
      <c r="G108" s="8">
        <v>36.434593200683594</v>
      </c>
      <c r="H108" s="8">
        <v>36.826580047607422</v>
      </c>
      <c r="I108" s="8">
        <v>37.087333679199219</v>
      </c>
      <c r="J108" s="8">
        <v>37.354843139648438</v>
      </c>
      <c r="K108" s="8">
        <v>37.707229614257813</v>
      </c>
      <c r="L108" s="8">
        <v>37.988445281982422</v>
      </c>
      <c r="M108" s="8">
        <v>38.221855163574219</v>
      </c>
      <c r="N108" s="8">
        <v>38.433860778808594</v>
      </c>
      <c r="O108" s="8">
        <v>38.501117706298828</v>
      </c>
      <c r="P108" s="8">
        <v>38.572746276855469</v>
      </c>
      <c r="Q108" s="8">
        <v>38.68994140625</v>
      </c>
      <c r="R108" s="8">
        <v>38.578659057617188</v>
      </c>
      <c r="S108" s="8">
        <v>38.600982666015625</v>
      </c>
      <c r="T108" s="8">
        <v>38.632289886474609</v>
      </c>
      <c r="U108" s="8">
        <v>38.411857604980469</v>
      </c>
      <c r="V108" s="8">
        <v>38.128406524658203</v>
      </c>
      <c r="W108" s="8">
        <v>38.096149444580078</v>
      </c>
      <c r="X108" s="8">
        <v>37.772304534912109</v>
      </c>
      <c r="Y108" s="8">
        <v>37.546245574951172</v>
      </c>
      <c r="Z108" s="8">
        <v>37.251583099365234</v>
      </c>
      <c r="AA108" s="8">
        <v>36.770603179931641</v>
      </c>
      <c r="AB108" s="8">
        <v>36.444934844970703</v>
      </c>
      <c r="AC108" s="8">
        <v>36.220279693603516</v>
      </c>
      <c r="AD108" s="8">
        <v>36.075332641601563</v>
      </c>
      <c r="AE108" s="8">
        <v>35.947982788085938</v>
      </c>
      <c r="AG108" s="8">
        <f t="shared" si="1"/>
        <v>37.839456038041547</v>
      </c>
    </row>
    <row r="109" spans="1:33" ht="12" customHeight="1" x14ac:dyDescent="0.2">
      <c r="A109" s="3" t="s">
        <v>127</v>
      </c>
      <c r="B109" s="3" t="s">
        <v>321</v>
      </c>
      <c r="C109" s="8">
        <v>50.473625183105469</v>
      </c>
      <c r="D109" s="8">
        <v>50.572757720947266</v>
      </c>
      <c r="E109" s="8">
        <v>50.78179931640625</v>
      </c>
      <c r="F109" s="8">
        <v>50.832374572753906</v>
      </c>
      <c r="G109" s="8">
        <v>50.911773681640625</v>
      </c>
      <c r="H109" s="8">
        <v>51.225406646728516</v>
      </c>
      <c r="I109" s="8">
        <v>51.587032318115234</v>
      </c>
      <c r="J109" s="8">
        <v>51.829921722412109</v>
      </c>
      <c r="K109" s="8">
        <v>52.077228546142578</v>
      </c>
      <c r="L109" s="8">
        <v>52.614242553710938</v>
      </c>
      <c r="M109" s="8">
        <v>52.507843017578125</v>
      </c>
      <c r="N109" s="8">
        <v>53.037887573242188</v>
      </c>
      <c r="O109" s="8">
        <v>53.713596343994141</v>
      </c>
      <c r="P109" s="8">
        <v>54.121295928955078</v>
      </c>
      <c r="Q109" s="8">
        <v>53.735054016113281</v>
      </c>
      <c r="R109" s="8">
        <v>53.58551025390625</v>
      </c>
      <c r="S109" s="8">
        <v>53.006851196289063</v>
      </c>
      <c r="T109" s="8">
        <v>52.786605834960938</v>
      </c>
      <c r="U109" s="8">
        <v>52.560596466064453</v>
      </c>
      <c r="V109" s="8">
        <v>52.209068298339844</v>
      </c>
      <c r="W109" s="8">
        <v>51.549552917480469</v>
      </c>
      <c r="X109" s="8">
        <v>50.887542724609375</v>
      </c>
      <c r="Y109" s="8">
        <v>50.496410369873047</v>
      </c>
      <c r="Z109" s="8">
        <v>50.055652618408203</v>
      </c>
      <c r="AA109" s="8">
        <v>49.409111022949219</v>
      </c>
      <c r="AB109" s="8">
        <v>49.120319366455078</v>
      </c>
      <c r="AC109" s="8">
        <v>48.957386016845703</v>
      </c>
      <c r="AD109" s="8">
        <v>48.591808319091797</v>
      </c>
      <c r="AE109" s="8">
        <v>48.167079925537109</v>
      </c>
      <c r="AG109" s="8">
        <f t="shared" si="1"/>
        <v>51.424292824485086</v>
      </c>
    </row>
    <row r="110" spans="1:33" s="17" customFormat="1" x14ac:dyDescent="0.2">
      <c r="A110" s="17" t="s">
        <v>408</v>
      </c>
      <c r="B110" s="17" t="s">
        <v>307</v>
      </c>
      <c r="C110" s="18">
        <v>39.499996185302734</v>
      </c>
      <c r="D110" s="18">
        <v>38.782527923583984</v>
      </c>
      <c r="E110" s="18">
        <v>38.154144287109375</v>
      </c>
      <c r="F110" s="18">
        <v>37.542884826660156</v>
      </c>
      <c r="G110" s="18">
        <v>37.013988494873047</v>
      </c>
      <c r="H110" s="18">
        <v>36.102275848388672</v>
      </c>
      <c r="I110" s="18">
        <v>35.614360809326172</v>
      </c>
      <c r="J110" s="18">
        <v>35.085659027099609</v>
      </c>
      <c r="K110" s="18">
        <v>35.079906463623047</v>
      </c>
      <c r="L110" s="18">
        <v>35.207305908203125</v>
      </c>
      <c r="M110" s="18">
        <v>35.327739715576172</v>
      </c>
      <c r="N110" s="18">
        <v>34.60693359375</v>
      </c>
      <c r="O110" s="18">
        <v>35.013900756835938</v>
      </c>
      <c r="P110" s="18">
        <v>35.108123779296875</v>
      </c>
      <c r="Q110" s="18">
        <v>34.557933807373047</v>
      </c>
      <c r="R110" s="18">
        <v>34.896312713623047</v>
      </c>
      <c r="S110" s="18">
        <v>34.968235015869141</v>
      </c>
      <c r="T110" s="18">
        <v>34.900299072265625</v>
      </c>
      <c r="U110" s="18">
        <v>34.963836669921875</v>
      </c>
      <c r="V110" s="18">
        <v>34.987812042236328</v>
      </c>
      <c r="W110" s="18">
        <v>34.577011108398438</v>
      </c>
      <c r="X110" s="18">
        <v>34.345249176025391</v>
      </c>
      <c r="Y110" s="18">
        <v>34.170486450195313</v>
      </c>
      <c r="Z110" s="18">
        <v>34.403549194335938</v>
      </c>
      <c r="AA110" s="18">
        <v>34.418987274169922</v>
      </c>
      <c r="AB110" s="18">
        <v>34.240207672119141</v>
      </c>
      <c r="AC110" s="18">
        <v>34.159149169921875</v>
      </c>
      <c r="AD110" s="18">
        <v>33.824176788330078</v>
      </c>
      <c r="AE110" s="18">
        <v>33.624996185302734</v>
      </c>
      <c r="AG110" s="8">
        <f t="shared" si="1"/>
        <v>34.624726035378195</v>
      </c>
    </row>
    <row r="111" spans="1:33" x14ac:dyDescent="0.2">
      <c r="A111" s="3" t="s">
        <v>130</v>
      </c>
      <c r="B111" s="3" t="s">
        <v>324</v>
      </c>
      <c r="C111" s="8">
        <v>19.115261077880859</v>
      </c>
      <c r="D111" s="8">
        <v>18.965518951416016</v>
      </c>
      <c r="E111" s="8">
        <v>18.959871292114258</v>
      </c>
      <c r="F111" s="8">
        <v>18.878850936889648</v>
      </c>
      <c r="G111" s="8">
        <v>18.846250534057617</v>
      </c>
      <c r="H111" s="8">
        <v>18.856544494628906</v>
      </c>
      <c r="I111" s="8">
        <v>18.853937149047852</v>
      </c>
      <c r="J111" s="8">
        <v>18.774147033691406</v>
      </c>
      <c r="K111" s="8">
        <v>18.634355545043945</v>
      </c>
      <c r="L111" s="8">
        <v>18.547031402587891</v>
      </c>
      <c r="M111" s="8">
        <v>18.517303466796875</v>
      </c>
      <c r="N111" s="8">
        <v>18.407192230224609</v>
      </c>
      <c r="O111" s="8">
        <v>18.303998947143555</v>
      </c>
      <c r="P111" s="8">
        <v>18.197839736938477</v>
      </c>
      <c r="Q111" s="8">
        <v>18.143949508666992</v>
      </c>
      <c r="R111" s="8">
        <v>18.1053466796875</v>
      </c>
      <c r="S111" s="8">
        <v>18.063358306884766</v>
      </c>
      <c r="T111" s="8">
        <v>18.000938415527344</v>
      </c>
      <c r="U111" s="8">
        <v>17.932281494140625</v>
      </c>
      <c r="V111" s="8">
        <v>17.719614028930664</v>
      </c>
      <c r="W111" s="8">
        <v>17.623504638671875</v>
      </c>
      <c r="X111" s="8">
        <v>17.582431793212891</v>
      </c>
      <c r="Y111" s="8">
        <v>17.534246444702148</v>
      </c>
      <c r="Z111" s="8">
        <v>17.422458648681641</v>
      </c>
      <c r="AA111" s="8">
        <v>17.32899284362793</v>
      </c>
      <c r="AB111" s="8">
        <v>17.17786979675293</v>
      </c>
      <c r="AC111" s="8">
        <v>17.040380477905273</v>
      </c>
      <c r="AD111" s="8">
        <v>16.939340591430664</v>
      </c>
      <c r="AE111" s="8">
        <v>16.852212905883789</v>
      </c>
      <c r="AG111" s="8">
        <f t="shared" si="1"/>
        <v>17.681003917347301</v>
      </c>
    </row>
    <row r="112" spans="1:33" x14ac:dyDescent="0.2">
      <c r="A112" s="3" t="s">
        <v>133</v>
      </c>
      <c r="B112" s="3" t="s">
        <v>327</v>
      </c>
      <c r="C112" s="8">
        <v>17.753072738647461</v>
      </c>
      <c r="D112" s="8">
        <v>18.161647796630859</v>
      </c>
      <c r="E112" s="8">
        <v>18.70075798034668</v>
      </c>
      <c r="F112" s="8">
        <v>18.80244255065918</v>
      </c>
      <c r="G112" s="8">
        <v>18.770513534545898</v>
      </c>
      <c r="H112" s="8">
        <v>19.497426986694336</v>
      </c>
      <c r="I112" s="8">
        <v>18.763782501220703</v>
      </c>
      <c r="J112" s="8">
        <v>18.589754104614258</v>
      </c>
      <c r="K112" s="8">
        <v>18.227424621582031</v>
      </c>
      <c r="L112" s="8">
        <v>18.152671813964844</v>
      </c>
      <c r="M112" s="8">
        <v>18.272676467895508</v>
      </c>
      <c r="N112" s="8">
        <v>18.34892463684082</v>
      </c>
      <c r="O112" s="8">
        <v>18.292749404907227</v>
      </c>
      <c r="P112" s="8">
        <v>17.528224945068359</v>
      </c>
      <c r="Q112" s="8">
        <v>17.462314605712891</v>
      </c>
      <c r="R112" s="8">
        <v>17.198816299438477</v>
      </c>
      <c r="S112" s="8">
        <v>17.600065231323242</v>
      </c>
      <c r="T112" s="8">
        <v>17.881649017333984</v>
      </c>
      <c r="U112" s="8">
        <v>18.072273254394531</v>
      </c>
      <c r="V112" s="8">
        <v>17.829496383666992</v>
      </c>
      <c r="W112" s="8">
        <v>17.806463241577148</v>
      </c>
      <c r="X112" s="8">
        <v>17.924459457397461</v>
      </c>
      <c r="Y112" s="8">
        <v>17.990987777709961</v>
      </c>
      <c r="Z112" s="8">
        <v>17.901876449584961</v>
      </c>
      <c r="AA112" s="8">
        <v>17.573856353759766</v>
      </c>
      <c r="AB112" s="8">
        <v>17.48536491394043</v>
      </c>
      <c r="AC112" s="8">
        <v>17.35670280456543</v>
      </c>
      <c r="AD112" s="8">
        <v>17.199197769165039</v>
      </c>
      <c r="AE112" s="8">
        <v>17.087217330932617</v>
      </c>
      <c r="AG112" s="8">
        <f t="shared" si="1"/>
        <v>17.751391670920633</v>
      </c>
    </row>
    <row r="113" spans="1:33" x14ac:dyDescent="0.2">
      <c r="A113" s="3" t="s">
        <v>134</v>
      </c>
      <c r="B113" s="3" t="s">
        <v>328</v>
      </c>
      <c r="C113" s="8">
        <v>36.229911804199219</v>
      </c>
      <c r="D113" s="8">
        <v>35.620597839355469</v>
      </c>
      <c r="E113" s="8">
        <v>35.592315673828125</v>
      </c>
      <c r="F113" s="8">
        <v>35.181137084960938</v>
      </c>
      <c r="G113" s="8">
        <v>35.083995819091797</v>
      </c>
      <c r="H113" s="8">
        <v>34.6986083984375</v>
      </c>
      <c r="I113" s="8">
        <v>34.339534759521484</v>
      </c>
      <c r="J113" s="8">
        <v>34.429775238037109</v>
      </c>
      <c r="K113" s="8">
        <v>34.500896453857422</v>
      </c>
      <c r="L113" s="8">
        <v>34.556472778320313</v>
      </c>
      <c r="M113" s="8">
        <v>34.20001220703125</v>
      </c>
      <c r="N113" s="8">
        <v>34.100498199462891</v>
      </c>
      <c r="O113" s="8">
        <v>34.070770263671875</v>
      </c>
      <c r="P113" s="8">
        <v>33.926689147949219</v>
      </c>
      <c r="Q113" s="8">
        <v>34.111675262451172</v>
      </c>
      <c r="R113" s="8">
        <v>34.017856597900391</v>
      </c>
      <c r="S113" s="8">
        <v>33.82135009765625</v>
      </c>
      <c r="T113" s="8">
        <v>33.600555419921875</v>
      </c>
      <c r="U113" s="8">
        <v>33.465995788574219</v>
      </c>
      <c r="V113" s="8">
        <v>33.338172912597656</v>
      </c>
      <c r="W113" s="8">
        <v>33.307601928710938</v>
      </c>
      <c r="X113" s="8">
        <v>33.394138336181641</v>
      </c>
      <c r="Y113" s="8">
        <v>33.367763519287109</v>
      </c>
      <c r="Z113" s="8">
        <v>33.305763244628906</v>
      </c>
      <c r="AA113" s="8">
        <v>33.138248443603516</v>
      </c>
      <c r="AB113" s="8">
        <v>32.950435638427734</v>
      </c>
      <c r="AC113" s="8">
        <v>32.9072265625</v>
      </c>
      <c r="AD113" s="8">
        <v>32.675163269042969</v>
      </c>
      <c r="AE113" s="8">
        <v>32.406394958496094</v>
      </c>
      <c r="AG113" s="8">
        <f t="shared" si="1"/>
        <v>33.427989266135476</v>
      </c>
    </row>
    <row r="114" spans="1:33" x14ac:dyDescent="0.2">
      <c r="A114" s="3" t="s">
        <v>135</v>
      </c>
      <c r="B114" s="3" t="s">
        <v>329</v>
      </c>
      <c r="C114" s="8">
        <v>65.797767639160156</v>
      </c>
      <c r="D114" s="8">
        <v>66.127845764160156</v>
      </c>
      <c r="E114" s="8">
        <v>66.590278625488281</v>
      </c>
      <c r="F114" s="8">
        <v>65.916458129882813</v>
      </c>
      <c r="G114" s="8">
        <v>64.958671569824219</v>
      </c>
      <c r="H114" s="8">
        <v>64.109024047851563</v>
      </c>
      <c r="I114" s="8">
        <v>63.289661407470703</v>
      </c>
      <c r="J114" s="8">
        <v>62.93206787109375</v>
      </c>
      <c r="K114" s="8">
        <v>62.123847961425781</v>
      </c>
      <c r="L114" s="8">
        <v>61.43463134765625</v>
      </c>
      <c r="M114" s="8">
        <v>60.511512756347656</v>
      </c>
      <c r="N114" s="8">
        <v>60.377536773681641</v>
      </c>
      <c r="O114" s="8">
        <v>60.611831665039063</v>
      </c>
      <c r="P114" s="8">
        <v>60.577564239501953</v>
      </c>
      <c r="Q114" s="8">
        <v>60.450584411621094</v>
      </c>
      <c r="R114" s="8">
        <v>60.537349700927734</v>
      </c>
      <c r="S114" s="8">
        <v>60.003047943115234</v>
      </c>
      <c r="T114" s="8">
        <v>59.026153564453125</v>
      </c>
      <c r="U114" s="8">
        <v>58.011661529541016</v>
      </c>
      <c r="V114" s="8">
        <v>57.71820068359375</v>
      </c>
      <c r="W114" s="8">
        <v>56.456775665283203</v>
      </c>
      <c r="X114" s="8">
        <v>55.129962921142578</v>
      </c>
      <c r="Y114" s="8">
        <v>53.825729370117188</v>
      </c>
      <c r="Z114" s="8">
        <v>52.179355621337891</v>
      </c>
      <c r="AA114" s="8">
        <v>50.345046997070313</v>
      </c>
      <c r="AB114" s="8">
        <v>48.881629943847656</v>
      </c>
      <c r="AC114" s="8">
        <v>47.454010009765625</v>
      </c>
      <c r="AD114" s="8">
        <v>46.041851043701172</v>
      </c>
      <c r="AE114" s="8"/>
      <c r="AG114" s="8">
        <f t="shared" si="1"/>
        <v>55.646810358220883</v>
      </c>
    </row>
    <row r="115" spans="1:33" x14ac:dyDescent="0.2">
      <c r="A115" s="3" t="s">
        <v>142</v>
      </c>
      <c r="B115" s="3" t="s">
        <v>336</v>
      </c>
      <c r="C115" s="8">
        <v>39.800365447998047</v>
      </c>
      <c r="D115" s="8">
        <v>39.306247711181641</v>
      </c>
      <c r="E115" s="8">
        <v>38.867584228515625</v>
      </c>
      <c r="F115" s="8">
        <v>38.510890960693359</v>
      </c>
      <c r="G115" s="8">
        <v>38.225547790527344</v>
      </c>
      <c r="H115" s="8">
        <v>37.987400054931641</v>
      </c>
      <c r="I115" s="8">
        <v>37.344520568847656</v>
      </c>
      <c r="J115" s="8">
        <v>37.621448516845703</v>
      </c>
      <c r="K115" s="8">
        <v>37.229549407958984</v>
      </c>
      <c r="L115" s="8">
        <v>36.884723663330078</v>
      </c>
      <c r="M115" s="8">
        <v>37.513324737548828</v>
      </c>
      <c r="N115" s="8">
        <v>37.128959655761719</v>
      </c>
      <c r="O115" s="8">
        <v>37.251129150390625</v>
      </c>
      <c r="P115" s="8">
        <v>37.398216247558594</v>
      </c>
      <c r="Q115" s="8">
        <v>37.685039520263672</v>
      </c>
      <c r="R115" s="8">
        <v>37.536518096923828</v>
      </c>
      <c r="S115" s="8">
        <v>37.400505065917969</v>
      </c>
      <c r="T115" s="8">
        <v>37.482063293457031</v>
      </c>
      <c r="U115" s="8">
        <v>37.396217346191406</v>
      </c>
      <c r="V115" s="8">
        <v>37.14581298828125</v>
      </c>
      <c r="W115" s="8">
        <v>36.848995208740234</v>
      </c>
      <c r="X115" s="8">
        <v>36.710529327392578</v>
      </c>
      <c r="Y115" s="8">
        <v>36.919837951660156</v>
      </c>
      <c r="Z115" s="8">
        <v>36.703170776367188</v>
      </c>
      <c r="AA115" s="8">
        <v>36.332149505615234</v>
      </c>
      <c r="AB115" s="8">
        <v>36.193023681640625</v>
      </c>
      <c r="AC115" s="8">
        <v>36.046806335449219</v>
      </c>
      <c r="AD115" s="8">
        <v>35.842021942138672</v>
      </c>
      <c r="AE115" s="8"/>
      <c r="AG115" s="8">
        <f t="shared" si="1"/>
        <v>36.969893022017047</v>
      </c>
    </row>
    <row r="116" spans="1:33" x14ac:dyDescent="0.2">
      <c r="A116" s="3" t="s">
        <v>136</v>
      </c>
      <c r="B116" s="3" t="s">
        <v>330</v>
      </c>
      <c r="C116" s="8">
        <v>56.679218292236328</v>
      </c>
      <c r="D116" s="8">
        <v>57.227031707763672</v>
      </c>
      <c r="E116" s="8">
        <v>56.989765167236328</v>
      </c>
      <c r="F116" s="8">
        <v>57.039226531982422</v>
      </c>
      <c r="G116" s="8">
        <v>56.960193634033203</v>
      </c>
      <c r="H116" s="8">
        <v>56.648700714111328</v>
      </c>
      <c r="I116" s="8">
        <v>56.282772064208984</v>
      </c>
      <c r="J116" s="8">
        <v>55.750476837158203</v>
      </c>
      <c r="K116" s="8">
        <v>55.480175018310547</v>
      </c>
      <c r="L116" s="8">
        <v>55.263565063476563</v>
      </c>
      <c r="M116" s="8">
        <v>55.371646881103516</v>
      </c>
      <c r="N116" s="8">
        <v>55.250339508056641</v>
      </c>
      <c r="O116" s="8">
        <v>55.255870819091797</v>
      </c>
      <c r="P116" s="8">
        <v>55.128055572509766</v>
      </c>
      <c r="Q116" s="8">
        <v>54.965179443359375</v>
      </c>
      <c r="R116" s="8">
        <v>54.672958374023438</v>
      </c>
      <c r="S116" s="8">
        <v>54.339515686035156</v>
      </c>
      <c r="T116" s="8">
        <v>53.700202941894531</v>
      </c>
      <c r="U116" s="8">
        <v>52.757064819335938</v>
      </c>
      <c r="V116" s="8">
        <v>51.887504577636719</v>
      </c>
      <c r="W116" s="8">
        <v>51.036483764648438</v>
      </c>
      <c r="X116" s="8">
        <v>50.047473907470703</v>
      </c>
      <c r="Y116" s="8">
        <v>48.975582122802734</v>
      </c>
      <c r="Z116" s="8">
        <v>47.900093078613281</v>
      </c>
      <c r="AA116" s="8">
        <v>46.946727752685547</v>
      </c>
      <c r="AB116" s="8">
        <v>46.161170959472656</v>
      </c>
      <c r="AC116" s="8">
        <v>45.633430480957031</v>
      </c>
      <c r="AD116" s="8">
        <v>45.207340240478516</v>
      </c>
      <c r="AE116" s="8">
        <v>44.790679931640625</v>
      </c>
      <c r="AG116" s="8">
        <f t="shared" si="1"/>
        <v>50.765888907692649</v>
      </c>
    </row>
    <row r="117" spans="1:33" x14ac:dyDescent="0.2">
      <c r="A117" s="3" t="s">
        <v>137</v>
      </c>
      <c r="B117" s="3" t="s">
        <v>331</v>
      </c>
      <c r="C117" s="8">
        <v>41.000358581542969</v>
      </c>
      <c r="D117" s="8">
        <v>40.922916412353516</v>
      </c>
      <c r="E117" s="8">
        <v>40.843467712402344</v>
      </c>
      <c r="F117" s="8">
        <v>40.620883941650391</v>
      </c>
      <c r="G117" s="8">
        <v>40.381935119628906</v>
      </c>
      <c r="H117" s="8">
        <v>40.135990142822266</v>
      </c>
      <c r="I117" s="8">
        <v>40.089710235595703</v>
      </c>
      <c r="J117" s="8">
        <v>39.28216552734375</v>
      </c>
      <c r="K117" s="8">
        <v>39.064823150634766</v>
      </c>
      <c r="L117" s="8">
        <v>39.154159545898438</v>
      </c>
      <c r="M117" s="8">
        <v>38.798694610595703</v>
      </c>
      <c r="N117" s="8">
        <v>39.008026123046875</v>
      </c>
      <c r="O117" s="8">
        <v>39.030597686767578</v>
      </c>
      <c r="P117" s="8">
        <v>38.845718383789063</v>
      </c>
      <c r="Q117" s="8">
        <v>38.788467407226563</v>
      </c>
      <c r="R117" s="8">
        <v>38.655570983886719</v>
      </c>
      <c r="S117" s="8">
        <v>38.409168243408203</v>
      </c>
      <c r="T117" s="8">
        <v>38.300193786621094</v>
      </c>
      <c r="U117" s="8">
        <v>38.131271362304688</v>
      </c>
      <c r="V117" s="8">
        <v>38.020454406738281</v>
      </c>
      <c r="W117" s="8">
        <v>37.850269317626953</v>
      </c>
      <c r="X117" s="8">
        <v>37.770156860351563</v>
      </c>
      <c r="Y117" s="8">
        <v>37.358562469482422</v>
      </c>
      <c r="Z117" s="8">
        <v>36.963497161865234</v>
      </c>
      <c r="AA117" s="8">
        <v>36.543697357177734</v>
      </c>
      <c r="AB117" s="8">
        <v>36.121173858642578</v>
      </c>
      <c r="AC117" s="8">
        <v>35.661582946777344</v>
      </c>
      <c r="AD117" s="8">
        <v>34.786277770996094</v>
      </c>
      <c r="AE117" s="8">
        <v>34.176567077636719</v>
      </c>
      <c r="AG117" s="8">
        <f t="shared" si="1"/>
        <v>37.64763780073686</v>
      </c>
    </row>
    <row r="118" spans="1:33" x14ac:dyDescent="0.2">
      <c r="A118" s="3" t="s">
        <v>139</v>
      </c>
      <c r="B118" s="3" t="s">
        <v>333</v>
      </c>
      <c r="C118" s="8">
        <v>31.585868835449219</v>
      </c>
      <c r="D118" s="8">
        <v>30.844732284545898</v>
      </c>
      <c r="E118" s="8">
        <v>30.530620574951172</v>
      </c>
      <c r="F118" s="8">
        <v>30.209585189819336</v>
      </c>
      <c r="G118" s="8">
        <v>30.03448486328125</v>
      </c>
      <c r="H118" s="8">
        <v>29.833639144897461</v>
      </c>
      <c r="I118" s="8">
        <v>29.575222015380859</v>
      </c>
      <c r="J118" s="8">
        <v>29.300090789794922</v>
      </c>
      <c r="K118" s="8">
        <v>28.909889221191406</v>
      </c>
      <c r="L118" s="8">
        <v>28.419336318969727</v>
      </c>
      <c r="M118" s="8">
        <v>27.824911117553711</v>
      </c>
      <c r="N118" s="8">
        <v>27.341218948364258</v>
      </c>
      <c r="O118" s="8">
        <v>26.946046829223633</v>
      </c>
      <c r="P118" s="8">
        <v>26.694828033447266</v>
      </c>
      <c r="Q118" s="8">
        <v>26.580211639404297</v>
      </c>
      <c r="R118" s="8">
        <v>26.431846618652344</v>
      </c>
      <c r="S118" s="8">
        <v>26.218282699584961</v>
      </c>
      <c r="T118" s="8">
        <v>26.002162933349609</v>
      </c>
      <c r="U118" s="8">
        <v>25.752397537231445</v>
      </c>
      <c r="V118" s="8">
        <v>25.426548004150391</v>
      </c>
      <c r="W118" s="8">
        <v>24.975440979003906</v>
      </c>
      <c r="X118" s="8">
        <v>24.721296310424805</v>
      </c>
      <c r="Y118" s="8">
        <v>24.480583190917969</v>
      </c>
      <c r="Z118" s="8">
        <v>24.283145904541016</v>
      </c>
      <c r="AA118" s="8">
        <v>24.104734420776367</v>
      </c>
      <c r="AB118" s="8">
        <v>23.859613418579102</v>
      </c>
      <c r="AC118" s="8">
        <v>23.674287796020508</v>
      </c>
      <c r="AD118" s="8">
        <v>23.494001388549805</v>
      </c>
      <c r="AE118" s="8">
        <v>23.275886535644531</v>
      </c>
      <c r="AG118" s="8">
        <f t="shared" si="1"/>
        <v>25.114186547019266</v>
      </c>
    </row>
    <row r="119" spans="1:33" x14ac:dyDescent="0.2">
      <c r="A119" s="3" t="s">
        <v>141</v>
      </c>
      <c r="B119" s="3" t="s">
        <v>335</v>
      </c>
      <c r="C119" s="8">
        <v>26.350412368774414</v>
      </c>
      <c r="D119" s="8">
        <v>26.225259780883789</v>
      </c>
      <c r="E119" s="8">
        <v>26.043403625488281</v>
      </c>
      <c r="F119" s="8">
        <v>25.776937484741211</v>
      </c>
      <c r="G119" s="8">
        <v>25.591676712036133</v>
      </c>
      <c r="H119" s="8">
        <v>25.381172180175781</v>
      </c>
      <c r="I119" s="8">
        <v>25.232172012329102</v>
      </c>
      <c r="J119" s="8">
        <v>25.045448303222656</v>
      </c>
      <c r="K119" s="8">
        <v>24.825443267822266</v>
      </c>
      <c r="L119" s="8">
        <v>24.5809326171875</v>
      </c>
      <c r="M119" s="8">
        <v>24.337438583374023</v>
      </c>
      <c r="N119" s="8">
        <v>24.093761444091797</v>
      </c>
      <c r="O119" s="8">
        <v>23.858211517333984</v>
      </c>
      <c r="P119" s="8">
        <v>23.652341842651367</v>
      </c>
      <c r="Q119" s="8">
        <v>23.449243545532227</v>
      </c>
      <c r="R119" s="8">
        <v>23.28270149230957</v>
      </c>
      <c r="S119" s="8">
        <v>23.162818908691406</v>
      </c>
      <c r="T119" s="8">
        <v>23.004222869873047</v>
      </c>
      <c r="U119" s="8">
        <v>22.825139999389648</v>
      </c>
      <c r="V119" s="8">
        <v>22.588706970214844</v>
      </c>
      <c r="W119" s="8">
        <v>22.476314544677734</v>
      </c>
      <c r="X119" s="8">
        <v>22.381799697875977</v>
      </c>
      <c r="Y119" s="8">
        <v>22.262577056884766</v>
      </c>
      <c r="Z119" s="8">
        <v>22.176906585693359</v>
      </c>
      <c r="AA119" s="8">
        <v>22.267864227294922</v>
      </c>
      <c r="AB119" s="8">
        <v>22.327861785888672</v>
      </c>
      <c r="AC119" s="8">
        <v>22.382125854492188</v>
      </c>
      <c r="AD119" s="8">
        <v>22.52583122253418</v>
      </c>
      <c r="AE119" s="8">
        <v>22.581417083740234</v>
      </c>
      <c r="AG119" s="8">
        <f t="shared" si="1"/>
        <v>22.614264921708539</v>
      </c>
    </row>
    <row r="120" spans="1:33" x14ac:dyDescent="0.2">
      <c r="A120" s="3" t="s">
        <v>145</v>
      </c>
      <c r="B120" s="3" t="s">
        <v>339</v>
      </c>
      <c r="C120" s="8">
        <v>21.74284553527832</v>
      </c>
      <c r="D120" s="8">
        <v>21.458837509155273</v>
      </c>
      <c r="E120" s="8">
        <v>21.632959365844727</v>
      </c>
      <c r="F120" s="8">
        <v>21.595876693725586</v>
      </c>
      <c r="G120" s="8">
        <v>21.378353118896484</v>
      </c>
      <c r="H120" s="8">
        <v>20.973289489746094</v>
      </c>
      <c r="I120" s="8">
        <v>20.426601409912109</v>
      </c>
      <c r="J120" s="8">
        <v>20.599275588989258</v>
      </c>
      <c r="K120" s="8">
        <v>20.330801010131836</v>
      </c>
      <c r="L120" s="8">
        <v>20.595996856689453</v>
      </c>
      <c r="M120" s="8">
        <v>20.330671310424805</v>
      </c>
      <c r="N120" s="8">
        <v>19.688636779785156</v>
      </c>
      <c r="O120" s="8">
        <v>19.447170257568359</v>
      </c>
      <c r="P120" s="8">
        <v>19.007955551147461</v>
      </c>
      <c r="Q120" s="8">
        <v>18.961017608642578</v>
      </c>
      <c r="R120" s="8">
        <v>18.400583267211914</v>
      </c>
      <c r="S120" s="8">
        <v>17.621335983276367</v>
      </c>
      <c r="T120" s="8">
        <v>18.467870712280273</v>
      </c>
      <c r="U120" s="8">
        <v>18.920637130737305</v>
      </c>
      <c r="V120" s="8">
        <v>18.247434616088867</v>
      </c>
      <c r="W120" s="8">
        <v>17.657598495483398</v>
      </c>
      <c r="X120" s="8">
        <v>16.995418548583984</v>
      </c>
      <c r="Y120" s="8">
        <v>16.6292724609375</v>
      </c>
      <c r="Z120" s="8">
        <v>16.563753128051758</v>
      </c>
      <c r="AA120" s="8">
        <v>16.2557373046875</v>
      </c>
      <c r="AB120" s="8">
        <v>16.383426666259766</v>
      </c>
      <c r="AC120" s="8">
        <v>16.174825668334961</v>
      </c>
      <c r="AD120" s="8">
        <v>15.779715538024902</v>
      </c>
      <c r="AE120" s="8">
        <v>15.524737358093262</v>
      </c>
      <c r="AG120" s="8">
        <f t="shared" si="1"/>
        <v>17.467551664872602</v>
      </c>
    </row>
    <row r="121" spans="1:33" x14ac:dyDescent="0.2">
      <c r="A121" s="3" t="s">
        <v>146</v>
      </c>
      <c r="B121" s="3" t="s">
        <v>340</v>
      </c>
      <c r="C121" s="8">
        <v>36.140434265136719</v>
      </c>
      <c r="D121" s="8">
        <v>35.563743591308594</v>
      </c>
      <c r="E121" s="8">
        <v>34.821056365966797</v>
      </c>
      <c r="F121" s="8">
        <v>34.641307830810547</v>
      </c>
      <c r="G121" s="8">
        <v>34.303417205810547</v>
      </c>
      <c r="H121" s="8">
        <v>34.03643798828125</v>
      </c>
      <c r="I121" s="8">
        <v>33.820137023925781</v>
      </c>
      <c r="J121" s="8">
        <v>33.734504699707031</v>
      </c>
      <c r="K121" s="8">
        <v>33.613784790039063</v>
      </c>
      <c r="L121" s="8">
        <v>33.325912475585938</v>
      </c>
      <c r="M121" s="8">
        <v>33.128273010253906</v>
      </c>
      <c r="N121" s="8">
        <v>33.036228179931641</v>
      </c>
      <c r="O121" s="8">
        <v>32.263652801513672</v>
      </c>
      <c r="P121" s="8">
        <v>31.892803192138672</v>
      </c>
      <c r="Q121" s="8">
        <v>31.78773307800293</v>
      </c>
      <c r="R121" s="8">
        <v>31.319023132324219</v>
      </c>
      <c r="S121" s="8">
        <v>30.935033798217773</v>
      </c>
      <c r="T121" s="8">
        <v>30.200239181518555</v>
      </c>
      <c r="U121" s="8">
        <v>29.318317413330078</v>
      </c>
      <c r="V121" s="8">
        <v>28.746267318725586</v>
      </c>
      <c r="W121" s="8">
        <v>28.410673141479492</v>
      </c>
      <c r="X121" s="8">
        <v>28.193292617797852</v>
      </c>
      <c r="Y121" s="8">
        <v>27.742475509643555</v>
      </c>
      <c r="Z121" s="8">
        <v>27.555593490600586</v>
      </c>
      <c r="AA121" s="8">
        <v>27.442226409912109</v>
      </c>
      <c r="AB121" s="8">
        <v>27.174339294433594</v>
      </c>
      <c r="AC121" s="8">
        <v>26.864013671875</v>
      </c>
      <c r="AD121" s="8">
        <v>26.764986038208008</v>
      </c>
      <c r="AE121" s="8">
        <v>26.559425354003906</v>
      </c>
      <c r="AG121" s="8">
        <f t="shared" si="1"/>
        <v>28.821589209816672</v>
      </c>
    </row>
    <row r="122" spans="1:33" x14ac:dyDescent="0.2">
      <c r="A122" s="3" t="s">
        <v>147</v>
      </c>
      <c r="B122" s="3" t="s">
        <v>341</v>
      </c>
      <c r="C122" s="8">
        <v>40.600948333740234</v>
      </c>
      <c r="D122" s="8">
        <v>39.972263336181641</v>
      </c>
      <c r="E122" s="8">
        <v>39.809410095214844</v>
      </c>
      <c r="F122" s="8">
        <v>39.555690765380859</v>
      </c>
      <c r="G122" s="8">
        <v>39.19989013671875</v>
      </c>
      <c r="H122" s="8">
        <v>38.9520263671875</v>
      </c>
      <c r="I122" s="8">
        <v>38.977706909179688</v>
      </c>
      <c r="J122" s="8">
        <v>39.021408081054688</v>
      </c>
      <c r="K122" s="8">
        <v>38.941551208496094</v>
      </c>
      <c r="L122" s="8">
        <v>39.061046600341797</v>
      </c>
      <c r="M122" s="8">
        <v>39.536228179931641</v>
      </c>
      <c r="N122" s="8">
        <v>39.765647888183594</v>
      </c>
      <c r="O122" s="8">
        <v>39.954929351806641</v>
      </c>
      <c r="P122" s="8">
        <v>40.160388946533203</v>
      </c>
      <c r="Q122" s="8">
        <v>40.428615570068359</v>
      </c>
      <c r="R122" s="8">
        <v>40.660678863525391</v>
      </c>
      <c r="S122" s="8">
        <v>40.644268035888672</v>
      </c>
      <c r="T122" s="8">
        <v>40.600452423095703</v>
      </c>
      <c r="U122" s="8">
        <v>40.422149658203125</v>
      </c>
      <c r="V122" s="8">
        <v>40.064994812011719</v>
      </c>
      <c r="W122" s="8">
        <v>40.227073669433594</v>
      </c>
      <c r="X122" s="8">
        <v>40.334011077880859</v>
      </c>
      <c r="Y122" s="8">
        <v>40.359626770019531</v>
      </c>
      <c r="Z122" s="8">
        <v>40.323371887207031</v>
      </c>
      <c r="AA122" s="8">
        <v>40.355876922607422</v>
      </c>
      <c r="AB122" s="8">
        <v>40.327297210693359</v>
      </c>
      <c r="AC122" s="8">
        <v>40.245094299316406</v>
      </c>
      <c r="AD122" s="8">
        <v>40.226116180419922</v>
      </c>
      <c r="AE122" s="8">
        <v>40.090511322021484</v>
      </c>
      <c r="AG122" s="8">
        <f t="shared" si="1"/>
        <v>40.392709211869672</v>
      </c>
    </row>
    <row r="123" spans="1:33" x14ac:dyDescent="0.2">
      <c r="A123" s="3" t="s">
        <v>148</v>
      </c>
      <c r="B123" s="3" t="s">
        <v>342</v>
      </c>
      <c r="C123" s="8">
        <v>42.673091888427734</v>
      </c>
      <c r="D123" s="8">
        <v>41.663475036621094</v>
      </c>
      <c r="E123" s="8">
        <v>40.649600982666016</v>
      </c>
      <c r="F123" s="8">
        <v>40.279811859130859</v>
      </c>
      <c r="G123" s="8">
        <v>41.025798797607422</v>
      </c>
      <c r="H123" s="8">
        <v>41.284988403320313</v>
      </c>
      <c r="I123" s="8">
        <v>41.259014129638672</v>
      </c>
      <c r="J123" s="8">
        <v>41.974960327148438</v>
      </c>
      <c r="K123" s="8">
        <v>42.249855041503906</v>
      </c>
      <c r="L123" s="8">
        <v>42.171897888183594</v>
      </c>
      <c r="M123" s="8">
        <v>41.957077026367188</v>
      </c>
      <c r="N123" s="8">
        <v>41.673694610595703</v>
      </c>
      <c r="O123" s="8">
        <v>41.328704833984375</v>
      </c>
      <c r="P123" s="8">
        <v>40.624008178710938</v>
      </c>
      <c r="Q123" s="8">
        <v>40.034934997558594</v>
      </c>
      <c r="R123" s="8">
        <v>39.31915283203125</v>
      </c>
      <c r="S123" s="8">
        <v>39.100669860839844</v>
      </c>
      <c r="T123" s="8">
        <v>38.393779754638672</v>
      </c>
      <c r="U123" s="8">
        <v>37.277023315429688</v>
      </c>
      <c r="V123" s="8">
        <v>36.287464141845703</v>
      </c>
      <c r="W123" s="8">
        <v>35.376148223876953</v>
      </c>
      <c r="X123" s="8">
        <v>34.491161346435547</v>
      </c>
      <c r="Y123" s="8">
        <v>33.348369598388672</v>
      </c>
      <c r="Z123" s="8">
        <v>32.464885711669922</v>
      </c>
      <c r="AA123" s="8">
        <v>31.544708251953125</v>
      </c>
      <c r="AB123" s="8">
        <v>30.588384628295898</v>
      </c>
      <c r="AC123" s="8">
        <v>29.633575439453125</v>
      </c>
      <c r="AD123" s="8">
        <v>28.766149520874023</v>
      </c>
      <c r="AE123" s="8"/>
      <c r="AG123" s="8">
        <f t="shared" si="1"/>
        <v>35.290158878673203</v>
      </c>
    </row>
    <row r="124" spans="1:33" x14ac:dyDescent="0.2">
      <c r="A124" s="3" t="s">
        <v>149</v>
      </c>
      <c r="B124" s="3" t="s">
        <v>343</v>
      </c>
      <c r="C124" s="8">
        <v>18.598056793212891</v>
      </c>
      <c r="D124" s="8">
        <v>18.469589233398438</v>
      </c>
      <c r="E124" s="8">
        <v>18.741525650024414</v>
      </c>
      <c r="F124" s="8">
        <v>18.54411506652832</v>
      </c>
      <c r="G124" s="8">
        <v>18.403059005737305</v>
      </c>
      <c r="H124" s="8">
        <v>18.226415634155273</v>
      </c>
      <c r="I124" s="8">
        <v>18.158533096313477</v>
      </c>
      <c r="J124" s="8">
        <v>18.008232116699219</v>
      </c>
      <c r="K124" s="8">
        <v>17.860342025756836</v>
      </c>
      <c r="L124" s="8">
        <v>17.731683731079102</v>
      </c>
      <c r="M124" s="8">
        <v>17.608846664428711</v>
      </c>
      <c r="N124" s="8">
        <v>17.457963943481445</v>
      </c>
      <c r="O124" s="8">
        <v>17.44017219543457</v>
      </c>
      <c r="P124" s="8">
        <v>17.428468704223633</v>
      </c>
      <c r="Q124" s="8">
        <v>17.524499893188477</v>
      </c>
      <c r="R124" s="8">
        <v>17.347309112548828</v>
      </c>
      <c r="S124" s="8">
        <v>17.084554672241211</v>
      </c>
      <c r="T124" s="8">
        <v>16.799966812133789</v>
      </c>
      <c r="U124" s="8">
        <v>16.577260971069336</v>
      </c>
      <c r="V124" s="8">
        <v>16.247369766235352</v>
      </c>
      <c r="W124" s="8">
        <v>16.220907211303711</v>
      </c>
      <c r="X124" s="8">
        <v>16.245311737060547</v>
      </c>
      <c r="Y124" s="8">
        <v>16.00543212890625</v>
      </c>
      <c r="Z124" s="8">
        <v>15.693591117858887</v>
      </c>
      <c r="AA124" s="8">
        <v>15.378122329711914</v>
      </c>
      <c r="AB124" s="8">
        <v>15.111598014831543</v>
      </c>
      <c r="AC124" s="8">
        <v>15.087309837341309</v>
      </c>
      <c r="AD124" s="8">
        <v>15.012190818786621</v>
      </c>
      <c r="AE124" s="8">
        <v>14.935848236083984</v>
      </c>
      <c r="AG124" s="8">
        <f t="shared" si="1"/>
        <v>16.246493079445578</v>
      </c>
    </row>
    <row r="125" spans="1:33" x14ac:dyDescent="0.2">
      <c r="A125" s="3" t="s">
        <v>151</v>
      </c>
      <c r="B125" s="3" t="s">
        <v>345</v>
      </c>
      <c r="C125" s="8">
        <v>44.710987091064453</v>
      </c>
      <c r="D125" s="8">
        <v>45.003192901611328</v>
      </c>
      <c r="E125" s="8">
        <v>44.869461059570313</v>
      </c>
      <c r="F125" s="8">
        <v>44.782260894775391</v>
      </c>
      <c r="G125" s="8">
        <v>44.738323211669922</v>
      </c>
      <c r="H125" s="8">
        <v>44.735942840576172</v>
      </c>
      <c r="I125" s="8">
        <v>44.632732391357422</v>
      </c>
      <c r="J125" s="8">
        <v>44.502223968505859</v>
      </c>
      <c r="K125" s="8">
        <v>44.400833129882813</v>
      </c>
      <c r="L125" s="8">
        <v>44.114635467529297</v>
      </c>
      <c r="M125" s="8">
        <v>43.914268493652344</v>
      </c>
      <c r="N125" s="8">
        <v>43.702415466308594</v>
      </c>
      <c r="O125" s="8">
        <v>43.422378540039063</v>
      </c>
      <c r="P125" s="8">
        <v>43.133689880371094</v>
      </c>
      <c r="Q125" s="8">
        <v>42.851005554199219</v>
      </c>
      <c r="R125" s="8">
        <v>42.558322906494141</v>
      </c>
      <c r="S125" s="8">
        <v>42.134796142578125</v>
      </c>
      <c r="T125" s="8">
        <v>41.700962066650391</v>
      </c>
      <c r="U125" s="8">
        <v>41.259128570556641</v>
      </c>
      <c r="V125" s="8">
        <v>40.990127563476563</v>
      </c>
      <c r="W125" s="8">
        <v>40.734352111816406</v>
      </c>
      <c r="X125" s="8">
        <v>40.416862487792969</v>
      </c>
      <c r="Y125" s="8">
        <v>40.220310211181641</v>
      </c>
      <c r="Z125" s="8">
        <v>39.918312072753906</v>
      </c>
      <c r="AA125" s="8">
        <v>39.550865173339844</v>
      </c>
      <c r="AB125" s="8">
        <v>39.332756042480469</v>
      </c>
      <c r="AC125" s="8">
        <v>38.870151519775391</v>
      </c>
      <c r="AD125" s="8">
        <v>38.398036956787109</v>
      </c>
      <c r="AE125" s="8">
        <v>37.927837371826172</v>
      </c>
      <c r="AG125" s="8">
        <f t="shared" si="1"/>
        <v>40.801526849920101</v>
      </c>
    </row>
    <row r="126" spans="1:33" x14ac:dyDescent="0.2">
      <c r="A126" s="3" t="s">
        <v>154</v>
      </c>
      <c r="B126" s="3" t="s">
        <v>348</v>
      </c>
      <c r="C126" s="8">
        <v>39.622566223144531</v>
      </c>
      <c r="D126" s="8">
        <v>39.261573791503906</v>
      </c>
      <c r="E126" s="8">
        <v>39.276927947998047</v>
      </c>
      <c r="F126" s="8">
        <v>39.413120269775391</v>
      </c>
      <c r="G126" s="8">
        <v>39.410503387451172</v>
      </c>
      <c r="H126" s="8">
        <v>39.774154663085938</v>
      </c>
      <c r="I126" s="8">
        <v>39.943511962890625</v>
      </c>
      <c r="J126" s="8">
        <v>40.295078277587891</v>
      </c>
      <c r="K126" s="8">
        <v>40.636123657226563</v>
      </c>
      <c r="L126" s="8">
        <v>41.055980682373047</v>
      </c>
      <c r="M126" s="8">
        <v>41.302989959716797</v>
      </c>
      <c r="N126" s="8">
        <v>41.605216979980469</v>
      </c>
      <c r="O126" s="8">
        <v>41.818321228027344</v>
      </c>
      <c r="P126" s="8">
        <v>42.165191650390625</v>
      </c>
      <c r="Q126" s="8">
        <v>42.760707855224609</v>
      </c>
      <c r="R126" s="8">
        <v>42.749179840087891</v>
      </c>
      <c r="S126" s="8">
        <v>42.706512451171875</v>
      </c>
      <c r="T126" s="8">
        <v>42.902011871337891</v>
      </c>
      <c r="U126" s="8">
        <v>42.813911437988281</v>
      </c>
      <c r="V126" s="8">
        <v>42.705883026123047</v>
      </c>
      <c r="W126" s="8">
        <v>40.921588897705078</v>
      </c>
      <c r="X126" s="8">
        <v>38.98956298828125</v>
      </c>
      <c r="Y126" s="8">
        <v>37.993377685546875</v>
      </c>
      <c r="Z126" s="8">
        <v>37.602157592773438</v>
      </c>
      <c r="AA126" s="8">
        <v>37.341033935546875</v>
      </c>
      <c r="AB126" s="8">
        <v>37.219161987304688</v>
      </c>
      <c r="AC126" s="8">
        <v>37.111495971679688</v>
      </c>
      <c r="AD126" s="8">
        <v>37.046329498291016</v>
      </c>
      <c r="AE126" s="8"/>
      <c r="AG126" s="8">
        <f t="shared" si="1"/>
        <v>40.358580155806109</v>
      </c>
    </row>
    <row r="127" spans="1:33" x14ac:dyDescent="0.2">
      <c r="A127" s="3" t="s">
        <v>152</v>
      </c>
      <c r="B127" s="3" t="s">
        <v>346</v>
      </c>
      <c r="C127" s="8">
        <v>14.679225921630859</v>
      </c>
      <c r="D127" s="8">
        <v>14.435996055603027</v>
      </c>
      <c r="E127" s="8">
        <v>14.222222328186035</v>
      </c>
      <c r="F127" s="8">
        <v>13.935981750488281</v>
      </c>
      <c r="G127" s="8">
        <v>13.771806716918945</v>
      </c>
      <c r="H127" s="8">
        <v>13.572139739990234</v>
      </c>
      <c r="I127" s="8">
        <v>13.358761787414551</v>
      </c>
      <c r="J127" s="8">
        <v>13.129088401794434</v>
      </c>
      <c r="K127" s="8">
        <v>12.91822338104248</v>
      </c>
      <c r="L127" s="8">
        <v>12.650041580200195</v>
      </c>
      <c r="M127" s="8">
        <v>12.517526626586914</v>
      </c>
      <c r="N127" s="8">
        <v>12.360258102416992</v>
      </c>
      <c r="O127" s="8">
        <v>12.199328422546387</v>
      </c>
      <c r="P127" s="8">
        <v>12.02293872833252</v>
      </c>
      <c r="Q127" s="8">
        <v>11.98173713684082</v>
      </c>
      <c r="R127" s="8">
        <v>11.986186027526855</v>
      </c>
      <c r="S127" s="8">
        <v>12.103972434997559</v>
      </c>
      <c r="T127" s="8">
        <v>12.200405120849609</v>
      </c>
      <c r="U127" s="8">
        <v>12.214529037475586</v>
      </c>
      <c r="V127" s="8">
        <v>12.133405685424805</v>
      </c>
      <c r="W127" s="8">
        <v>12.07829475402832</v>
      </c>
      <c r="X127" s="8">
        <v>12.011581420898438</v>
      </c>
      <c r="Y127" s="8">
        <v>11.913372039794922</v>
      </c>
      <c r="Z127" s="8">
        <v>11.79228687286377</v>
      </c>
      <c r="AA127" s="8">
        <v>11.721776008605957</v>
      </c>
      <c r="AB127" s="8">
        <v>11.609800338745117</v>
      </c>
      <c r="AC127" s="8">
        <v>11.491281509399414</v>
      </c>
      <c r="AD127" s="8">
        <v>11.370479583740234</v>
      </c>
      <c r="AE127" s="8">
        <v>11.29212760925293</v>
      </c>
      <c r="AG127" s="8">
        <f t="shared" si="1"/>
        <v>11.978691794655539</v>
      </c>
    </row>
    <row r="128" spans="1:33" x14ac:dyDescent="0.2">
      <c r="A128" s="3" t="s">
        <v>160</v>
      </c>
      <c r="B128" s="3" t="s">
        <v>354</v>
      </c>
      <c r="C128" s="8">
        <v>19.109674453735352</v>
      </c>
      <c r="D128" s="8">
        <v>18.654569625854492</v>
      </c>
      <c r="E128" s="8">
        <v>18.203319549560547</v>
      </c>
      <c r="F128" s="8">
        <v>18.171382904052734</v>
      </c>
      <c r="G128" s="8">
        <v>18.187114715576172</v>
      </c>
      <c r="H128" s="8">
        <v>18.124374389648438</v>
      </c>
      <c r="I128" s="8">
        <v>18.02006721496582</v>
      </c>
      <c r="J128" s="8">
        <v>17.825942993164063</v>
      </c>
      <c r="K128" s="8">
        <v>17.56443977355957</v>
      </c>
      <c r="L128" s="8">
        <v>17.409196853637695</v>
      </c>
      <c r="M128" s="8">
        <v>17.259181976318359</v>
      </c>
      <c r="N128" s="8">
        <v>17.160152435302734</v>
      </c>
      <c r="O128" s="8">
        <v>17.05232048034668</v>
      </c>
      <c r="P128" s="8">
        <v>16.967813491821289</v>
      </c>
      <c r="Q128" s="8">
        <v>16.976613998413086</v>
      </c>
      <c r="R128" s="8">
        <v>16.979333877563477</v>
      </c>
      <c r="S128" s="8">
        <v>16.875539779663086</v>
      </c>
      <c r="T128" s="8">
        <v>16.800159454345703</v>
      </c>
      <c r="U128" s="8">
        <v>16.715583801269531</v>
      </c>
      <c r="V128" s="8">
        <v>16.525421142578125</v>
      </c>
      <c r="W128" s="8">
        <v>16.374057769775391</v>
      </c>
      <c r="X128" s="8">
        <v>16.346336364746094</v>
      </c>
      <c r="Y128" s="8">
        <v>16.327146530151367</v>
      </c>
      <c r="Z128" s="8">
        <v>16.285528182983398</v>
      </c>
      <c r="AA128" s="8">
        <v>16.310150146484375</v>
      </c>
      <c r="AB128" s="8">
        <v>16.226627349853516</v>
      </c>
      <c r="AC128" s="8">
        <v>16.225349426269531</v>
      </c>
      <c r="AD128" s="8">
        <v>16.178316116333008</v>
      </c>
      <c r="AE128" s="8">
        <v>16.137657165527344</v>
      </c>
      <c r="AG128" s="8">
        <f t="shared" si="1"/>
        <v>16.524171309037641</v>
      </c>
    </row>
    <row r="129" spans="1:33" x14ac:dyDescent="0.2">
      <c r="A129" s="3" t="s">
        <v>161</v>
      </c>
      <c r="B129" s="3" t="s">
        <v>355</v>
      </c>
      <c r="C129" s="8">
        <v>28.850257873535156</v>
      </c>
      <c r="D129" s="8">
        <v>28.202751159667969</v>
      </c>
      <c r="E129" s="8">
        <v>27.811389923095703</v>
      </c>
      <c r="F129" s="8">
        <v>27.575345993041992</v>
      </c>
      <c r="G129" s="8">
        <v>27.321392059326172</v>
      </c>
      <c r="H129" s="8">
        <v>27.144008636474609</v>
      </c>
      <c r="I129" s="8">
        <v>26.867252349853516</v>
      </c>
      <c r="J129" s="8">
        <v>26.588493347167969</v>
      </c>
      <c r="K129" s="8">
        <v>26.383935928344727</v>
      </c>
      <c r="L129" s="8">
        <v>26.218414306640625</v>
      </c>
      <c r="M129" s="8">
        <v>25.988594055175781</v>
      </c>
      <c r="N129" s="8">
        <v>25.740564346313477</v>
      </c>
      <c r="O129" s="8">
        <v>25.594699859619141</v>
      </c>
      <c r="P129" s="8">
        <v>25.393795013427734</v>
      </c>
      <c r="Q129" s="8">
        <v>25.202728271484375</v>
      </c>
      <c r="R129" s="8">
        <v>24.994197845458984</v>
      </c>
      <c r="S129" s="8">
        <v>24.797483444213867</v>
      </c>
      <c r="T129" s="8">
        <v>24.700576782226563</v>
      </c>
      <c r="U129" s="8">
        <v>24.512245178222656</v>
      </c>
      <c r="V129" s="8">
        <v>24.215225219726563</v>
      </c>
      <c r="W129" s="8">
        <v>24.052431106567383</v>
      </c>
      <c r="X129" s="8">
        <v>23.947166442871094</v>
      </c>
      <c r="Y129" s="8">
        <v>23.924638748168945</v>
      </c>
      <c r="Z129" s="8">
        <v>23.922756195068359</v>
      </c>
      <c r="AA129" s="8">
        <v>23.999094009399414</v>
      </c>
      <c r="AB129" s="8">
        <v>24.034523010253906</v>
      </c>
      <c r="AC129" s="8">
        <v>24.122102737426758</v>
      </c>
      <c r="AD129" s="8">
        <v>24.233417510986328</v>
      </c>
      <c r="AE129" s="8">
        <v>24.255475997924805</v>
      </c>
      <c r="AG129" s="8">
        <f t="shared" si="1"/>
        <v>24.281848907470703</v>
      </c>
    </row>
    <row r="130" spans="1:33" x14ac:dyDescent="0.2">
      <c r="A130" s="3" t="s">
        <v>190</v>
      </c>
      <c r="B130" s="3" t="s">
        <v>384</v>
      </c>
      <c r="C130" s="8">
        <v>25.821268081665039</v>
      </c>
      <c r="D130" s="8">
        <v>25.946697235107422</v>
      </c>
      <c r="E130" s="8">
        <v>25.995218276977539</v>
      </c>
      <c r="F130" s="8">
        <v>26.066312789916992</v>
      </c>
      <c r="G130" s="8">
        <v>26.121393203735352</v>
      </c>
      <c r="H130" s="8">
        <v>26.205730438232422</v>
      </c>
      <c r="I130" s="8">
        <v>26.196340560913086</v>
      </c>
      <c r="J130" s="8">
        <v>26.130527496337891</v>
      </c>
      <c r="K130" s="8">
        <v>26.076995849609375</v>
      </c>
      <c r="L130" s="8">
        <v>26.072391510009766</v>
      </c>
      <c r="M130" s="8">
        <v>26.060586929321289</v>
      </c>
      <c r="N130" s="8">
        <v>25.813766479492188</v>
      </c>
      <c r="O130" s="8">
        <v>25.95416259765625</v>
      </c>
      <c r="P130" s="8">
        <v>25.678741455078125</v>
      </c>
      <c r="Q130" s="8">
        <v>25.536209106445313</v>
      </c>
      <c r="R130" s="8">
        <v>25.526391983032227</v>
      </c>
      <c r="S130" s="8">
        <v>25.563352584838867</v>
      </c>
      <c r="T130" s="8">
        <v>25.200492858886719</v>
      </c>
      <c r="U130" s="8">
        <v>24.96728515625</v>
      </c>
      <c r="V130" s="8">
        <v>24.543664932250977</v>
      </c>
      <c r="W130" s="8">
        <v>24.259649276733398</v>
      </c>
      <c r="X130" s="8">
        <v>24.254791259765625</v>
      </c>
      <c r="Y130" s="8">
        <v>24.141410827636719</v>
      </c>
      <c r="Z130" s="8">
        <v>24.030319213867188</v>
      </c>
      <c r="AA130" s="8">
        <v>23.899124145507813</v>
      </c>
      <c r="AB130" s="8">
        <v>23.894460678100586</v>
      </c>
      <c r="AC130" s="8">
        <v>23.726528167724609</v>
      </c>
      <c r="AD130" s="8">
        <v>23.695663452148438</v>
      </c>
      <c r="AE130" s="8">
        <v>23.608823776245117</v>
      </c>
      <c r="AG130" s="8">
        <f t="shared" si="1"/>
        <v>24.570994810624555</v>
      </c>
    </row>
    <row r="131" spans="1:33" x14ac:dyDescent="0.2">
      <c r="A131" s="3" t="s">
        <v>56</v>
      </c>
      <c r="B131" s="3" t="s">
        <v>249</v>
      </c>
      <c r="C131" s="8">
        <v>25.128190994262695</v>
      </c>
      <c r="D131" s="8">
        <v>24.855175018310547</v>
      </c>
      <c r="E131" s="8">
        <v>24.496295928955078</v>
      </c>
      <c r="F131" s="8">
        <v>24.15472412109375</v>
      </c>
      <c r="G131" s="8">
        <v>23.944816589355469</v>
      </c>
      <c r="H131" s="8">
        <v>23.821691513061523</v>
      </c>
      <c r="I131" s="8">
        <v>23.673189163208008</v>
      </c>
      <c r="J131" s="8">
        <v>23.589370727539063</v>
      </c>
      <c r="K131" s="8">
        <v>23.511501312255859</v>
      </c>
      <c r="L131" s="8">
        <v>23.441234588623047</v>
      </c>
      <c r="M131" s="8">
        <v>23.365270614624023</v>
      </c>
      <c r="N131" s="8">
        <v>23.219594955444336</v>
      </c>
      <c r="O131" s="8">
        <v>23.027593612670898</v>
      </c>
      <c r="P131" s="8">
        <v>22.87169075012207</v>
      </c>
      <c r="Q131" s="8">
        <v>22.705718994140625</v>
      </c>
      <c r="R131" s="8">
        <v>22.57282829284668</v>
      </c>
      <c r="S131" s="8">
        <v>22.402288436889648</v>
      </c>
      <c r="T131" s="8">
        <v>22.200029373168945</v>
      </c>
      <c r="U131" s="8">
        <v>21.871372222900391</v>
      </c>
      <c r="V131" s="8">
        <v>21.412246704101563</v>
      </c>
      <c r="W131" s="8">
        <v>21.22871208190918</v>
      </c>
      <c r="X131" s="8">
        <v>21.00274658203125</v>
      </c>
      <c r="Y131" s="8">
        <v>20.79932975769043</v>
      </c>
      <c r="Z131" s="8">
        <v>20.686853408813477</v>
      </c>
      <c r="AA131" s="8">
        <v>20.687892913818359</v>
      </c>
      <c r="AB131" s="8">
        <v>20.719690322875977</v>
      </c>
      <c r="AC131" s="8">
        <v>20.74281120300293</v>
      </c>
      <c r="AD131" s="8">
        <v>20.754335403442383</v>
      </c>
      <c r="AE131" s="8">
        <v>20.724040985107422</v>
      </c>
      <c r="AG131" s="8">
        <f t="shared" ref="AG131:AG157" si="2">AVERAGE($R131:$AB131)</f>
        <v>21.416726372458719</v>
      </c>
    </row>
    <row r="132" spans="1:33" x14ac:dyDescent="0.2">
      <c r="A132" s="3" t="s">
        <v>103</v>
      </c>
      <c r="B132" s="3" t="s">
        <v>296</v>
      </c>
      <c r="C132" s="8">
        <v>49.406280517578125</v>
      </c>
      <c r="D132" s="8">
        <v>48.862106323242188</v>
      </c>
      <c r="E132" s="8">
        <v>48.297386169433594</v>
      </c>
      <c r="F132" s="8">
        <v>48.159114837646484</v>
      </c>
      <c r="G132" s="8">
        <v>47.628196716308594</v>
      </c>
      <c r="H132" s="8">
        <v>47.038928985595703</v>
      </c>
      <c r="I132" s="8">
        <v>46.640850067138672</v>
      </c>
      <c r="J132" s="8">
        <v>46.109542846679688</v>
      </c>
      <c r="K132" s="8">
        <v>46.191635131835938</v>
      </c>
      <c r="L132" s="8">
        <v>45.607662200927734</v>
      </c>
      <c r="M132" s="8">
        <v>45.279720306396484</v>
      </c>
      <c r="N132" s="8">
        <v>44.818141937255859</v>
      </c>
      <c r="O132" s="8">
        <v>44.880683898925781</v>
      </c>
      <c r="P132" s="8">
        <v>44.512550354003906</v>
      </c>
      <c r="Q132" s="8">
        <v>43.964393615722656</v>
      </c>
      <c r="R132" s="8">
        <v>43.340175628662109</v>
      </c>
      <c r="S132" s="8">
        <v>43.000942230224609</v>
      </c>
      <c r="T132" s="8">
        <v>42.200035095214844</v>
      </c>
      <c r="U132" s="8">
        <v>42.125724792480469</v>
      </c>
      <c r="V132" s="8">
        <v>41.356365203857422</v>
      </c>
      <c r="W132" s="8">
        <v>40.815933227539063</v>
      </c>
      <c r="X132" s="8">
        <v>39.953151702880859</v>
      </c>
      <c r="Y132" s="8">
        <v>38.939128875732422</v>
      </c>
      <c r="Z132" s="8">
        <v>38.251876831054688</v>
      </c>
      <c r="AA132" s="8">
        <v>37.503948211669922</v>
      </c>
      <c r="AB132" s="8">
        <v>36.911464691162109</v>
      </c>
      <c r="AC132" s="8">
        <v>36.327247619628906</v>
      </c>
      <c r="AD132" s="8">
        <v>35.752681732177734</v>
      </c>
      <c r="AE132" s="8">
        <v>35.094295501708984</v>
      </c>
      <c r="AG132" s="8">
        <f t="shared" si="2"/>
        <v>40.399886044588953</v>
      </c>
    </row>
    <row r="133" spans="1:33" x14ac:dyDescent="0.2">
      <c r="A133" s="3" t="s">
        <v>102</v>
      </c>
      <c r="B133" s="3" t="s">
        <v>295</v>
      </c>
      <c r="C133" s="8">
        <v>51.245262145996094</v>
      </c>
      <c r="D133" s="8">
        <v>49.978145599365234</v>
      </c>
      <c r="E133" s="8">
        <v>48.829292297363281</v>
      </c>
      <c r="F133" s="8">
        <v>47.987060546875</v>
      </c>
      <c r="G133" s="8">
        <v>46.114509582519531</v>
      </c>
      <c r="H133" s="8">
        <v>45.765937805175781</v>
      </c>
      <c r="I133" s="8">
        <v>44.655532836914063</v>
      </c>
      <c r="J133" s="8">
        <v>43.271678924560547</v>
      </c>
      <c r="K133" s="8">
        <v>42.4912109375</v>
      </c>
      <c r="L133" s="8">
        <v>42.261661529541016</v>
      </c>
      <c r="M133" s="8">
        <v>42.279155731201172</v>
      </c>
      <c r="N133" s="8">
        <v>41.500038146972656</v>
      </c>
      <c r="O133" s="8">
        <v>40.991573333740234</v>
      </c>
      <c r="P133" s="8">
        <v>40.952716827392578</v>
      </c>
      <c r="Q133" s="8">
        <v>40.733535766601563</v>
      </c>
      <c r="R133" s="8">
        <v>40.648616790771484</v>
      </c>
      <c r="S133" s="8">
        <v>39.905906677246094</v>
      </c>
      <c r="T133" s="8">
        <v>40.407997131347656</v>
      </c>
      <c r="U133" s="8">
        <v>39.888664245605469</v>
      </c>
      <c r="V133" s="8">
        <v>39.427440643310547</v>
      </c>
      <c r="W133" s="8">
        <v>38.813926696777344</v>
      </c>
      <c r="X133" s="8">
        <v>38.821453094482422</v>
      </c>
      <c r="Y133" s="8">
        <v>38.516445159912109</v>
      </c>
      <c r="Z133" s="8">
        <v>38.035648345947266</v>
      </c>
      <c r="AA133" s="8">
        <v>38.356235504150391</v>
      </c>
      <c r="AB133" s="8">
        <v>37.908920288085938</v>
      </c>
      <c r="AC133" s="8">
        <v>37.596141815185547</v>
      </c>
      <c r="AD133" s="8">
        <v>36.645530700683594</v>
      </c>
      <c r="AE133" s="8">
        <v>36.380973815917969</v>
      </c>
      <c r="AG133" s="8">
        <f t="shared" si="2"/>
        <v>39.157386779785156</v>
      </c>
    </row>
    <row r="134" spans="1:33" x14ac:dyDescent="0.2">
      <c r="A134" s="3" t="s">
        <v>183</v>
      </c>
      <c r="B134" s="3" t="s">
        <v>377</v>
      </c>
      <c r="C134" s="8">
        <v>54.156745910644531</v>
      </c>
      <c r="D134" s="8">
        <v>53.614490509033203</v>
      </c>
      <c r="E134" s="8">
        <v>52.890510559082031</v>
      </c>
      <c r="F134" s="8">
        <v>52.835647583007813</v>
      </c>
      <c r="G134" s="8">
        <v>52.316726684570313</v>
      </c>
      <c r="H134" s="8">
        <v>50.934230804443359</v>
      </c>
      <c r="I134" s="8">
        <v>50.452751159667969</v>
      </c>
      <c r="J134" s="8">
        <v>50.003658294677734</v>
      </c>
      <c r="K134" s="8">
        <v>51.667507171630859</v>
      </c>
      <c r="L134" s="8">
        <v>50.891536712646484</v>
      </c>
      <c r="M134" s="8">
        <v>51.468788146972656</v>
      </c>
      <c r="N134" s="8">
        <v>50.600265502929688</v>
      </c>
      <c r="O134" s="8">
        <v>50.365085601806641</v>
      </c>
      <c r="P134" s="8">
        <v>49.996501922607422</v>
      </c>
      <c r="Q134" s="8">
        <v>49.610187530517578</v>
      </c>
      <c r="R134" s="8">
        <v>49.449214935302734</v>
      </c>
      <c r="S134" s="8">
        <v>49.197422027587891</v>
      </c>
      <c r="T134" s="8">
        <v>48.569293975830078</v>
      </c>
      <c r="U134" s="8">
        <v>47.413711547851563</v>
      </c>
      <c r="V134" s="8">
        <v>47.064678192138672</v>
      </c>
      <c r="W134" s="8">
        <v>47.017452239990234</v>
      </c>
      <c r="X134" s="8">
        <v>46.794609069824219</v>
      </c>
      <c r="Y134" s="8">
        <v>46.267414093017578</v>
      </c>
      <c r="Z134" s="8">
        <v>45.842300415039063</v>
      </c>
      <c r="AA134" s="8">
        <v>45.685970306396484</v>
      </c>
      <c r="AB134" s="8">
        <v>45.054718017578125</v>
      </c>
      <c r="AC134" s="8">
        <v>44.617359161376953</v>
      </c>
      <c r="AD134" s="8">
        <v>44.407032012939453</v>
      </c>
      <c r="AE134" s="8"/>
      <c r="AG134" s="8">
        <f t="shared" si="2"/>
        <v>47.123344074596055</v>
      </c>
    </row>
    <row r="135" spans="1:33" x14ac:dyDescent="0.2">
      <c r="A135" s="3" t="s">
        <v>150</v>
      </c>
      <c r="B135" s="3" t="s">
        <v>344</v>
      </c>
      <c r="C135" s="8">
        <v>45.921577453613281</v>
      </c>
      <c r="D135" s="8">
        <v>45.513351440429688</v>
      </c>
      <c r="E135" s="8">
        <v>44.765514373779297</v>
      </c>
      <c r="F135" s="8">
        <v>43.891792297363281</v>
      </c>
      <c r="G135" s="8">
        <v>43.433017730712891</v>
      </c>
      <c r="H135" s="8">
        <v>42.833286285400391</v>
      </c>
      <c r="I135" s="8">
        <v>40.741828918457031</v>
      </c>
      <c r="J135" s="8">
        <v>38.743267059326172</v>
      </c>
      <c r="K135" s="8">
        <v>35.368659973144531</v>
      </c>
      <c r="L135" s="8">
        <v>34.100486755371094</v>
      </c>
      <c r="M135" s="8">
        <v>33.224159240722656</v>
      </c>
      <c r="N135" s="8">
        <v>32.131637573242188</v>
      </c>
      <c r="O135" s="8">
        <v>30.520620346069336</v>
      </c>
      <c r="P135" s="8">
        <v>28.811084747314453</v>
      </c>
      <c r="Q135" s="8">
        <v>27.210769653320313</v>
      </c>
      <c r="R135" s="8">
        <v>25.807544708251953</v>
      </c>
      <c r="S135" s="8">
        <v>24.810009002685547</v>
      </c>
      <c r="T135" s="8">
        <v>24.012529373168945</v>
      </c>
      <c r="U135" s="8">
        <v>23.355745315551758</v>
      </c>
      <c r="V135" s="8">
        <v>22.742401123046875</v>
      </c>
      <c r="W135" s="8">
        <v>22.109184265136719</v>
      </c>
      <c r="X135" s="8">
        <v>21.5384521484375</v>
      </c>
      <c r="Y135" s="8">
        <v>21.179235458374023</v>
      </c>
      <c r="Z135" s="8">
        <v>20.827112197875977</v>
      </c>
      <c r="AA135" s="8">
        <v>20.529098510742188</v>
      </c>
      <c r="AB135" s="8">
        <v>20.261508941650391</v>
      </c>
      <c r="AC135" s="8">
        <v>19.989933013916016</v>
      </c>
      <c r="AD135" s="8">
        <v>19.733827590942383</v>
      </c>
      <c r="AE135" s="8">
        <v>19.342119216918945</v>
      </c>
      <c r="AG135" s="8">
        <f t="shared" si="2"/>
        <v>22.470256458629262</v>
      </c>
    </row>
    <row r="136" spans="1:33" x14ac:dyDescent="0.2">
      <c r="A136" s="3" t="s">
        <v>159</v>
      </c>
      <c r="B136" s="3" t="s">
        <v>353</v>
      </c>
      <c r="C136" s="8">
        <v>34.567134857177734</v>
      </c>
      <c r="D136" s="8">
        <v>36.108051300048828</v>
      </c>
      <c r="E136" s="8">
        <v>36.066204071044922</v>
      </c>
      <c r="F136" s="8">
        <v>36.312149047851563</v>
      </c>
      <c r="G136" s="8">
        <v>36.257286071777344</v>
      </c>
      <c r="H136" s="8">
        <v>35.599987030029297</v>
      </c>
      <c r="I136" s="8">
        <v>36.348171234130859</v>
      </c>
      <c r="J136" s="8">
        <v>36.026275634765625</v>
      </c>
      <c r="K136" s="8">
        <v>35.996231079101563</v>
      </c>
      <c r="L136" s="8">
        <v>35.073806762695313</v>
      </c>
      <c r="M136" s="8">
        <v>36.515594482421875</v>
      </c>
      <c r="N136" s="8">
        <v>36.092884063720703</v>
      </c>
      <c r="O136" s="8">
        <v>35.813327789306641</v>
      </c>
      <c r="P136" s="8">
        <v>35.804546356201172</v>
      </c>
      <c r="Q136" s="8">
        <v>35.540794372558594</v>
      </c>
      <c r="R136" s="8">
        <v>35.33367919921875</v>
      </c>
      <c r="S136" s="8">
        <v>35.224544525146484</v>
      </c>
      <c r="T136" s="8">
        <v>35.100902557373047</v>
      </c>
      <c r="U136" s="8">
        <v>34.716209411621094</v>
      </c>
      <c r="V136" s="8">
        <v>34.189296722412109</v>
      </c>
      <c r="W136" s="8">
        <v>34.142654418945313</v>
      </c>
      <c r="X136" s="8">
        <v>33.922039031982422</v>
      </c>
      <c r="Y136" s="8">
        <v>33.719631195068359</v>
      </c>
      <c r="Z136" s="8">
        <v>33.570335388183594</v>
      </c>
      <c r="AA136" s="8">
        <v>33.248325347900391</v>
      </c>
      <c r="AB136" s="8">
        <v>33.045101165771484</v>
      </c>
      <c r="AC136" s="8">
        <v>32.850502014160156</v>
      </c>
      <c r="AD136" s="8">
        <v>32.747451782226563</v>
      </c>
      <c r="AE136" s="8"/>
      <c r="AG136" s="8">
        <f t="shared" si="2"/>
        <v>34.201156269420274</v>
      </c>
    </row>
    <row r="137" spans="1:33" x14ac:dyDescent="0.2">
      <c r="A137" s="3" t="s">
        <v>162</v>
      </c>
      <c r="B137" s="3" t="s">
        <v>356</v>
      </c>
      <c r="C137" s="8">
        <v>18.782073974609375</v>
      </c>
      <c r="D137" s="8">
        <v>18.627519607543945</v>
      </c>
      <c r="E137" s="8">
        <v>18.426280975341797</v>
      </c>
      <c r="F137" s="8">
        <v>18.24964714050293</v>
      </c>
      <c r="G137" s="8">
        <v>18.251348495483398</v>
      </c>
      <c r="H137" s="8">
        <v>18.316442489624023</v>
      </c>
      <c r="I137" s="8">
        <v>18.26744270324707</v>
      </c>
      <c r="J137" s="8">
        <v>18.181804656982422</v>
      </c>
      <c r="K137" s="8">
        <v>18.176668167114258</v>
      </c>
      <c r="L137" s="8">
        <v>18.157829284667969</v>
      </c>
      <c r="M137" s="8">
        <v>18.196525573730469</v>
      </c>
      <c r="N137" s="8">
        <v>18.180513381958008</v>
      </c>
      <c r="O137" s="8">
        <v>18.115819931030273</v>
      </c>
      <c r="P137" s="8">
        <v>18.073942184448242</v>
      </c>
      <c r="Q137" s="8">
        <v>18.013702392578125</v>
      </c>
      <c r="R137" s="8">
        <v>17.964992523193359</v>
      </c>
      <c r="S137" s="8">
        <v>17.926094055175781</v>
      </c>
      <c r="T137" s="8">
        <v>17.900947570800781</v>
      </c>
      <c r="U137" s="8">
        <v>17.798450469970703</v>
      </c>
      <c r="V137" s="8">
        <v>17.626623153686523</v>
      </c>
      <c r="W137" s="8">
        <v>17.668563842773438</v>
      </c>
      <c r="X137" s="8">
        <v>17.677635192871094</v>
      </c>
      <c r="Y137" s="8">
        <v>17.644464492797852</v>
      </c>
      <c r="Z137" s="8">
        <v>17.652349472045898</v>
      </c>
      <c r="AA137" s="8">
        <v>17.645614624023438</v>
      </c>
      <c r="AB137" s="8">
        <v>17.609453201293945</v>
      </c>
      <c r="AC137" s="8">
        <v>17.563587188720703</v>
      </c>
      <c r="AD137" s="8">
        <v>17.527626037597656</v>
      </c>
      <c r="AE137" s="8">
        <v>17.471782684326172</v>
      </c>
      <c r="AG137" s="8">
        <f t="shared" si="2"/>
        <v>17.737744418057527</v>
      </c>
    </row>
    <row r="138" spans="1:33" x14ac:dyDescent="0.2">
      <c r="A138" s="3" t="s">
        <v>32</v>
      </c>
      <c r="B138" s="3" t="s">
        <v>225</v>
      </c>
      <c r="C138" s="8">
        <v>8.567072868347168</v>
      </c>
      <c r="D138" s="8">
        <v>8.5252628326416016</v>
      </c>
      <c r="E138" s="8">
        <v>8.4670000076293945</v>
      </c>
      <c r="F138" s="8">
        <v>8.42901611328125</v>
      </c>
      <c r="G138" s="8">
        <v>8.3867530822753906</v>
      </c>
      <c r="H138" s="8">
        <v>8.3452072143554688</v>
      </c>
      <c r="I138" s="8">
        <v>8.3090686798095703</v>
      </c>
      <c r="J138" s="8">
        <v>8.2699012756347656</v>
      </c>
      <c r="K138" s="8">
        <v>8.2464780807495117</v>
      </c>
      <c r="L138" s="8">
        <v>8.2130613327026367</v>
      </c>
      <c r="M138" s="8">
        <v>8.1807746887207031</v>
      </c>
      <c r="N138" s="8">
        <v>8.1684846878051758</v>
      </c>
      <c r="O138" s="8">
        <v>8.1456165313720703</v>
      </c>
      <c r="P138" s="8">
        <v>8.1207370758056641</v>
      </c>
      <c r="Q138" s="8">
        <v>8.1050405502319336</v>
      </c>
      <c r="R138" s="8">
        <v>8.0937776565551758</v>
      </c>
      <c r="S138" s="8">
        <v>8.0986213684082031</v>
      </c>
      <c r="T138" s="8">
        <v>8.1012258529663086</v>
      </c>
      <c r="U138" s="8">
        <v>8.094639778137207</v>
      </c>
      <c r="V138" s="8">
        <v>8.0740385055541992</v>
      </c>
      <c r="W138" s="8">
        <v>8.0575313568115234</v>
      </c>
      <c r="X138" s="8">
        <v>8.0707540512084961</v>
      </c>
      <c r="Y138" s="8">
        <v>8.0682363510131836</v>
      </c>
      <c r="Z138" s="8">
        <v>8.0604000091552734</v>
      </c>
      <c r="AA138" s="8">
        <v>8.0558643341064453</v>
      </c>
      <c r="AB138" s="8">
        <v>8.0416774749755859</v>
      </c>
      <c r="AC138" s="8">
        <v>8.0245475769042969</v>
      </c>
      <c r="AD138" s="8">
        <v>7.9981060028076172</v>
      </c>
      <c r="AE138" s="8">
        <v>7.9668550491333008</v>
      </c>
      <c r="AG138" s="8">
        <f t="shared" si="2"/>
        <v>8.074251521717418</v>
      </c>
    </row>
    <row r="139" spans="1:33" x14ac:dyDescent="0.2">
      <c r="A139" s="3" t="s">
        <v>165</v>
      </c>
      <c r="B139" s="3" t="s">
        <v>359</v>
      </c>
      <c r="C139" s="8">
        <v>21.072015762329102</v>
      </c>
      <c r="D139" s="8">
        <v>20.853767395019531</v>
      </c>
      <c r="E139" s="8">
        <v>20.953603744506836</v>
      </c>
      <c r="F139" s="8">
        <v>20.75187873840332</v>
      </c>
      <c r="G139" s="8">
        <v>20.538000106811523</v>
      </c>
      <c r="H139" s="8">
        <v>20.569887161254883</v>
      </c>
      <c r="I139" s="8">
        <v>20.303539276123047</v>
      </c>
      <c r="J139" s="8">
        <v>20.113143920898438</v>
      </c>
      <c r="K139" s="8">
        <v>20.151063919067383</v>
      </c>
      <c r="L139" s="8">
        <v>20.299171447753906</v>
      </c>
      <c r="M139" s="8">
        <v>20.483192443847656</v>
      </c>
      <c r="N139" s="8">
        <v>20.037553787231445</v>
      </c>
      <c r="O139" s="8">
        <v>19.938066482543945</v>
      </c>
      <c r="P139" s="8">
        <v>19.313680648803711</v>
      </c>
      <c r="Q139" s="8">
        <v>18.908172607421875</v>
      </c>
      <c r="R139" s="8">
        <v>19.075967788696289</v>
      </c>
      <c r="S139" s="8">
        <v>18.808441162109375</v>
      </c>
      <c r="T139" s="8">
        <v>18.501018524169922</v>
      </c>
      <c r="U139" s="8">
        <v>18.257539749145508</v>
      </c>
      <c r="V139" s="8">
        <v>17.969121932983398</v>
      </c>
      <c r="W139" s="8">
        <v>17.701375961303711</v>
      </c>
      <c r="X139" s="8">
        <v>17.331790924072266</v>
      </c>
      <c r="Y139" s="8">
        <v>17.037925720214844</v>
      </c>
      <c r="Z139" s="8">
        <v>16.858381271362305</v>
      </c>
      <c r="AA139" s="8">
        <v>16.791582107543945</v>
      </c>
      <c r="AB139" s="8">
        <v>16.679393768310547</v>
      </c>
      <c r="AC139" s="8">
        <v>16.800352096557617</v>
      </c>
      <c r="AD139" s="8">
        <v>16.783126831054688</v>
      </c>
      <c r="AE139" s="8">
        <v>16.989837646484375</v>
      </c>
      <c r="AG139" s="8">
        <f t="shared" si="2"/>
        <v>17.728412628173828</v>
      </c>
    </row>
    <row r="140" spans="1:33" x14ac:dyDescent="0.2">
      <c r="A140" s="3" t="s">
        <v>170</v>
      </c>
      <c r="B140" s="3" t="s">
        <v>364</v>
      </c>
      <c r="C140" s="8">
        <v>29.772668838500977</v>
      </c>
      <c r="D140" s="8">
        <v>30.274272918701172</v>
      </c>
      <c r="E140" s="8">
        <v>29.954273223876953</v>
      </c>
      <c r="F140" s="8">
        <v>30.741188049316406</v>
      </c>
      <c r="G140" s="8">
        <v>30.46635627746582</v>
      </c>
      <c r="H140" s="8">
        <v>32.04156494140625</v>
      </c>
      <c r="I140" s="8">
        <v>33.436531066894531</v>
      </c>
      <c r="J140" s="8">
        <v>34.379596710205078</v>
      </c>
      <c r="K140" s="8">
        <v>35.692760467529297</v>
      </c>
      <c r="L140" s="8">
        <v>35.551162719726563</v>
      </c>
      <c r="M140" s="8">
        <v>36.680690765380859</v>
      </c>
      <c r="N140" s="8">
        <v>37.477931976318359</v>
      </c>
      <c r="O140" s="8">
        <v>38.174716949462891</v>
      </c>
      <c r="P140" s="8">
        <v>38.844932556152344</v>
      </c>
      <c r="Q140" s="8">
        <v>40.085662841796875</v>
      </c>
      <c r="R140" s="8">
        <v>40.507186889648438</v>
      </c>
      <c r="S140" s="8">
        <v>40.78802490234375</v>
      </c>
      <c r="T140" s="8">
        <v>41.003070831298828</v>
      </c>
      <c r="U140" s="8">
        <v>41.180900573730469</v>
      </c>
      <c r="V140" s="8">
        <v>41.299472808837891</v>
      </c>
      <c r="W140" s="8">
        <v>41.487781524658203</v>
      </c>
      <c r="X140" s="8">
        <v>41.358230590820313</v>
      </c>
      <c r="Y140" s="8">
        <v>42.060291290283203</v>
      </c>
      <c r="Z140" s="8">
        <v>42.566249847412109</v>
      </c>
      <c r="AA140" s="8">
        <v>42.933780670166016</v>
      </c>
      <c r="AB140" s="8">
        <v>43.300010681152344</v>
      </c>
      <c r="AC140" s="8">
        <v>43.589534759521484</v>
      </c>
      <c r="AD140" s="8">
        <v>43.932834625244141</v>
      </c>
      <c r="AE140" s="8">
        <v>44.150993347167969</v>
      </c>
      <c r="AG140" s="8">
        <f t="shared" si="2"/>
        <v>41.680454600941054</v>
      </c>
    </row>
    <row r="141" spans="1:33" x14ac:dyDescent="0.2">
      <c r="A141" s="3" t="s">
        <v>177</v>
      </c>
      <c r="B141" s="3" t="s">
        <v>371</v>
      </c>
      <c r="C141" s="8">
        <v>60.099411010742188</v>
      </c>
      <c r="D141" s="8">
        <v>59.252635955810547</v>
      </c>
      <c r="E141" s="8">
        <v>59.108470916748047</v>
      </c>
      <c r="F141" s="8">
        <v>59.3297119140625</v>
      </c>
      <c r="G141" s="8">
        <v>59.906215667724609</v>
      </c>
      <c r="H141" s="8">
        <v>60.985935211181641</v>
      </c>
      <c r="I141" s="8">
        <v>62.476116180419922</v>
      </c>
      <c r="J141" s="8">
        <v>62.626117706298828</v>
      </c>
      <c r="K141" s="8">
        <v>61.850791931152344</v>
      </c>
      <c r="L141" s="8">
        <v>61.278652191162109</v>
      </c>
      <c r="M141" s="8">
        <v>60.575042724609375</v>
      </c>
      <c r="N141" s="8">
        <v>59.767295837402344</v>
      </c>
      <c r="O141" s="8">
        <v>58.855014801025391</v>
      </c>
      <c r="P141" s="8">
        <v>57.725448608398438</v>
      </c>
      <c r="Q141" s="8">
        <v>56.764675140380859</v>
      </c>
      <c r="R141" s="8">
        <v>55.824493408203125</v>
      </c>
      <c r="S141" s="8">
        <v>54.842567443847656</v>
      </c>
      <c r="T141" s="31">
        <v>53.700935363769531</v>
      </c>
      <c r="U141" s="8">
        <v>52.7171630859375</v>
      </c>
      <c r="V141" s="8">
        <v>51.64007568359375</v>
      </c>
      <c r="W141" s="8">
        <v>50.984550476074219</v>
      </c>
      <c r="X141" s="8">
        <v>49.907073974609375</v>
      </c>
      <c r="Y141" s="8">
        <v>48.764636993408203</v>
      </c>
      <c r="Z141" s="8">
        <v>47.648807525634766</v>
      </c>
      <c r="AA141" s="8">
        <v>46.858673095703125</v>
      </c>
      <c r="AB141" s="8">
        <v>46.034599304199219</v>
      </c>
      <c r="AC141" s="8">
        <v>44.925216674804688</v>
      </c>
      <c r="AD141" s="8">
        <v>43.811855316162109</v>
      </c>
      <c r="AE141" s="8">
        <v>42.647056579589844</v>
      </c>
      <c r="AG141" s="8">
        <f t="shared" si="2"/>
        <v>50.811234214089133</v>
      </c>
    </row>
    <row r="142" spans="1:33" x14ac:dyDescent="0.2">
      <c r="A142" s="3" t="s">
        <v>169</v>
      </c>
      <c r="B142" s="3" t="s">
        <v>363</v>
      </c>
      <c r="C142" s="8">
        <v>58.526657104492188</v>
      </c>
      <c r="D142" s="8">
        <v>56.710742950439453</v>
      </c>
      <c r="E142" s="8">
        <v>55.404071807861328</v>
      </c>
      <c r="F142" s="8">
        <v>53.7076416015625</v>
      </c>
      <c r="G142" s="8">
        <v>52.061557769775391</v>
      </c>
      <c r="H142" s="8">
        <v>50.702404022216797</v>
      </c>
      <c r="I142" s="8">
        <v>49.194007873535156</v>
      </c>
      <c r="J142" s="8">
        <v>48.5465087890625</v>
      </c>
      <c r="K142" s="8">
        <v>48.036949157714844</v>
      </c>
      <c r="L142" s="8">
        <v>48.111534118652344</v>
      </c>
      <c r="M142" s="8">
        <v>48.451190948486328</v>
      </c>
      <c r="N142" s="8">
        <v>48.665573120117188</v>
      </c>
      <c r="O142" s="8">
        <v>48.935535430908203</v>
      </c>
      <c r="P142" s="8">
        <v>48.902912139892578</v>
      </c>
      <c r="Q142" s="8">
        <v>48.948562622070313</v>
      </c>
      <c r="R142" s="8">
        <v>48.640544891357422</v>
      </c>
      <c r="S142" s="8">
        <v>48.369163513183594</v>
      </c>
      <c r="T142" s="8">
        <v>48.200283050537109</v>
      </c>
      <c r="U142" s="8">
        <v>48.056564331054688</v>
      </c>
      <c r="V142" s="8">
        <v>47.849319458007813</v>
      </c>
      <c r="W142" s="8">
        <v>47.672019958496094</v>
      </c>
      <c r="X142" s="8">
        <v>47.512619018554688</v>
      </c>
      <c r="Y142" s="8">
        <v>47.126052856445313</v>
      </c>
      <c r="Z142" s="8">
        <v>46.705814361572266</v>
      </c>
      <c r="AA142" s="8">
        <v>46.104743957519531</v>
      </c>
      <c r="AB142" s="8">
        <v>45.777313232421875</v>
      </c>
      <c r="AC142" s="8">
        <v>45.355461120605469</v>
      </c>
      <c r="AD142" s="8">
        <v>45.030136108398438</v>
      </c>
      <c r="AE142" s="8">
        <v>44.721515655517578</v>
      </c>
      <c r="AG142" s="8">
        <f t="shared" si="2"/>
        <v>47.455858057195492</v>
      </c>
    </row>
    <row r="143" spans="1:33" x14ac:dyDescent="0.2">
      <c r="A143" s="3" t="s">
        <v>168</v>
      </c>
      <c r="B143" s="3" t="s">
        <v>362</v>
      </c>
      <c r="C143" s="8">
        <v>32.18695068359375</v>
      </c>
      <c r="D143" s="8">
        <v>32.322158813476563</v>
      </c>
      <c r="E143" s="8">
        <v>32.644767761230469</v>
      </c>
      <c r="F143" s="8">
        <v>32.856575012207031</v>
      </c>
      <c r="G143" s="8">
        <v>33.274345397949219</v>
      </c>
      <c r="H143" s="8">
        <v>33.398200988769531</v>
      </c>
      <c r="I143" s="8">
        <v>33.672939300537109</v>
      </c>
      <c r="J143" s="8">
        <v>34.000282287597656</v>
      </c>
      <c r="K143" s="8">
        <v>33.889926910400391</v>
      </c>
      <c r="L143" s="8">
        <v>34.195579528808594</v>
      </c>
      <c r="M143" s="8">
        <v>34.238128662109375</v>
      </c>
      <c r="N143" s="8">
        <v>34.151233673095703</v>
      </c>
      <c r="O143" s="8">
        <v>34.352733612060547</v>
      </c>
      <c r="P143" s="8">
        <v>34.319301605224609</v>
      </c>
      <c r="Q143" s="8">
        <v>34.343196868896484</v>
      </c>
      <c r="R143" s="8">
        <v>34.155891418457031</v>
      </c>
      <c r="S143" s="8">
        <v>34.601131439208984</v>
      </c>
      <c r="T143" s="8">
        <v>34.339977264404297</v>
      </c>
      <c r="U143" s="8">
        <v>34.261920928955078</v>
      </c>
      <c r="V143" s="8">
        <v>34.188220977783203</v>
      </c>
      <c r="W143" s="8">
        <v>33.888599395751953</v>
      </c>
      <c r="X143" s="8">
        <v>33.271961212158203</v>
      </c>
      <c r="Y143" s="8">
        <v>33.169391632080078</v>
      </c>
      <c r="Z143" s="8">
        <v>32.814273834228516</v>
      </c>
      <c r="AA143" s="8">
        <v>32.334400177001953</v>
      </c>
      <c r="AB143" s="8">
        <v>31.818748474121094</v>
      </c>
      <c r="AC143" s="8">
        <v>31.368526458740234</v>
      </c>
      <c r="AD143" s="8">
        <v>31.208873748779297</v>
      </c>
      <c r="AE143" s="8"/>
      <c r="AG143" s="8">
        <f t="shared" si="2"/>
        <v>33.531319704922765</v>
      </c>
    </row>
    <row r="144" spans="1:33" x14ac:dyDescent="0.2">
      <c r="A144" s="3" t="s">
        <v>173</v>
      </c>
      <c r="B144" s="3" t="s">
        <v>367</v>
      </c>
      <c r="C144" s="8">
        <v>28.688217163085938</v>
      </c>
      <c r="D144" s="8">
        <v>29.135631561279297</v>
      </c>
      <c r="E144" s="8">
        <v>29.539331436157227</v>
      </c>
      <c r="F144" s="8">
        <v>29.66618537902832</v>
      </c>
      <c r="G144" s="8">
        <v>29.91047477722168</v>
      </c>
      <c r="H144" s="8">
        <v>30.214282989501953</v>
      </c>
      <c r="I144" s="8">
        <v>30.381076812744141</v>
      </c>
      <c r="J144" s="8">
        <v>30.432647705078125</v>
      </c>
      <c r="K144" s="8">
        <v>30.618541717529297</v>
      </c>
      <c r="L144" s="8">
        <v>30.969551086425781</v>
      </c>
      <c r="M144" s="8">
        <v>31.485387802124023</v>
      </c>
      <c r="N144" s="8">
        <v>31.438938140869141</v>
      </c>
      <c r="O144" s="8">
        <v>31.638462066650391</v>
      </c>
      <c r="P144" s="8">
        <v>31.621419906616211</v>
      </c>
      <c r="Q144" s="8">
        <v>31.777542114257813</v>
      </c>
      <c r="R144" s="8">
        <v>31.451484680175781</v>
      </c>
      <c r="S144" s="8">
        <v>31.522842407226563</v>
      </c>
      <c r="T144" s="8">
        <v>31.500598907470703</v>
      </c>
      <c r="U144" s="8">
        <v>31.455266952514648</v>
      </c>
      <c r="V144" s="8">
        <v>30.649162292480469</v>
      </c>
      <c r="W144" s="8">
        <v>30.303903579711914</v>
      </c>
      <c r="X144" s="8">
        <v>30.289533615112305</v>
      </c>
      <c r="Y144" s="8">
        <v>29.895639419555664</v>
      </c>
      <c r="Z144" s="8">
        <v>29.030296325683594</v>
      </c>
      <c r="AA144" s="8">
        <v>27.872604370117188</v>
      </c>
      <c r="AB144" s="8">
        <v>26.107320785522461</v>
      </c>
      <c r="AC144" s="8">
        <v>24.806955337524414</v>
      </c>
      <c r="AD144" s="8">
        <v>23.935630798339844</v>
      </c>
      <c r="AE144" s="8">
        <v>23.320398330688477</v>
      </c>
      <c r="AG144" s="8">
        <f t="shared" si="2"/>
        <v>30.007150303233754</v>
      </c>
    </row>
    <row r="145" spans="1:33" x14ac:dyDescent="0.2">
      <c r="A145" s="3" t="s">
        <v>174</v>
      </c>
      <c r="B145" s="3" t="s">
        <v>368</v>
      </c>
      <c r="C145" s="8">
        <v>37.87823486328125</v>
      </c>
      <c r="D145" s="8">
        <v>37.932125091552734</v>
      </c>
      <c r="E145" s="8">
        <v>37.922554016113281</v>
      </c>
      <c r="F145" s="8">
        <v>37.936183929443359</v>
      </c>
      <c r="G145" s="8">
        <v>37.914558410644531</v>
      </c>
      <c r="H145" s="8">
        <v>37.989051818847656</v>
      </c>
      <c r="I145" s="8">
        <v>38.035938262939453</v>
      </c>
      <c r="J145" s="8">
        <v>37.840316772460938</v>
      </c>
      <c r="K145" s="8">
        <v>37.847583770751953</v>
      </c>
      <c r="L145" s="8">
        <v>37.837089538574219</v>
      </c>
      <c r="M145" s="8">
        <v>37.526683807373047</v>
      </c>
      <c r="N145" s="8">
        <v>37.257621765136719</v>
      </c>
      <c r="O145" s="8">
        <v>36.931575775146484</v>
      </c>
      <c r="P145" s="8">
        <v>36.697078704833984</v>
      </c>
      <c r="Q145" s="8">
        <v>36.084957122802734</v>
      </c>
      <c r="R145" s="8">
        <v>35.906387329101563</v>
      </c>
      <c r="S145" s="8">
        <v>35.648693084716797</v>
      </c>
      <c r="T145" s="8">
        <v>35.400642395019531</v>
      </c>
      <c r="U145" s="8">
        <v>35.101055145263672</v>
      </c>
      <c r="V145" s="8">
        <v>34.735481262207031</v>
      </c>
      <c r="W145" s="8">
        <v>34.442905426025391</v>
      </c>
      <c r="X145" s="8">
        <v>33.787666320800781</v>
      </c>
      <c r="Y145" s="8">
        <v>33.600215911865234</v>
      </c>
      <c r="Z145" s="8">
        <v>33.360816955566406</v>
      </c>
      <c r="AA145" s="8">
        <v>32.971225738525391</v>
      </c>
      <c r="AB145" s="8">
        <v>32.702022552490234</v>
      </c>
      <c r="AC145" s="8">
        <v>32.460338592529297</v>
      </c>
      <c r="AD145" s="8">
        <v>32.335140228271484</v>
      </c>
      <c r="AE145" s="8">
        <v>32.114986419677734</v>
      </c>
      <c r="AG145" s="8">
        <f t="shared" si="2"/>
        <v>34.33246473832564</v>
      </c>
    </row>
    <row r="146" spans="1:33" x14ac:dyDescent="0.2">
      <c r="A146" s="3" t="s">
        <v>175</v>
      </c>
      <c r="B146" s="3" t="s">
        <v>369</v>
      </c>
      <c r="C146" s="8">
        <v>36.613227844238281</v>
      </c>
      <c r="D146" s="8">
        <v>36.180183410644531</v>
      </c>
      <c r="E146" s="8">
        <v>35.610691070556641</v>
      </c>
      <c r="F146" s="8">
        <v>34.503791809082031</v>
      </c>
      <c r="G146" s="8">
        <v>34.495670318603516</v>
      </c>
      <c r="H146" s="8">
        <v>34.151451110839844</v>
      </c>
      <c r="I146" s="8">
        <v>33.774436950683594</v>
      </c>
      <c r="J146" s="8">
        <v>33.1234130859375</v>
      </c>
      <c r="K146" s="8">
        <v>32.729946136474609</v>
      </c>
      <c r="L146" s="8">
        <v>32.448459625244141</v>
      </c>
      <c r="M146" s="8">
        <v>31.88304328918457</v>
      </c>
      <c r="N146" s="8">
        <v>31.699319839477539</v>
      </c>
      <c r="O146" s="8">
        <v>31.433231353759766</v>
      </c>
      <c r="P146" s="8">
        <v>31.142313003540039</v>
      </c>
      <c r="Q146" s="8">
        <v>30.768341064453125</v>
      </c>
      <c r="R146" s="8">
        <v>30.321615219116211</v>
      </c>
      <c r="S146" s="8">
        <v>29.682317733764648</v>
      </c>
      <c r="T146" s="8">
        <v>29.100025177001953</v>
      </c>
      <c r="U146" s="8">
        <v>28.648000717163086</v>
      </c>
      <c r="V146" s="8">
        <v>28.231557846069336</v>
      </c>
      <c r="W146" s="8">
        <v>28.185251235961914</v>
      </c>
      <c r="X146" s="8">
        <v>28.05919075012207</v>
      </c>
      <c r="Y146" s="8">
        <v>27.73967170715332</v>
      </c>
      <c r="Z146" s="8">
        <v>27.391315460205078</v>
      </c>
      <c r="AA146" s="8">
        <v>27.129312515258789</v>
      </c>
      <c r="AB146" s="8">
        <v>26.700628280639648</v>
      </c>
      <c r="AC146" s="8">
        <v>26.23353385925293</v>
      </c>
      <c r="AD146" s="8">
        <v>25.918081283569336</v>
      </c>
      <c r="AE146" s="8">
        <v>25.560188293457031</v>
      </c>
      <c r="AG146" s="8">
        <f t="shared" si="2"/>
        <v>28.289898785677824</v>
      </c>
    </row>
    <row r="147" spans="1:33" x14ac:dyDescent="0.2">
      <c r="A147" s="3" t="s">
        <v>178</v>
      </c>
      <c r="B147" s="3" t="s">
        <v>372</v>
      </c>
      <c r="C147" s="8">
        <v>52.794765472412109</v>
      </c>
      <c r="D147" s="8">
        <v>52.376155853271484</v>
      </c>
      <c r="E147" s="8">
        <v>52.030055999755859</v>
      </c>
      <c r="F147" s="8">
        <v>51.557624816894531</v>
      </c>
      <c r="G147" s="8">
        <v>50.983650207519531</v>
      </c>
      <c r="H147" s="8">
        <v>49.908416748046875</v>
      </c>
      <c r="I147" s="8">
        <v>49.081974029541016</v>
      </c>
      <c r="J147" s="8">
        <v>48.1846923828125</v>
      </c>
      <c r="K147" s="8">
        <v>47.309001922607422</v>
      </c>
      <c r="L147" s="8">
        <v>46.463768005371094</v>
      </c>
      <c r="M147" s="8">
        <v>45.685821533203125</v>
      </c>
      <c r="N147" s="8">
        <v>44.945564270019531</v>
      </c>
      <c r="O147" s="8">
        <v>44.224082946777344</v>
      </c>
      <c r="P147" s="8">
        <v>43.505603790283203</v>
      </c>
      <c r="Q147" s="8">
        <v>42.784641265869141</v>
      </c>
      <c r="R147" s="8">
        <v>41.959747314453125</v>
      </c>
      <c r="S147" s="8">
        <v>41.139682769775391</v>
      </c>
      <c r="T147" s="8">
        <v>40.300472259521484</v>
      </c>
      <c r="U147" s="8">
        <v>39.560646057128906</v>
      </c>
      <c r="V147" s="8">
        <v>38.798450469970703</v>
      </c>
      <c r="W147" s="8">
        <v>37.959335327148438</v>
      </c>
      <c r="X147" s="8">
        <v>37.254146575927734</v>
      </c>
      <c r="Y147" s="8">
        <v>36.707653045654297</v>
      </c>
      <c r="Z147" s="8">
        <v>36.199420928955078</v>
      </c>
      <c r="AA147" s="8">
        <v>35.593177795410156</v>
      </c>
      <c r="AB147" s="8">
        <v>35.061130523681641</v>
      </c>
      <c r="AC147" s="8">
        <v>34.635498046875</v>
      </c>
      <c r="AD147" s="8">
        <v>34.303485870361328</v>
      </c>
      <c r="AE147" s="8">
        <v>33.702747344970703</v>
      </c>
      <c r="AG147" s="8">
        <f t="shared" si="2"/>
        <v>38.230351187966086</v>
      </c>
    </row>
    <row r="148" spans="1:33" x14ac:dyDescent="0.2">
      <c r="A148" s="3" t="s">
        <v>179</v>
      </c>
      <c r="B148" s="3" t="s">
        <v>373</v>
      </c>
      <c r="C148" s="8">
        <v>45.36962890625</v>
      </c>
      <c r="D148" s="8">
        <v>44.641323089599609</v>
      </c>
      <c r="E148" s="8">
        <v>43.994407653808594</v>
      </c>
      <c r="F148" s="8">
        <v>43.268020629882813</v>
      </c>
      <c r="G148" s="8">
        <v>42.873294830322266</v>
      </c>
      <c r="H148" s="8">
        <v>43.291866302490234</v>
      </c>
      <c r="I148" s="8">
        <v>43.726356506347656</v>
      </c>
      <c r="J148" s="8">
        <v>44.176059722900391</v>
      </c>
      <c r="K148" s="8">
        <v>44.609867095947266</v>
      </c>
      <c r="L148" s="8">
        <v>44.206447601318359</v>
      </c>
      <c r="M148" s="8">
        <v>44.687080383300781</v>
      </c>
      <c r="N148" s="8">
        <v>44.9197998046875</v>
      </c>
      <c r="O148" s="8">
        <v>45.563507080078125</v>
      </c>
      <c r="P148" s="8">
        <v>45.888702392578125</v>
      </c>
      <c r="Q148" s="8">
        <v>46.240226745605469</v>
      </c>
      <c r="R148" s="8">
        <v>46.682415008544922</v>
      </c>
      <c r="S148" s="8">
        <v>46.801982879638672</v>
      </c>
      <c r="T148" s="8">
        <v>46.800075531005859</v>
      </c>
      <c r="U148" s="8">
        <v>46.762069702148438</v>
      </c>
      <c r="V148" s="8">
        <v>46.298774719238281</v>
      </c>
      <c r="W148" s="8">
        <v>46.317707061767578</v>
      </c>
      <c r="X148" s="8">
        <v>46.419891357421875</v>
      </c>
      <c r="Y148" s="8">
        <v>46.486274719238281</v>
      </c>
      <c r="Z148" s="8">
        <v>46.651695251464844</v>
      </c>
      <c r="AA148" s="8">
        <v>45.911628723144531</v>
      </c>
      <c r="AB148" s="8">
        <v>45.074428558349609</v>
      </c>
      <c r="AC148" s="8">
        <v>45.249851226806641</v>
      </c>
      <c r="AD148" s="8">
        <v>45.378570556640625</v>
      </c>
      <c r="AE148" s="8">
        <v>45.404468536376953</v>
      </c>
      <c r="AG148" s="8">
        <f t="shared" si="2"/>
        <v>46.382449410178445</v>
      </c>
    </row>
    <row r="149" spans="1:33" x14ac:dyDescent="0.2">
      <c r="A149" s="3" t="s">
        <v>5</v>
      </c>
      <c r="B149" s="3" t="s">
        <v>198</v>
      </c>
      <c r="C149" s="8">
        <v>22.03636360168457</v>
      </c>
      <c r="D149" s="8">
        <v>22.094654083251953</v>
      </c>
      <c r="E149" s="8">
        <v>22.114248275756836</v>
      </c>
      <c r="F149" s="8">
        <v>22.279975891113281</v>
      </c>
      <c r="G149" s="8">
        <v>22.428735733032227</v>
      </c>
      <c r="H149" s="8">
        <v>22.708145141601563</v>
      </c>
      <c r="I149" s="8">
        <v>22.669849395751953</v>
      </c>
      <c r="J149" s="8">
        <v>22.742109298706055</v>
      </c>
      <c r="K149" s="8">
        <v>22.799251556396484</v>
      </c>
      <c r="L149" s="8">
        <v>22.895557403564453</v>
      </c>
      <c r="M149" s="8">
        <v>22.991327285766602</v>
      </c>
      <c r="N149" s="8">
        <v>23.080165863037109</v>
      </c>
      <c r="O149" s="8">
        <v>23.192790985107422</v>
      </c>
      <c r="P149" s="8">
        <v>23.272830963134766</v>
      </c>
      <c r="Q149" s="8">
        <v>23.387563705444336</v>
      </c>
      <c r="R149" s="8">
        <v>23.626352310180664</v>
      </c>
      <c r="S149" s="8">
        <v>23.500246047973633</v>
      </c>
      <c r="T149" s="8">
        <v>23.312656402587891</v>
      </c>
      <c r="U149" s="8">
        <v>23.174186706542969</v>
      </c>
      <c r="V149" s="8">
        <v>22.970924377441406</v>
      </c>
      <c r="W149" s="8">
        <v>23.092861175537109</v>
      </c>
      <c r="X149" s="8">
        <v>22.902414321899414</v>
      </c>
      <c r="Y149" s="8">
        <v>22.754499435424805</v>
      </c>
      <c r="Z149" s="8">
        <v>22.539405822753906</v>
      </c>
      <c r="AA149" s="8">
        <v>22.326566696166992</v>
      </c>
      <c r="AB149" s="8">
        <v>22.126630783081055</v>
      </c>
      <c r="AC149" s="8">
        <v>21.888940811157227</v>
      </c>
      <c r="AD149" s="8">
        <v>21.674655914306641</v>
      </c>
      <c r="AE149" s="8">
        <v>21.514358520507813</v>
      </c>
      <c r="AG149" s="8">
        <f t="shared" si="2"/>
        <v>22.938794916326348</v>
      </c>
    </row>
    <row r="150" spans="1:33" x14ac:dyDescent="0.2">
      <c r="A150" s="3" t="s">
        <v>64</v>
      </c>
      <c r="B150" s="3" t="s">
        <v>257</v>
      </c>
      <c r="C150" s="8">
        <v>13.30743408203125</v>
      </c>
      <c r="D150" s="8">
        <v>13.149024963378906</v>
      </c>
      <c r="E150" s="8">
        <v>13.013439178466797</v>
      </c>
      <c r="F150" s="8">
        <v>12.935585021972656</v>
      </c>
      <c r="G150" s="8">
        <v>12.880107879638672</v>
      </c>
      <c r="H150" s="8">
        <v>12.862873077392578</v>
      </c>
      <c r="I150" s="8">
        <v>12.818455696105957</v>
      </c>
      <c r="J150" s="8">
        <v>12.785882949829102</v>
      </c>
      <c r="K150" s="8">
        <v>12.721848487854004</v>
      </c>
      <c r="L150" s="8">
        <v>12.658047676086426</v>
      </c>
      <c r="M150" s="8">
        <v>12.594354629516602</v>
      </c>
      <c r="N150" s="8">
        <v>12.526297569274902</v>
      </c>
      <c r="O150" s="8">
        <v>12.449715614318848</v>
      </c>
      <c r="P150" s="8">
        <v>12.412999153137207</v>
      </c>
      <c r="Q150" s="8">
        <v>12.358537673950195</v>
      </c>
      <c r="R150" s="8">
        <v>12.326483726501465</v>
      </c>
      <c r="S150" s="8">
        <v>12.266853332519531</v>
      </c>
      <c r="T150" s="8">
        <v>12.200936317443848</v>
      </c>
      <c r="U150" s="8">
        <v>12.137568473815918</v>
      </c>
      <c r="V150" s="8">
        <v>12.038431167602539</v>
      </c>
      <c r="W150" s="8">
        <v>12.031230926513672</v>
      </c>
      <c r="X150" s="8">
        <v>12.008810997009277</v>
      </c>
      <c r="Y150" s="8">
        <v>12.003946304321289</v>
      </c>
      <c r="Z150" s="8">
        <v>12.030899047851563</v>
      </c>
      <c r="AA150" s="8">
        <v>12.038991928100586</v>
      </c>
      <c r="AB150" s="8">
        <v>12.018404960632324</v>
      </c>
      <c r="AC150" s="8">
        <v>11.996766090393066</v>
      </c>
      <c r="AD150" s="8">
        <v>11.959784507751465</v>
      </c>
      <c r="AE150" s="8">
        <v>11.916854858398438</v>
      </c>
      <c r="AG150" s="8">
        <f t="shared" si="2"/>
        <v>12.100232471119273</v>
      </c>
    </row>
    <row r="151" spans="1:33" x14ac:dyDescent="0.2">
      <c r="A151" s="3" t="s">
        <v>181</v>
      </c>
      <c r="B151" s="3" t="s">
        <v>375</v>
      </c>
      <c r="C151" s="8">
        <v>9.3152809143066406</v>
      </c>
      <c r="D151" s="8">
        <v>9.2348966598510742</v>
      </c>
      <c r="E151" s="8">
        <v>9.1826877593994141</v>
      </c>
      <c r="F151" s="8">
        <v>9.1450033187866211</v>
      </c>
      <c r="G151" s="8">
        <v>9.1178226470947266</v>
      </c>
      <c r="H151" s="8">
        <v>9.0776910781860352</v>
      </c>
      <c r="I151" s="8">
        <v>9.0366582870483398</v>
      </c>
      <c r="J151" s="8">
        <v>8.9952878952026367</v>
      </c>
      <c r="K151" s="8">
        <v>8.9378995895385742</v>
      </c>
      <c r="L151" s="8">
        <v>8.8772306442260742</v>
      </c>
      <c r="M151" s="8">
        <v>8.8121328353881836</v>
      </c>
      <c r="N151" s="8">
        <v>8.7317380905151367</v>
      </c>
      <c r="O151" s="8">
        <v>8.6583032608032227</v>
      </c>
      <c r="P151" s="8">
        <v>8.5956764221191406</v>
      </c>
      <c r="Q151" s="8">
        <v>8.5435724258422852</v>
      </c>
      <c r="R151" s="8">
        <v>8.4928245544433594</v>
      </c>
      <c r="S151" s="8">
        <v>8.4510841369628906</v>
      </c>
      <c r="T151" s="8">
        <v>8.4006948471069336</v>
      </c>
      <c r="U151" s="8">
        <v>8.345036506652832</v>
      </c>
      <c r="V151" s="8">
        <v>8.2569046020507813</v>
      </c>
      <c r="W151" s="8">
        <v>8.2275047302246094</v>
      </c>
      <c r="X151" s="8">
        <v>8.2200412750244141</v>
      </c>
      <c r="Y151" s="8">
        <v>8.2153711318969727</v>
      </c>
      <c r="Z151" s="8">
        <v>8.1974267959594727</v>
      </c>
      <c r="AA151" s="8">
        <v>8.1853818893432617</v>
      </c>
      <c r="AB151" s="8">
        <v>8.1732244491577148</v>
      </c>
      <c r="AC151" s="8">
        <v>8.1620063781738281</v>
      </c>
      <c r="AD151" s="8">
        <v>8.1459436416625977</v>
      </c>
      <c r="AE151" s="8">
        <v>8.1268949508666992</v>
      </c>
      <c r="AG151" s="8">
        <f t="shared" si="2"/>
        <v>8.2877722653475683</v>
      </c>
    </row>
    <row r="152" spans="1:33" x14ac:dyDescent="0.2">
      <c r="A152" s="3" t="s">
        <v>180</v>
      </c>
      <c r="B152" s="3" t="s">
        <v>374</v>
      </c>
      <c r="C152" s="8">
        <v>50.09637451171875</v>
      </c>
      <c r="D152" s="8">
        <v>49.893081665039063</v>
      </c>
      <c r="E152" s="8">
        <v>49.729000091552734</v>
      </c>
      <c r="F152" s="8">
        <v>49.345226287841797</v>
      </c>
      <c r="G152" s="8">
        <v>49.060260772705078</v>
      </c>
      <c r="H152" s="8">
        <v>48.740367889404297</v>
      </c>
      <c r="I152" s="8">
        <v>48.080249786376953</v>
      </c>
      <c r="J152" s="8">
        <v>47.786720275878906</v>
      </c>
      <c r="K152" s="8">
        <v>46.925556182861328</v>
      </c>
      <c r="L152" s="8">
        <v>46.412567138671875</v>
      </c>
      <c r="M152" s="8">
        <v>46.110980987548828</v>
      </c>
      <c r="N152" s="8">
        <v>46.033397674560547</v>
      </c>
      <c r="O152" s="8">
        <v>45.720443725585938</v>
      </c>
      <c r="P152" s="8">
        <v>45.640316009521484</v>
      </c>
      <c r="Q152" s="8">
        <v>45.963722229003906</v>
      </c>
      <c r="R152" s="8">
        <v>46.081325531005859</v>
      </c>
      <c r="S152" s="8">
        <v>46.092853546142578</v>
      </c>
      <c r="T152" s="8">
        <v>46.100120544433594</v>
      </c>
      <c r="U152" s="8">
        <v>45.734004974365234</v>
      </c>
      <c r="V152" s="8">
        <v>45.47625732421875</v>
      </c>
      <c r="W152" s="8">
        <v>45.113372802734375</v>
      </c>
      <c r="X152" s="8">
        <v>45.056499481201172</v>
      </c>
      <c r="Y152" s="8">
        <v>44.050342559814453</v>
      </c>
      <c r="Z152" s="8">
        <v>43.759227752685547</v>
      </c>
      <c r="AA152" s="8">
        <v>43.430652618408203</v>
      </c>
      <c r="AB152" s="8">
        <v>43.008689880371094</v>
      </c>
      <c r="AC152" s="8">
        <v>42.656623840332031</v>
      </c>
      <c r="AD152" s="8">
        <v>42.539878845214844</v>
      </c>
      <c r="AE152" s="8">
        <v>42.414836883544922</v>
      </c>
      <c r="AG152" s="8">
        <f t="shared" si="2"/>
        <v>44.900304274125531</v>
      </c>
    </row>
    <row r="153" spans="1:33" x14ac:dyDescent="0.2">
      <c r="A153" s="3" t="s">
        <v>184</v>
      </c>
      <c r="B153" s="3" t="s">
        <v>378</v>
      </c>
      <c r="C153" s="8">
        <v>28.926456451416016</v>
      </c>
      <c r="D153" s="8">
        <v>28.857929229736328</v>
      </c>
      <c r="E153" s="8">
        <v>29.061985015869141</v>
      </c>
      <c r="F153" s="8">
        <v>28.940845489501953</v>
      </c>
      <c r="G153" s="8">
        <v>28.981086730957031</v>
      </c>
      <c r="H153" s="8">
        <v>29.248031616210938</v>
      </c>
      <c r="I153" s="8">
        <v>29.445917129516602</v>
      </c>
      <c r="J153" s="8">
        <v>29.730129241943359</v>
      </c>
      <c r="K153" s="8">
        <v>29.916477203369141</v>
      </c>
      <c r="L153" s="8">
        <v>30.082242965698242</v>
      </c>
      <c r="M153" s="8">
        <v>30.273262023925781</v>
      </c>
      <c r="N153" s="8">
        <v>30.460914611816406</v>
      </c>
      <c r="O153" s="8">
        <v>30.615985870361328</v>
      </c>
      <c r="P153" s="8">
        <v>30.750297546386719</v>
      </c>
      <c r="Q153" s="8">
        <v>31.089851379394531</v>
      </c>
      <c r="R153" s="8">
        <v>31.161632537841797</v>
      </c>
      <c r="S153" s="8">
        <v>31.139925003051758</v>
      </c>
      <c r="T153" s="8">
        <v>30.899959564208984</v>
      </c>
      <c r="U153" s="8">
        <v>30.760091781616211</v>
      </c>
      <c r="V153" s="8">
        <v>30.506977081298828</v>
      </c>
      <c r="W153" s="8">
        <v>30.402929306030273</v>
      </c>
      <c r="X153" s="8">
        <v>30.287408828735352</v>
      </c>
      <c r="Y153" s="8">
        <v>30.004934310913086</v>
      </c>
      <c r="Z153" s="8">
        <v>29.814115524291992</v>
      </c>
      <c r="AA153" s="8">
        <v>29.675647735595703</v>
      </c>
      <c r="AB153" s="8">
        <v>29.160854339599609</v>
      </c>
      <c r="AC153" s="8">
        <v>30.298078536987305</v>
      </c>
      <c r="AD153" s="8">
        <v>30.605129241943359</v>
      </c>
      <c r="AE153" s="8">
        <v>30.798870086669922</v>
      </c>
      <c r="AG153" s="8">
        <f t="shared" si="2"/>
        <v>30.346770546653055</v>
      </c>
    </row>
    <row r="154" spans="1:33" x14ac:dyDescent="0.2">
      <c r="A154" s="3" t="s">
        <v>185</v>
      </c>
      <c r="B154" s="3" t="s">
        <v>379</v>
      </c>
      <c r="C154" s="8">
        <v>22.984304428100586</v>
      </c>
      <c r="D154" s="8">
        <v>22.735136032104492</v>
      </c>
      <c r="E154" s="8">
        <v>22.244447708129883</v>
      </c>
      <c r="F154" s="8">
        <v>21.62678337097168</v>
      </c>
      <c r="G154" s="8">
        <v>20.855293273925781</v>
      </c>
      <c r="H154" s="8">
        <v>20.170558929443359</v>
      </c>
      <c r="I154" s="8">
        <v>19.516391754150391</v>
      </c>
      <c r="J154" s="8">
        <v>18.81928825378418</v>
      </c>
      <c r="K154" s="8">
        <v>18.262123107910156</v>
      </c>
      <c r="L154" s="8">
        <v>17.814878463745117</v>
      </c>
      <c r="M154" s="8">
        <v>17.297914505004883</v>
      </c>
      <c r="N154" s="8">
        <v>16.823175430297852</v>
      </c>
      <c r="O154" s="8">
        <v>16.419319152832031</v>
      </c>
      <c r="P154" s="8">
        <v>15.990388870239258</v>
      </c>
      <c r="Q154" s="8">
        <v>15.593510627746582</v>
      </c>
      <c r="R154" s="8">
        <v>15.17681884765625</v>
      </c>
      <c r="S154" s="8">
        <v>14.781278610229492</v>
      </c>
      <c r="T154" s="8">
        <v>14.400514602661133</v>
      </c>
      <c r="U154" s="8">
        <v>14.084105491638184</v>
      </c>
      <c r="V154" s="8">
        <v>13.785052299499512</v>
      </c>
      <c r="W154" s="8">
        <v>13.482430458068848</v>
      </c>
      <c r="X154" s="8">
        <v>13.303516387939453</v>
      </c>
      <c r="Y154" s="8">
        <v>13.073708534240723</v>
      </c>
      <c r="Z154" s="8">
        <v>12.875418663024902</v>
      </c>
      <c r="AA154" s="8">
        <v>12.654142379760742</v>
      </c>
      <c r="AB154" s="8">
        <v>12.393181800842285</v>
      </c>
      <c r="AC154" s="8">
        <v>12.130317687988281</v>
      </c>
      <c r="AD154" s="8">
        <v>11.854589462280273</v>
      </c>
      <c r="AE154" s="8">
        <v>11.592680931091309</v>
      </c>
      <c r="AG154" s="8">
        <f t="shared" si="2"/>
        <v>13.637288006869229</v>
      </c>
    </row>
    <row r="155" spans="1:33" x14ac:dyDescent="0.2">
      <c r="A155" s="3" t="s">
        <v>189</v>
      </c>
      <c r="B155" s="3" t="s">
        <v>383</v>
      </c>
      <c r="C155" s="8">
        <v>31.233295440673828</v>
      </c>
      <c r="D155" s="8">
        <v>31.088935852050781</v>
      </c>
      <c r="E155" s="8">
        <v>30.870712280273438</v>
      </c>
      <c r="F155" s="8">
        <v>30.854352951049805</v>
      </c>
      <c r="G155" s="8">
        <v>30.850061416625977</v>
      </c>
      <c r="H155" s="8">
        <v>31.198347091674805</v>
      </c>
      <c r="I155" s="8">
        <v>30.825477600097656</v>
      </c>
      <c r="J155" s="8">
        <v>30.024967193603516</v>
      </c>
      <c r="K155" s="8">
        <v>29.45057487487793</v>
      </c>
      <c r="L155" s="8">
        <v>29.555112838745117</v>
      </c>
      <c r="M155" s="8">
        <v>29.52662467956543</v>
      </c>
      <c r="N155" s="8">
        <v>29.187505722045898</v>
      </c>
      <c r="O155" s="8">
        <v>28.899686813354492</v>
      </c>
      <c r="P155" s="8">
        <v>28.445297241210938</v>
      </c>
      <c r="Q155" s="8">
        <v>28.130081176757813</v>
      </c>
      <c r="R155" s="8">
        <v>27.854166030883789</v>
      </c>
      <c r="S155" s="8">
        <v>27.343887329101563</v>
      </c>
      <c r="T155" s="8">
        <v>26.800691604614258</v>
      </c>
      <c r="U155" s="8">
        <v>26.276128768920898</v>
      </c>
      <c r="V155" s="8">
        <v>25.734701156616211</v>
      </c>
      <c r="W155" s="8">
        <v>25.070249557495117</v>
      </c>
      <c r="X155" s="8">
        <v>24.909793853759766</v>
      </c>
      <c r="Y155" s="8">
        <v>24.417121887207031</v>
      </c>
      <c r="Z155" s="8">
        <v>24.199407577514648</v>
      </c>
      <c r="AA155" s="8">
        <v>23.88096809387207</v>
      </c>
      <c r="AB155" s="8">
        <v>24.379257202148438</v>
      </c>
      <c r="AC155" s="8">
        <v>24.854316711425781</v>
      </c>
      <c r="AD155" s="8">
        <v>25.35760498046875</v>
      </c>
      <c r="AE155" s="8">
        <v>25.206396102905273</v>
      </c>
      <c r="AG155" s="8">
        <f t="shared" si="2"/>
        <v>25.533306642012164</v>
      </c>
    </row>
    <row r="156" spans="1:33" x14ac:dyDescent="0.2">
      <c r="A156" s="3" t="s">
        <v>191</v>
      </c>
      <c r="B156" s="3" t="s">
        <v>385</v>
      </c>
      <c r="C156" s="8">
        <v>39.648265838623047</v>
      </c>
      <c r="D156" s="8">
        <v>40.145576477050781</v>
      </c>
      <c r="E156" s="8">
        <v>40.729679107666016</v>
      </c>
      <c r="F156" s="8">
        <v>41.517459869384766</v>
      </c>
      <c r="G156" s="8">
        <v>41.690269470214844</v>
      </c>
      <c r="H156" s="8">
        <v>41.955848693847656</v>
      </c>
      <c r="I156" s="8">
        <v>42.568687438964844</v>
      </c>
      <c r="J156" s="8">
        <v>42.975238800048828</v>
      </c>
      <c r="K156" s="8">
        <v>43.263187408447266</v>
      </c>
      <c r="L156" s="8">
        <v>43.681911468505859</v>
      </c>
      <c r="M156" s="8">
        <v>44.026939392089844</v>
      </c>
      <c r="N156" s="8">
        <v>44.001533508300781</v>
      </c>
      <c r="O156" s="8">
        <v>43.910961151123047</v>
      </c>
      <c r="P156" s="8">
        <v>43.752975463867188</v>
      </c>
      <c r="Q156" s="8">
        <v>43.547561645507813</v>
      </c>
      <c r="R156" s="8">
        <v>43.585899353027344</v>
      </c>
      <c r="S156" s="8">
        <v>43.723400115966797</v>
      </c>
      <c r="T156" s="8">
        <v>43.900016784667969</v>
      </c>
      <c r="U156" s="8">
        <v>43.702678680419922</v>
      </c>
      <c r="V156" s="8">
        <v>43.556045532226563</v>
      </c>
      <c r="W156" s="8">
        <v>43.440090179443359</v>
      </c>
      <c r="X156" s="8">
        <v>43.362430572509766</v>
      </c>
      <c r="Y156" s="8">
        <v>43.212879180908203</v>
      </c>
      <c r="Z156" s="8">
        <v>42.912620544433594</v>
      </c>
      <c r="AA156" s="8">
        <v>42.245807647705078</v>
      </c>
      <c r="AB156" s="8">
        <v>41.564781188964844</v>
      </c>
      <c r="AC156" s="8">
        <v>40.851005554199219</v>
      </c>
      <c r="AD156" s="8">
        <v>40.374019622802734</v>
      </c>
      <c r="AE156" s="8">
        <v>39.798908233642578</v>
      </c>
      <c r="AG156" s="8">
        <f t="shared" si="2"/>
        <v>43.200604525479406</v>
      </c>
    </row>
    <row r="157" spans="1:33" x14ac:dyDescent="0.2">
      <c r="A157" s="3" t="s">
        <v>192</v>
      </c>
      <c r="B157" s="3" t="s">
        <v>386</v>
      </c>
      <c r="C157" s="8">
        <v>57.971363067626953</v>
      </c>
      <c r="D157" s="8">
        <v>58.492584228515625</v>
      </c>
      <c r="E157" s="8">
        <v>57.505630493164063</v>
      </c>
      <c r="F157" s="8">
        <v>58.906597137451172</v>
      </c>
      <c r="G157" s="8">
        <v>58.742950439453125</v>
      </c>
      <c r="H157" s="8">
        <v>59.114925384521484</v>
      </c>
      <c r="I157" s="8">
        <v>59.888095855712891</v>
      </c>
      <c r="J157" s="8">
        <v>60.232429504394531</v>
      </c>
      <c r="K157" s="8">
        <v>60.064571380615234</v>
      </c>
      <c r="L157" s="8">
        <v>60.253055572509766</v>
      </c>
      <c r="M157" s="8">
        <v>60.084609985351563</v>
      </c>
      <c r="N157" s="8">
        <v>60.421932220458984</v>
      </c>
      <c r="O157" s="8">
        <v>60.179656982421875</v>
      </c>
      <c r="P157" s="8">
        <v>60.036434173583984</v>
      </c>
      <c r="Q157" s="8">
        <v>60.709129333496094</v>
      </c>
      <c r="R157" s="8">
        <v>60.941791534423828</v>
      </c>
      <c r="S157" s="8">
        <v>61.201469421386719</v>
      </c>
      <c r="T157" s="8">
        <v>62.700469970703125</v>
      </c>
      <c r="U157" s="8">
        <v>62.815338134765625</v>
      </c>
      <c r="V157" s="8">
        <v>65.144119262695313</v>
      </c>
      <c r="W157" s="8">
        <v>64.551124572753906</v>
      </c>
      <c r="X157" s="8">
        <v>64.227989196777344</v>
      </c>
      <c r="Y157" s="8">
        <v>64.723342895507813</v>
      </c>
      <c r="Z157" s="8">
        <v>64.58367919921875</v>
      </c>
      <c r="AA157" s="8">
        <v>64.106887817382813</v>
      </c>
      <c r="AB157" s="8">
        <v>63.645309448242188</v>
      </c>
      <c r="AC157" s="8">
        <v>63.189762115478516</v>
      </c>
      <c r="AD157" s="8">
        <v>63.036148071289063</v>
      </c>
      <c r="AE157" s="8">
        <v>63.403850555419922</v>
      </c>
      <c r="AG157" s="8">
        <f t="shared" si="2"/>
        <v>63.512865586714312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864C-7989-4914-8D3E-4F226FF27C50}">
  <sheetPr>
    <tabColor rgb="FFFF0000"/>
  </sheetPr>
  <dimension ref="A1:N30"/>
  <sheetViews>
    <sheetView tabSelected="1" workbookViewId="0">
      <selection activeCell="L15" sqref="L15"/>
    </sheetView>
  </sheetViews>
  <sheetFormatPr defaultRowHeight="15" x14ac:dyDescent="0.25"/>
  <cols>
    <col min="2" max="2" width="11.140625" bestFit="1" customWidth="1"/>
    <col min="3" max="3" width="11.140625" customWidth="1"/>
  </cols>
  <sheetData>
    <row r="1" spans="1:14" x14ac:dyDescent="0.25">
      <c r="B1" t="s">
        <v>16</v>
      </c>
      <c r="D1" t="s">
        <v>66</v>
      </c>
      <c r="F1" t="s">
        <v>80</v>
      </c>
      <c r="H1" t="s">
        <v>79</v>
      </c>
      <c r="J1" t="s">
        <v>177</v>
      </c>
    </row>
    <row r="2" spans="1:14" x14ac:dyDescent="0.25">
      <c r="A2">
        <v>1990</v>
      </c>
      <c r="B2" s="8">
        <v>42.952110290527344</v>
      </c>
      <c r="C2" s="8"/>
      <c r="D2" s="8">
        <v>40.800056457519531</v>
      </c>
      <c r="E2" s="8"/>
      <c r="F2" s="8">
        <v>26.323104858398438</v>
      </c>
      <c r="H2" s="8">
        <v>22.722509384155273</v>
      </c>
      <c r="J2" s="8">
        <v>60.099411010742188</v>
      </c>
      <c r="N2" s="2" t="s">
        <v>16</v>
      </c>
    </row>
    <row r="3" spans="1:14" x14ac:dyDescent="0.25">
      <c r="A3">
        <v>1991</v>
      </c>
      <c r="B3" s="8">
        <v>42.664642333984375</v>
      </c>
      <c r="C3" s="8"/>
      <c r="D3" s="8">
        <v>40.412334442138672</v>
      </c>
      <c r="E3" s="8"/>
      <c r="F3" s="8">
        <v>26.13134765625</v>
      </c>
      <c r="H3" s="8">
        <v>22.149333953857422</v>
      </c>
      <c r="J3" s="8">
        <v>59.252635955810547</v>
      </c>
      <c r="N3" t="s">
        <v>434</v>
      </c>
    </row>
    <row r="4" spans="1:14" x14ac:dyDescent="0.25">
      <c r="A4">
        <v>1992</v>
      </c>
      <c r="B4" s="8">
        <v>42.450149536132813</v>
      </c>
      <c r="C4" s="8"/>
      <c r="D4" s="8">
        <v>40.33795166015625</v>
      </c>
      <c r="E4" s="8"/>
      <c r="F4" s="8">
        <v>25.930332183837891</v>
      </c>
      <c r="H4" s="8">
        <v>21.719663619995117</v>
      </c>
      <c r="J4" s="8">
        <v>59.108470916748047</v>
      </c>
      <c r="N4" t="s">
        <v>435</v>
      </c>
    </row>
    <row r="5" spans="1:14" x14ac:dyDescent="0.25">
      <c r="A5">
        <v>1993</v>
      </c>
      <c r="B5" s="8">
        <v>42.107204437255859</v>
      </c>
      <c r="C5" s="8"/>
      <c r="D5" s="8">
        <v>40.203868865966797</v>
      </c>
      <c r="E5" s="8"/>
      <c r="F5" s="8">
        <v>25.7271728515625</v>
      </c>
      <c r="H5" s="8">
        <v>21.272235870361328</v>
      </c>
      <c r="J5" s="8">
        <v>59.3297119140625</v>
      </c>
      <c r="N5" t="s">
        <v>436</v>
      </c>
    </row>
    <row r="6" spans="1:14" x14ac:dyDescent="0.25">
      <c r="A6">
        <v>1994</v>
      </c>
      <c r="B6" s="8">
        <v>41.800094604492188</v>
      </c>
      <c r="C6" s="8"/>
      <c r="D6" s="8">
        <v>40.134487152099609</v>
      </c>
      <c r="E6" s="8"/>
      <c r="F6" s="8">
        <v>25.441801071166992</v>
      </c>
      <c r="H6" s="8">
        <v>20.879810333251953</v>
      </c>
      <c r="J6" s="8">
        <v>59.906215667724609</v>
      </c>
    </row>
    <row r="7" spans="1:14" x14ac:dyDescent="0.25">
      <c r="A7">
        <v>1995</v>
      </c>
      <c r="B7" s="8">
        <v>41.484584808349609</v>
      </c>
      <c r="C7" s="8"/>
      <c r="D7" s="8">
        <v>40.184051513671875</v>
      </c>
      <c r="E7" s="8"/>
      <c r="F7" s="8">
        <v>25.032356262207031</v>
      </c>
      <c r="H7" s="8">
        <v>20.250991821289063</v>
      </c>
      <c r="J7" s="8">
        <v>60.985935211181641</v>
      </c>
      <c r="N7" s="2" t="s">
        <v>66</v>
      </c>
    </row>
    <row r="8" spans="1:14" x14ac:dyDescent="0.25">
      <c r="A8">
        <v>1996</v>
      </c>
      <c r="B8" s="8">
        <v>41.130989074707031</v>
      </c>
      <c r="C8" s="8"/>
      <c r="D8" s="8">
        <v>40.113990783691406</v>
      </c>
      <c r="E8" s="8"/>
      <c r="F8" s="8">
        <v>24.715343475341797</v>
      </c>
      <c r="H8" s="8">
        <v>19.952507019042969</v>
      </c>
      <c r="J8" s="8">
        <v>62.476116180419922</v>
      </c>
      <c r="N8" s="32" t="s">
        <v>437</v>
      </c>
    </row>
    <row r="9" spans="1:14" x14ac:dyDescent="0.25">
      <c r="A9">
        <v>1997</v>
      </c>
      <c r="B9" s="8">
        <v>40.773448944091797</v>
      </c>
      <c r="C9" s="8"/>
      <c r="D9" s="8">
        <v>40.233707427978516</v>
      </c>
      <c r="E9" s="8"/>
      <c r="F9" s="8">
        <v>24.362960815429688</v>
      </c>
      <c r="H9" s="8">
        <v>19.576122283935547</v>
      </c>
      <c r="J9" s="8">
        <v>62.626117706298828</v>
      </c>
      <c r="N9" s="32" t="s">
        <v>438</v>
      </c>
    </row>
    <row r="10" spans="1:14" x14ac:dyDescent="0.25">
      <c r="A10">
        <v>1998</v>
      </c>
      <c r="B10" s="8">
        <v>40.172473907470703</v>
      </c>
      <c r="C10" s="8"/>
      <c r="D10" s="8">
        <v>40.116455078125</v>
      </c>
      <c r="E10" s="8"/>
      <c r="F10" s="8">
        <v>24.013774871826172</v>
      </c>
      <c r="H10" s="8">
        <v>19.407167434692383</v>
      </c>
      <c r="J10" s="8">
        <v>61.850791931152344</v>
      </c>
      <c r="N10" s="33" t="s">
        <v>439</v>
      </c>
    </row>
    <row r="11" spans="1:14" x14ac:dyDescent="0.25">
      <c r="A11">
        <v>1999</v>
      </c>
      <c r="B11" s="8">
        <v>39.560256958007813</v>
      </c>
      <c r="C11" s="8"/>
      <c r="D11" s="8">
        <v>40.298923492431641</v>
      </c>
      <c r="E11" s="8"/>
      <c r="F11" s="8">
        <v>23.624574661254883</v>
      </c>
      <c r="H11" s="8">
        <v>19.338741302490234</v>
      </c>
      <c r="J11" s="8">
        <v>61.278652191162109</v>
      </c>
    </row>
    <row r="12" spans="1:14" x14ac:dyDescent="0.25">
      <c r="A12">
        <v>2000</v>
      </c>
      <c r="B12" s="8">
        <v>38.955913543701172</v>
      </c>
      <c r="C12" s="8"/>
      <c r="D12" s="8">
        <v>39.675777435302734</v>
      </c>
      <c r="E12" s="8"/>
      <c r="F12" s="8">
        <v>23.387630462646484</v>
      </c>
      <c r="H12" s="8">
        <v>19.185680389404297</v>
      </c>
      <c r="J12" s="8">
        <v>60.575042724609375</v>
      </c>
      <c r="N12" s="2" t="s">
        <v>80</v>
      </c>
    </row>
    <row r="13" spans="1:14" x14ac:dyDescent="0.25">
      <c r="A13">
        <v>2001</v>
      </c>
      <c r="B13" s="8">
        <v>38.389839172363281</v>
      </c>
      <c r="C13" s="8"/>
      <c r="D13" s="8">
        <v>39.232028961181641</v>
      </c>
      <c r="E13" s="8"/>
      <c r="F13" s="8">
        <v>23.158475875854492</v>
      </c>
      <c r="H13" s="8">
        <v>19.038862228393555</v>
      </c>
      <c r="J13" s="8">
        <v>59.767295837402344</v>
      </c>
      <c r="N13" s="32" t="s">
        <v>440</v>
      </c>
    </row>
    <row r="14" spans="1:14" x14ac:dyDescent="0.25">
      <c r="A14">
        <v>2002</v>
      </c>
      <c r="B14" s="8">
        <v>37.765056610107422</v>
      </c>
      <c r="C14" s="8"/>
      <c r="D14" s="8">
        <v>39.408397674560547</v>
      </c>
      <c r="E14" s="8"/>
      <c r="F14" s="8">
        <v>22.948118209838867</v>
      </c>
      <c r="H14" s="8">
        <v>18.854721069335938</v>
      </c>
      <c r="J14" s="8">
        <v>58.855014801025391</v>
      </c>
      <c r="N14" s="32" t="s">
        <v>441</v>
      </c>
    </row>
    <row r="15" spans="1:14" x14ac:dyDescent="0.25">
      <c r="A15">
        <v>2003</v>
      </c>
      <c r="B15" s="8">
        <v>37.098930358886719</v>
      </c>
      <c r="C15" s="8"/>
      <c r="D15" s="8">
        <v>39.153560638427734</v>
      </c>
      <c r="E15" s="8"/>
      <c r="F15" s="8">
        <v>22.669794082641602</v>
      </c>
      <c r="H15" s="8">
        <v>18.682374954223633</v>
      </c>
      <c r="J15" s="8">
        <v>57.725448608398438</v>
      </c>
      <c r="N15" s="33" t="s">
        <v>442</v>
      </c>
    </row>
    <row r="16" spans="1:14" x14ac:dyDescent="0.25">
      <c r="A16">
        <v>2004</v>
      </c>
      <c r="B16" s="8">
        <v>36.318214416503906</v>
      </c>
      <c r="C16" s="8"/>
      <c r="D16" s="8">
        <v>39.013534545898438</v>
      </c>
      <c r="E16" s="8"/>
      <c r="F16" s="8">
        <v>22.303991317749023</v>
      </c>
      <c r="H16" s="8">
        <v>18.501169204711914</v>
      </c>
      <c r="J16" s="8">
        <v>56.764675140380859</v>
      </c>
      <c r="N16" s="32"/>
    </row>
    <row r="17" spans="1:14" x14ac:dyDescent="0.25">
      <c r="A17">
        <v>2005</v>
      </c>
      <c r="B17" s="8">
        <v>35.509971618652344</v>
      </c>
      <c r="C17" s="8"/>
      <c r="D17" s="8">
        <v>38.887638092041016</v>
      </c>
      <c r="E17" s="8"/>
      <c r="F17" s="8">
        <v>21.795886993408203</v>
      </c>
      <c r="H17" s="8">
        <v>18.253488540649414</v>
      </c>
      <c r="J17" s="8">
        <v>55.824493408203125</v>
      </c>
      <c r="N17" s="32" t="s">
        <v>79</v>
      </c>
    </row>
    <row r="18" spans="1:14" x14ac:dyDescent="0.25">
      <c r="A18">
        <v>2006</v>
      </c>
      <c r="B18" s="8">
        <v>34.6885986328125</v>
      </c>
      <c r="C18" s="8"/>
      <c r="D18" s="8">
        <v>38.631591796875</v>
      </c>
      <c r="E18" s="8"/>
      <c r="F18" s="8">
        <v>21.266304016113281</v>
      </c>
      <c r="H18" s="8">
        <v>18.02515983581543</v>
      </c>
      <c r="J18" s="8">
        <v>54.842567443847656</v>
      </c>
      <c r="N18" s="32" t="s">
        <v>443</v>
      </c>
    </row>
    <row r="19" spans="1:14" x14ac:dyDescent="0.25">
      <c r="A19">
        <v>2007</v>
      </c>
      <c r="B19" s="31">
        <v>34.100784301757813</v>
      </c>
      <c r="C19" s="31"/>
      <c r="D19" s="31">
        <v>38.300792694091797</v>
      </c>
      <c r="E19" s="31"/>
      <c r="F19" s="31">
        <v>20.700939178466797</v>
      </c>
      <c r="H19" s="31">
        <v>17.900320053100586</v>
      </c>
      <c r="J19" s="31">
        <v>53.700935363769531</v>
      </c>
      <c r="N19" s="32" t="s">
        <v>444</v>
      </c>
    </row>
    <row r="20" spans="1:14" x14ac:dyDescent="0.25">
      <c r="A20">
        <v>2008</v>
      </c>
      <c r="B20" s="8">
        <v>33.480823516845703</v>
      </c>
      <c r="C20" s="8"/>
      <c r="D20" s="8">
        <v>37.94488525390625</v>
      </c>
      <c r="E20" s="8"/>
      <c r="F20" s="8">
        <v>20.192964553833008</v>
      </c>
      <c r="H20" s="8">
        <v>17.685661315917969</v>
      </c>
      <c r="J20" s="8">
        <v>52.7171630859375</v>
      </c>
      <c r="N20" s="33" t="s">
        <v>445</v>
      </c>
    </row>
    <row r="21" spans="1:14" x14ac:dyDescent="0.25">
      <c r="A21">
        <v>2009</v>
      </c>
      <c r="B21" s="8">
        <v>32.828964233398438</v>
      </c>
      <c r="C21" s="8"/>
      <c r="D21" s="8">
        <v>37.753368377685547</v>
      </c>
      <c r="E21" s="8"/>
      <c r="F21" s="8">
        <v>19.695468902587891</v>
      </c>
      <c r="H21" s="8">
        <v>17.432538986206055</v>
      </c>
      <c r="J21" s="8">
        <v>51.64007568359375</v>
      </c>
    </row>
    <row r="22" spans="1:14" x14ac:dyDescent="0.25">
      <c r="A22">
        <v>2010</v>
      </c>
      <c r="B22" s="8">
        <v>32.177204132080078</v>
      </c>
      <c r="C22" s="8"/>
      <c r="D22" s="8">
        <v>37.923954010009766</v>
      </c>
      <c r="E22" s="8"/>
      <c r="F22" s="8">
        <v>19.275066375732422</v>
      </c>
      <c r="H22" s="8">
        <v>17.270965576171875</v>
      </c>
      <c r="J22" s="8">
        <v>50.984550476074219</v>
      </c>
    </row>
    <row r="23" spans="1:14" x14ac:dyDescent="0.25">
      <c r="A23">
        <v>2011</v>
      </c>
      <c r="B23" s="8">
        <v>31.500190734863281</v>
      </c>
      <c r="C23" s="8"/>
      <c r="D23" s="8">
        <v>37.85418701171875</v>
      </c>
      <c r="E23" s="8"/>
      <c r="F23" s="8">
        <v>18.850730895996094</v>
      </c>
      <c r="H23" s="8">
        <v>17.029758453369141</v>
      </c>
      <c r="J23" s="8">
        <v>49.907073974609375</v>
      </c>
    </row>
    <row r="24" spans="1:14" x14ac:dyDescent="0.25">
      <c r="A24">
        <v>2012</v>
      </c>
      <c r="B24" s="8">
        <v>30.899021148681641</v>
      </c>
      <c r="C24" s="8"/>
      <c r="D24" s="8">
        <v>37.773811340332031</v>
      </c>
      <c r="E24" s="8"/>
      <c r="F24" s="8">
        <v>18.458332061767578</v>
      </c>
      <c r="H24" s="8">
        <v>16.739225387573242</v>
      </c>
      <c r="J24" s="8">
        <v>48.764636993408203</v>
      </c>
    </row>
    <row r="25" spans="1:14" x14ac:dyDescent="0.25">
      <c r="A25">
        <v>2013</v>
      </c>
      <c r="B25" s="8">
        <v>30.204217910766602</v>
      </c>
      <c r="C25" s="8"/>
      <c r="D25" s="8">
        <v>38.060897827148438</v>
      </c>
      <c r="E25" s="8"/>
      <c r="F25" s="8">
        <v>18.140811920166016</v>
      </c>
      <c r="H25" s="8">
        <v>16.472682952880859</v>
      </c>
      <c r="J25" s="8">
        <v>47.648807525634766</v>
      </c>
    </row>
    <row r="26" spans="1:14" x14ac:dyDescent="0.25">
      <c r="A26">
        <v>2014</v>
      </c>
      <c r="B26" s="8">
        <v>29.532600402832031</v>
      </c>
      <c r="C26" s="8"/>
      <c r="D26" s="8">
        <v>37.880928039550781</v>
      </c>
      <c r="E26" s="8"/>
      <c r="F26" s="8">
        <v>17.840627670288086</v>
      </c>
      <c r="H26" s="8">
        <v>16.233072280883789</v>
      </c>
      <c r="J26" s="8">
        <v>46.858673095703125</v>
      </c>
    </row>
    <row r="27" spans="1:14" x14ac:dyDescent="0.25">
      <c r="A27">
        <v>2015</v>
      </c>
      <c r="B27" s="8">
        <v>28.897315979003906</v>
      </c>
      <c r="C27" s="8"/>
      <c r="D27" s="8">
        <v>37.939140319824219</v>
      </c>
      <c r="E27" s="8"/>
      <c r="F27" s="8">
        <v>17.566015243530273</v>
      </c>
      <c r="H27" s="8">
        <v>15.950048446655273</v>
      </c>
      <c r="J27" s="8">
        <v>46.034599304199219</v>
      </c>
    </row>
    <row r="28" spans="1:14" x14ac:dyDescent="0.25">
      <c r="A28">
        <v>2016</v>
      </c>
      <c r="B28" s="8">
        <v>28.256935119628906</v>
      </c>
      <c r="C28" s="8"/>
      <c r="D28" s="8">
        <v>38.033409118652344</v>
      </c>
      <c r="E28" s="8"/>
      <c r="F28" s="8">
        <v>17.269660949707031</v>
      </c>
      <c r="H28" s="8">
        <v>15.743973731994629</v>
      </c>
      <c r="J28" s="8">
        <v>44.925216674804688</v>
      </c>
    </row>
    <row r="29" spans="1:14" x14ac:dyDescent="0.25">
      <c r="A29">
        <v>2017</v>
      </c>
      <c r="B29" s="8">
        <v>27.63127326965332</v>
      </c>
      <c r="C29" s="8"/>
      <c r="D29" s="8">
        <v>38.257102966308594</v>
      </c>
      <c r="E29" s="8"/>
      <c r="F29" s="8">
        <v>16.960294723510742</v>
      </c>
      <c r="H29" s="8">
        <v>15.537893295288086</v>
      </c>
      <c r="J29" s="8">
        <v>43.811855316162109</v>
      </c>
    </row>
    <row r="30" spans="1:14" x14ac:dyDescent="0.25">
      <c r="A30">
        <v>2018</v>
      </c>
      <c r="B30" s="8">
        <v>26.998659133911133</v>
      </c>
      <c r="C30" s="8"/>
      <c r="D30" s="8">
        <v>38.204689025878906</v>
      </c>
      <c r="E30" s="8"/>
      <c r="F30" s="8">
        <v>16.653045654296875</v>
      </c>
      <c r="H30" s="8">
        <v>15.284904479980469</v>
      </c>
      <c r="J30" s="8">
        <v>42.647056579589844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81FC-8348-43D5-83E6-6209790EBDC0}">
  <dimension ref="A1:AG159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G12" sqref="G12"/>
    </sheetView>
  </sheetViews>
  <sheetFormatPr defaultColWidth="9.140625" defaultRowHeight="12.75" x14ac:dyDescent="0.2"/>
  <cols>
    <col min="1" max="1" width="26.28515625" style="5" customWidth="1"/>
    <col min="2" max="2" width="9.140625" style="5"/>
    <col min="3" max="5" width="0" style="5" hidden="1" customWidth="1"/>
    <col min="6" max="16384" width="9.140625" style="5"/>
  </cols>
  <sheetData>
    <row r="1" spans="1:33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G1" s="4" t="s">
        <v>426</v>
      </c>
    </row>
    <row r="2" spans="1:33" x14ac:dyDescent="0.2">
      <c r="A2" s="5" t="s">
        <v>3</v>
      </c>
      <c r="B2" s="5" t="s">
        <v>196</v>
      </c>
      <c r="C2" s="6"/>
      <c r="D2" s="6"/>
      <c r="E2" s="6"/>
      <c r="F2" s="7">
        <v>38.571281433105469</v>
      </c>
      <c r="G2" s="7">
        <v>38.260951995849609</v>
      </c>
      <c r="H2" s="7">
        <v>37.862960815429688</v>
      </c>
      <c r="I2" s="7">
        <v>35.685630798339844</v>
      </c>
      <c r="J2" s="7">
        <v>36.243999481201172</v>
      </c>
      <c r="K2" s="7">
        <v>36.363334655761719</v>
      </c>
      <c r="L2" s="7">
        <v>36.019931793212891</v>
      </c>
      <c r="M2" s="7">
        <v>35.299999237060547</v>
      </c>
      <c r="N2" s="7">
        <v>36.439022064208984</v>
      </c>
      <c r="O2" s="7">
        <v>35.573329925537109</v>
      </c>
      <c r="P2" s="7">
        <v>35.238903045654297</v>
      </c>
      <c r="Q2" s="7">
        <v>35.024368286132813</v>
      </c>
      <c r="R2" s="7">
        <v>34.945659637451172</v>
      </c>
      <c r="S2" s="7">
        <v>34.391948699951172</v>
      </c>
      <c r="T2" s="7">
        <v>34.177272796630859</v>
      </c>
      <c r="U2" s="7">
        <v>33.751468658447266</v>
      </c>
      <c r="V2" s="7">
        <v>33.956642150878906</v>
      </c>
      <c r="W2" s="7">
        <v>33.877605438232422</v>
      </c>
      <c r="X2" s="7">
        <v>33.597434997558594</v>
      </c>
      <c r="Y2" s="7">
        <v>33.505386352539063</v>
      </c>
      <c r="Z2" s="7">
        <v>33.804462432861328</v>
      </c>
      <c r="AA2" s="7">
        <v>33.753948211669922</v>
      </c>
      <c r="AB2" s="7">
        <v>33.515609741210938</v>
      </c>
      <c r="AC2" s="7">
        <v>33.233230590820313</v>
      </c>
      <c r="AD2" s="7">
        <v>32.931488037109375</v>
      </c>
      <c r="AE2" s="7">
        <v>32.407962799072266</v>
      </c>
      <c r="AG2" s="7">
        <f>AVERAGE($R2:$AB2)</f>
        <v>33.934312647039242</v>
      </c>
    </row>
    <row r="3" spans="1:33" x14ac:dyDescent="0.2">
      <c r="A3" s="5" t="s">
        <v>52</v>
      </c>
      <c r="B3" s="5" t="s">
        <v>245</v>
      </c>
      <c r="C3" s="6"/>
      <c r="D3" s="6"/>
      <c r="E3" s="6"/>
      <c r="F3" s="7">
        <v>34.984855651855469</v>
      </c>
      <c r="G3" s="7">
        <v>35.057540893554688</v>
      </c>
      <c r="H3" s="7">
        <v>34.919013977050781</v>
      </c>
      <c r="I3" s="7">
        <v>35.023456573486328</v>
      </c>
      <c r="J3" s="7">
        <v>34.944877624511719</v>
      </c>
      <c r="K3" s="7">
        <v>34.796489715576172</v>
      </c>
      <c r="L3" s="7">
        <v>34.587123870849609</v>
      </c>
      <c r="M3" s="7">
        <v>34.099998474121094</v>
      </c>
      <c r="N3" s="7">
        <v>33.896747589111328</v>
      </c>
      <c r="O3" s="7">
        <v>33.497978210449219</v>
      </c>
      <c r="P3" s="7">
        <v>32.919090270996094</v>
      </c>
      <c r="Q3" s="7">
        <v>32.373050689697266</v>
      </c>
      <c r="R3" s="7">
        <v>31.38172721862793</v>
      </c>
      <c r="S3" s="7">
        <v>31.241147994995117</v>
      </c>
      <c r="T3" s="7">
        <v>31.308382034301758</v>
      </c>
      <c r="U3" s="7">
        <v>31.496702194213867</v>
      </c>
      <c r="V3" s="7">
        <v>31.918821334838867</v>
      </c>
      <c r="W3" s="7">
        <v>31.838108062744141</v>
      </c>
      <c r="X3" s="7">
        <v>32.420799255371094</v>
      </c>
      <c r="Y3" s="7">
        <v>32.238971710205078</v>
      </c>
      <c r="Z3" s="7">
        <v>31.941799163818359</v>
      </c>
      <c r="AA3" s="7">
        <v>31.831317901611328</v>
      </c>
      <c r="AB3" s="7">
        <v>32.040489196777344</v>
      </c>
      <c r="AC3" s="7">
        <v>31.830295562744141</v>
      </c>
      <c r="AD3" s="7">
        <v>31.742618560791016</v>
      </c>
      <c r="AE3" s="7">
        <v>31.315494537353516</v>
      </c>
      <c r="AG3" s="7">
        <f t="shared" ref="AG3:AG66" si="0">AVERAGE($R3:$AB3)</f>
        <v>31.787115097045898</v>
      </c>
    </row>
    <row r="4" spans="1:33" x14ac:dyDescent="0.2">
      <c r="A4" s="5" t="s">
        <v>2</v>
      </c>
      <c r="B4" s="5" t="s">
        <v>195</v>
      </c>
      <c r="C4" s="6"/>
      <c r="D4" s="6"/>
      <c r="E4" s="6"/>
      <c r="F4" s="7">
        <v>50.773422241210938</v>
      </c>
      <c r="G4" s="7">
        <v>49.773391723632813</v>
      </c>
      <c r="H4" s="7">
        <v>47.836200714111328</v>
      </c>
      <c r="I4" s="7">
        <v>47.405990600585938</v>
      </c>
      <c r="J4" s="7">
        <v>47.323348999023438</v>
      </c>
      <c r="K4" s="7">
        <v>49.990226745605469</v>
      </c>
      <c r="L4" s="7">
        <v>47.678768157958984</v>
      </c>
      <c r="M4" s="7">
        <v>48.799999237060547</v>
      </c>
      <c r="N4" s="7">
        <v>48.596015930175781</v>
      </c>
      <c r="O4" s="7">
        <v>46.689796447753906</v>
      </c>
      <c r="P4" s="7">
        <v>46.970916748046875</v>
      </c>
      <c r="Q4" s="7">
        <v>46.379878997802734</v>
      </c>
      <c r="R4" s="7">
        <v>45.360244750976563</v>
      </c>
      <c r="S4" s="7">
        <v>45.261455535888672</v>
      </c>
      <c r="T4" s="7">
        <v>44.122997283935547</v>
      </c>
      <c r="U4" s="7">
        <v>43.668079376220703</v>
      </c>
      <c r="V4" s="7">
        <v>44.132369995117188</v>
      </c>
      <c r="W4" s="7">
        <v>44.137409210205078</v>
      </c>
      <c r="X4" s="7">
        <v>44.295761108398438</v>
      </c>
      <c r="Y4" s="7">
        <v>43.629150390625</v>
      </c>
      <c r="Z4" s="7">
        <v>44.187042236328125</v>
      </c>
      <c r="AA4" s="7">
        <v>43.451480865478516</v>
      </c>
      <c r="AB4" s="7">
        <v>43.223419189453125</v>
      </c>
      <c r="AC4" s="7">
        <v>43.443283081054688</v>
      </c>
      <c r="AD4" s="7">
        <v>43.384040832519531</v>
      </c>
      <c r="AE4" s="7">
        <v>43.328170776367188</v>
      </c>
      <c r="AG4" s="7">
        <f t="shared" si="0"/>
        <v>44.133582722056993</v>
      </c>
    </row>
    <row r="5" spans="1:33" x14ac:dyDescent="0.2">
      <c r="A5" s="5" t="s">
        <v>6</v>
      </c>
      <c r="B5" s="5" t="s">
        <v>199</v>
      </c>
      <c r="C5" s="6"/>
      <c r="D5" s="6"/>
      <c r="E5" s="6"/>
      <c r="F5" s="7">
        <v>25.562576293945313</v>
      </c>
      <c r="G5" s="7">
        <v>25.373231887817383</v>
      </c>
      <c r="H5" s="7">
        <v>25.952001571655273</v>
      </c>
      <c r="I5" s="7">
        <v>25.319374084472656</v>
      </c>
      <c r="J5" s="7">
        <v>24.688922882080078</v>
      </c>
      <c r="K5" s="7">
        <v>24.43248176574707</v>
      </c>
      <c r="L5" s="7">
        <v>25.105556488037109</v>
      </c>
      <c r="M5" s="7">
        <v>25.399999618530273</v>
      </c>
      <c r="N5" s="7">
        <v>26.039270401000977</v>
      </c>
      <c r="O5" s="7">
        <v>26.414730072021484</v>
      </c>
      <c r="P5" s="7">
        <v>25.656591415405273</v>
      </c>
      <c r="Q5" s="7">
        <v>25.065067291259766</v>
      </c>
      <c r="R5" s="7">
        <v>24.80224609375</v>
      </c>
      <c r="S5" s="7">
        <v>24.373483657836914</v>
      </c>
      <c r="T5" s="7">
        <v>23.895635604858398</v>
      </c>
      <c r="U5" s="7">
        <v>23.884767532348633</v>
      </c>
      <c r="V5" s="7">
        <v>24.921953201293945</v>
      </c>
      <c r="W5" s="7">
        <v>24.042016983032227</v>
      </c>
      <c r="X5" s="7">
        <v>23.74964714050293</v>
      </c>
      <c r="Y5" s="7">
        <v>24.167985916137695</v>
      </c>
      <c r="Z5" s="7">
        <v>24.134323120117188</v>
      </c>
      <c r="AA5" s="7">
        <v>24.369668960571289</v>
      </c>
      <c r="AB5" s="7">
        <v>24.415708541870117</v>
      </c>
      <c r="AC5" s="7">
        <v>24.37354850769043</v>
      </c>
      <c r="AD5" s="7">
        <v>24.294239044189453</v>
      </c>
      <c r="AE5" s="7">
        <v>24.408111572265625</v>
      </c>
      <c r="AG5" s="7">
        <f t="shared" si="0"/>
        <v>24.250676068392668</v>
      </c>
    </row>
    <row r="6" spans="1:33" x14ac:dyDescent="0.2">
      <c r="A6" s="5" t="s">
        <v>7</v>
      </c>
      <c r="B6" s="5" t="s">
        <v>200</v>
      </c>
      <c r="C6" s="6"/>
      <c r="D6" s="6"/>
      <c r="E6" s="6"/>
      <c r="F6" s="7">
        <v>49.078380584716797</v>
      </c>
      <c r="G6" s="7">
        <v>46.229175567626953</v>
      </c>
      <c r="H6" s="7">
        <v>46.409404754638672</v>
      </c>
      <c r="I6" s="7">
        <v>46.283584594726563</v>
      </c>
      <c r="J6" s="7">
        <v>46.210647583007813</v>
      </c>
      <c r="K6" s="7">
        <v>46.161270141601563</v>
      </c>
      <c r="L6" s="7">
        <v>46.370132446289063</v>
      </c>
      <c r="M6" s="7">
        <v>46.299999237060547</v>
      </c>
      <c r="N6" s="7">
        <v>46.569957733154297</v>
      </c>
      <c r="O6" s="7">
        <v>45.144954681396484</v>
      </c>
      <c r="P6" s="7">
        <v>45.033126831054688</v>
      </c>
      <c r="Q6" s="7">
        <v>44.915134429931641</v>
      </c>
      <c r="R6" s="7">
        <v>44.366031646728516</v>
      </c>
      <c r="S6" s="7">
        <v>44.015174865722656</v>
      </c>
      <c r="T6" s="7">
        <v>43.682785034179688</v>
      </c>
      <c r="U6" s="7">
        <v>42.372222900390625</v>
      </c>
      <c r="V6" s="7">
        <v>43.750289916992188</v>
      </c>
      <c r="W6" s="7">
        <v>43.842624664306641</v>
      </c>
      <c r="X6" s="7">
        <v>43.48919677734375</v>
      </c>
      <c r="Y6" s="7">
        <v>42.941333770751953</v>
      </c>
      <c r="Z6" s="7">
        <v>42.905033111572266</v>
      </c>
      <c r="AA6" s="7">
        <v>43.296852111816406</v>
      </c>
      <c r="AB6" s="7">
        <v>43.481315612792969</v>
      </c>
      <c r="AC6" s="7">
        <v>43.560779571533203</v>
      </c>
      <c r="AD6" s="7">
        <v>42.755603790283203</v>
      </c>
      <c r="AE6" s="7">
        <v>42.493434906005859</v>
      </c>
      <c r="AG6" s="7">
        <f t="shared" si="0"/>
        <v>43.467532764781602</v>
      </c>
    </row>
    <row r="7" spans="1:33" x14ac:dyDescent="0.2">
      <c r="A7" s="5" t="s">
        <v>9</v>
      </c>
      <c r="B7" s="5" t="s">
        <v>202</v>
      </c>
      <c r="C7" s="6"/>
      <c r="D7" s="6"/>
      <c r="E7" s="6"/>
      <c r="F7" s="7">
        <v>15.538859367370605</v>
      </c>
      <c r="G7" s="7">
        <v>15.193089485168457</v>
      </c>
      <c r="H7" s="7">
        <v>15.08393669128418</v>
      </c>
      <c r="I7" s="7">
        <v>14.748693466186523</v>
      </c>
      <c r="J7" s="7">
        <v>14.710874557495117</v>
      </c>
      <c r="K7" s="7">
        <v>14.797375679016113</v>
      </c>
      <c r="L7" s="7">
        <v>14.473602294921875</v>
      </c>
      <c r="M7" s="7">
        <v>14.300000190734863</v>
      </c>
      <c r="N7" s="7">
        <v>14.230506896972656</v>
      </c>
      <c r="O7" s="7">
        <v>14.177370071411133</v>
      </c>
      <c r="P7" s="7">
        <v>13.947599411010742</v>
      </c>
      <c r="Q7" s="7">
        <v>13.720335960388184</v>
      </c>
      <c r="R7" s="7">
        <v>13.790192604064941</v>
      </c>
      <c r="S7" s="7">
        <v>13.695947647094727</v>
      </c>
      <c r="T7" s="7">
        <v>13.417634010314941</v>
      </c>
      <c r="U7" s="7">
        <v>13.541301727294922</v>
      </c>
      <c r="V7" s="7">
        <v>13.900376319885254</v>
      </c>
      <c r="W7" s="7">
        <v>13.716012001037598</v>
      </c>
      <c r="X7" s="7">
        <v>13.812760353088379</v>
      </c>
      <c r="Y7" s="7">
        <v>13.723848342895508</v>
      </c>
      <c r="Z7" s="7">
        <v>13.637007713317871</v>
      </c>
      <c r="AA7" s="7">
        <v>13.820518493652344</v>
      </c>
      <c r="AB7" s="7">
        <v>14.116594314575195</v>
      </c>
      <c r="AC7" s="7">
        <v>14.018482208251953</v>
      </c>
      <c r="AD7" s="7">
        <v>14.087062835693359</v>
      </c>
      <c r="AE7" s="7">
        <v>14.065774917602539</v>
      </c>
      <c r="AG7" s="7">
        <f t="shared" si="0"/>
        <v>13.742926684292881</v>
      </c>
    </row>
    <row r="8" spans="1:33" x14ac:dyDescent="0.2">
      <c r="A8" s="5" t="s">
        <v>10</v>
      </c>
      <c r="B8" s="5" t="s">
        <v>203</v>
      </c>
      <c r="C8" s="6"/>
      <c r="D8" s="6"/>
      <c r="E8" s="6"/>
      <c r="F8" s="7">
        <v>10.522746086120605</v>
      </c>
      <c r="G8" s="7">
        <v>10.40567684173584</v>
      </c>
      <c r="H8" s="7">
        <v>10.410053253173828</v>
      </c>
      <c r="I8" s="7">
        <v>10.392490386962891</v>
      </c>
      <c r="J8" s="7">
        <v>10.33949089050293</v>
      </c>
      <c r="K8" s="7">
        <v>10.204848289489746</v>
      </c>
      <c r="L8" s="7">
        <v>10.129485130310059</v>
      </c>
      <c r="M8" s="7">
        <v>9.8000001907348633</v>
      </c>
      <c r="N8" s="7">
        <v>9.7051286697387695</v>
      </c>
      <c r="O8" s="7">
        <v>9.6750154495239258</v>
      </c>
      <c r="P8" s="7">
        <v>9.7274608612060547</v>
      </c>
      <c r="Q8" s="7">
        <v>9.7564935684204102</v>
      </c>
      <c r="R8" s="7">
        <v>9.9559669494628906</v>
      </c>
      <c r="S8" s="7">
        <v>9.7178678512573242</v>
      </c>
      <c r="T8" s="7">
        <v>9.3870134353637695</v>
      </c>
      <c r="U8" s="7">
        <v>9.4718151092529297</v>
      </c>
      <c r="V8" s="7">
        <v>10.237248420715332</v>
      </c>
      <c r="W8" s="7">
        <v>10.010276794433594</v>
      </c>
      <c r="X8" s="7">
        <v>9.7683134078979492</v>
      </c>
      <c r="Y8" s="7">
        <v>9.7893171310424805</v>
      </c>
      <c r="Z8" s="7">
        <v>9.9001703262329102</v>
      </c>
      <c r="AA8" s="7">
        <v>9.8861408233642578</v>
      </c>
      <c r="AB8" s="7">
        <v>9.9220905303955078</v>
      </c>
      <c r="AC8" s="7">
        <v>9.884526252746582</v>
      </c>
      <c r="AD8" s="7">
        <v>9.717158317565918</v>
      </c>
      <c r="AE8" s="7">
        <v>9.5145225524902344</v>
      </c>
      <c r="AG8" s="7">
        <f t="shared" si="0"/>
        <v>9.8223837072199043</v>
      </c>
    </row>
    <row r="9" spans="1:33" x14ac:dyDescent="0.2">
      <c r="A9" s="5" t="s">
        <v>11</v>
      </c>
      <c r="B9" s="5" t="s">
        <v>204</v>
      </c>
      <c r="C9" s="6"/>
      <c r="D9" s="6"/>
      <c r="E9" s="6"/>
      <c r="F9" s="7">
        <v>62.28173828125</v>
      </c>
      <c r="G9" s="7">
        <v>61.244701385498047</v>
      </c>
      <c r="H9" s="7">
        <v>59.083518981933594</v>
      </c>
      <c r="I9" s="7">
        <v>58.800266265869141</v>
      </c>
      <c r="J9" s="7">
        <v>59.293415069580078</v>
      </c>
      <c r="K9" s="7">
        <v>59.825023651123047</v>
      </c>
      <c r="L9" s="7">
        <v>59.419658660888672</v>
      </c>
      <c r="M9" s="7">
        <v>60.599998474121094</v>
      </c>
      <c r="N9" s="7">
        <v>59.940505981445313</v>
      </c>
      <c r="O9" s="7">
        <v>59.324497222900391</v>
      </c>
      <c r="P9" s="7">
        <v>58.786857604980469</v>
      </c>
      <c r="Q9" s="7">
        <v>58.432868957519531</v>
      </c>
      <c r="R9" s="7">
        <v>57.220523834228516</v>
      </c>
      <c r="S9" s="7">
        <v>55.714382171630859</v>
      </c>
      <c r="T9" s="7">
        <v>55.136238098144531</v>
      </c>
      <c r="U9" s="7">
        <v>54.435043334960938</v>
      </c>
      <c r="V9" s="7">
        <v>54.39697265625</v>
      </c>
      <c r="W9" s="7">
        <v>54.318824768066406</v>
      </c>
      <c r="X9" s="7">
        <v>54.24169921875</v>
      </c>
      <c r="Y9" s="7">
        <v>54.249496459960938</v>
      </c>
      <c r="Z9" s="7">
        <v>53.555156707763672</v>
      </c>
      <c r="AA9" s="7">
        <v>53.492988586425781</v>
      </c>
      <c r="AB9" s="7">
        <v>53.671539306640625</v>
      </c>
      <c r="AC9" s="7">
        <v>53.886753082275391</v>
      </c>
      <c r="AD9" s="7">
        <v>53.678363800048828</v>
      </c>
      <c r="AE9" s="7">
        <v>53.328559875488281</v>
      </c>
      <c r="AG9" s="7">
        <f t="shared" si="0"/>
        <v>54.58480592207475</v>
      </c>
    </row>
    <row r="10" spans="1:33" x14ac:dyDescent="0.2">
      <c r="A10" s="5" t="s">
        <v>19</v>
      </c>
      <c r="B10" s="5" t="s">
        <v>212</v>
      </c>
      <c r="C10" s="6"/>
      <c r="D10" s="6"/>
      <c r="E10" s="6"/>
      <c r="F10" s="7">
        <v>29.529098510742188</v>
      </c>
      <c r="G10" s="7">
        <v>29.808673858642578</v>
      </c>
      <c r="H10" s="7">
        <v>29.047697067260742</v>
      </c>
      <c r="I10" s="7">
        <v>28.395841598510742</v>
      </c>
      <c r="J10" s="7">
        <v>28.279943466186523</v>
      </c>
      <c r="K10" s="7">
        <v>27.515125274658203</v>
      </c>
      <c r="L10" s="7">
        <v>26.590883255004883</v>
      </c>
      <c r="M10" s="7">
        <v>26.200000762939453</v>
      </c>
      <c r="N10" s="7">
        <v>26.125566482543945</v>
      </c>
      <c r="O10" s="7">
        <v>26.079442977905273</v>
      </c>
      <c r="P10" s="7">
        <v>26.742794036865234</v>
      </c>
      <c r="Q10" s="7">
        <v>26.976253509521484</v>
      </c>
      <c r="R10" s="7">
        <v>26.674577713012695</v>
      </c>
      <c r="S10" s="7">
        <v>26.567510604858398</v>
      </c>
      <c r="T10" s="7">
        <v>26.657625198364258</v>
      </c>
      <c r="U10" s="7">
        <v>27.625892639160156</v>
      </c>
      <c r="V10" s="7">
        <v>29.381832122802734</v>
      </c>
      <c r="W10" s="7">
        <v>29.326618194580078</v>
      </c>
      <c r="X10" s="7">
        <v>29.773483276367188</v>
      </c>
      <c r="Y10" s="7">
        <v>29.328647613525391</v>
      </c>
      <c r="Z10" s="7">
        <v>30.001028060913086</v>
      </c>
      <c r="AA10" s="7">
        <v>29.938716888427734</v>
      </c>
      <c r="AB10" s="7">
        <v>29.888584136962891</v>
      </c>
      <c r="AC10" s="7">
        <v>29.751981735229492</v>
      </c>
      <c r="AD10" s="7">
        <v>30.211301803588867</v>
      </c>
      <c r="AE10" s="7">
        <v>29.955345153808594</v>
      </c>
      <c r="AG10" s="7">
        <f t="shared" si="0"/>
        <v>28.651319677179512</v>
      </c>
    </row>
    <row r="11" spans="1:33" x14ac:dyDescent="0.2">
      <c r="A11" s="5" t="s">
        <v>18</v>
      </c>
      <c r="B11" s="5" t="s">
        <v>211</v>
      </c>
      <c r="C11" s="6"/>
      <c r="D11" s="6"/>
      <c r="E11" s="6"/>
      <c r="F11" s="7">
        <v>19.940973281860352</v>
      </c>
      <c r="G11" s="7">
        <v>20.086643218994141</v>
      </c>
      <c r="H11" s="7">
        <v>19.875602722167969</v>
      </c>
      <c r="I11" s="7">
        <v>19.157865524291992</v>
      </c>
      <c r="J11" s="7">
        <v>19.145502090454102</v>
      </c>
      <c r="K11" s="7">
        <v>18.909549713134766</v>
      </c>
      <c r="L11" s="7">
        <v>18.748292922973633</v>
      </c>
      <c r="M11" s="7">
        <v>18.399999618530273</v>
      </c>
      <c r="N11" s="7">
        <v>19.01164436340332</v>
      </c>
      <c r="O11" s="7">
        <v>19.468067169189453</v>
      </c>
      <c r="P11" s="7">
        <v>19.422317504882813</v>
      </c>
      <c r="Q11" s="7">
        <v>19.201564788818359</v>
      </c>
      <c r="R11" s="7">
        <v>19.174100875854492</v>
      </c>
      <c r="S11" s="7">
        <v>19.215986251831055</v>
      </c>
      <c r="T11" s="7">
        <v>19.528322219848633</v>
      </c>
      <c r="U11" s="7">
        <v>19.209087371826172</v>
      </c>
      <c r="V11" s="7">
        <v>20.337886810302734</v>
      </c>
      <c r="W11" s="7">
        <v>20.190607070922852</v>
      </c>
      <c r="X11" s="7">
        <v>20.581583023071289</v>
      </c>
      <c r="Y11" s="7">
        <v>20.236902236938477</v>
      </c>
      <c r="Z11" s="7">
        <v>19.305143356323242</v>
      </c>
      <c r="AA11" s="7">
        <v>18.840112686157227</v>
      </c>
      <c r="AB11" s="7">
        <v>18.974283218383789</v>
      </c>
      <c r="AC11" s="7">
        <v>19.129180908203125</v>
      </c>
      <c r="AD11" s="7">
        <v>19.348268508911133</v>
      </c>
      <c r="AE11" s="7">
        <v>19.97624397277832</v>
      </c>
      <c r="AG11" s="7">
        <f t="shared" si="0"/>
        <v>19.599455920132723</v>
      </c>
    </row>
    <row r="12" spans="1:33" x14ac:dyDescent="0.2">
      <c r="A12" s="5" t="s">
        <v>16</v>
      </c>
      <c r="B12" s="5" t="s">
        <v>209</v>
      </c>
      <c r="C12" s="6"/>
      <c r="D12" s="6"/>
      <c r="E12" s="6"/>
      <c r="F12" s="7">
        <v>36.670768737792969</v>
      </c>
      <c r="G12" s="7">
        <v>36.484996795654297</v>
      </c>
      <c r="H12" s="7">
        <v>36.079761505126953</v>
      </c>
      <c r="I12" s="7">
        <v>35.634632110595703</v>
      </c>
      <c r="J12" s="7">
        <v>35.429027557373047</v>
      </c>
      <c r="K12" s="7">
        <v>35.365760803222656</v>
      </c>
      <c r="L12" s="7">
        <v>35.496166229248047</v>
      </c>
      <c r="M12" s="7">
        <v>35.599998474121094</v>
      </c>
      <c r="N12" s="7">
        <v>35.585887908935547</v>
      </c>
      <c r="O12" s="7">
        <v>36.180835723876953</v>
      </c>
      <c r="P12" s="7">
        <v>36.863773345947266</v>
      </c>
      <c r="Q12" s="7">
        <v>37.213970184326172</v>
      </c>
      <c r="R12" s="7">
        <v>37.185455322265625</v>
      </c>
      <c r="S12" s="7">
        <v>36.700557708740234</v>
      </c>
      <c r="T12" s="7">
        <v>36.212722778320313</v>
      </c>
      <c r="U12" s="7">
        <v>35.932319641113281</v>
      </c>
      <c r="V12" s="7">
        <v>36.021945953369141</v>
      </c>
      <c r="W12" s="7">
        <v>35.54315185546875</v>
      </c>
      <c r="X12" s="7">
        <v>35.391773223876953</v>
      </c>
      <c r="Y12" s="7">
        <v>35.19781494140625</v>
      </c>
      <c r="Z12" s="7">
        <v>35.044219970703125</v>
      </c>
      <c r="AA12" s="7">
        <v>34.929950714111328</v>
      </c>
      <c r="AB12" s="7">
        <v>34.645957946777344</v>
      </c>
      <c r="AC12" s="7">
        <v>34.769283294677734</v>
      </c>
      <c r="AD12" s="7">
        <v>34.658210754394531</v>
      </c>
      <c r="AE12" s="7">
        <v>34.65399169921875</v>
      </c>
      <c r="AG12" s="7">
        <f t="shared" si="0"/>
        <v>35.709624550559305</v>
      </c>
    </row>
    <row r="13" spans="1:33" x14ac:dyDescent="0.2">
      <c r="A13" s="5" t="s">
        <v>21</v>
      </c>
      <c r="B13" s="5" t="s">
        <v>214</v>
      </c>
      <c r="C13" s="6"/>
      <c r="D13" s="6"/>
      <c r="E13" s="6"/>
      <c r="F13" s="7">
        <v>48.233043670654297</v>
      </c>
      <c r="G13" s="7">
        <v>49.061347961425781</v>
      </c>
      <c r="H13" s="7">
        <v>49.321891784667969</v>
      </c>
      <c r="I13" s="7">
        <v>48.788234710693359</v>
      </c>
      <c r="J13" s="7">
        <v>48.625354766845703</v>
      </c>
      <c r="K13" s="7">
        <v>48.434925079345703</v>
      </c>
      <c r="L13" s="7">
        <v>48.251743316650391</v>
      </c>
      <c r="M13" s="7">
        <v>48.099998474121094</v>
      </c>
      <c r="N13" s="7">
        <v>48.687191009521484</v>
      </c>
      <c r="O13" s="7">
        <v>48.55859375</v>
      </c>
      <c r="P13" s="7">
        <v>48.426464080810547</v>
      </c>
      <c r="Q13" s="7">
        <v>47.986183166503906</v>
      </c>
      <c r="R13" s="7">
        <v>47.696613311767578</v>
      </c>
      <c r="S13" s="7">
        <v>46.903240203857422</v>
      </c>
      <c r="T13" s="7">
        <v>46.326854705810547</v>
      </c>
      <c r="U13" s="7">
        <v>45.295944213867188</v>
      </c>
      <c r="V13" s="7">
        <v>45.331703186035156</v>
      </c>
      <c r="W13" s="7">
        <v>44.917881011962891</v>
      </c>
      <c r="X13" s="7">
        <v>43.838939666748047</v>
      </c>
      <c r="Y13" s="7">
        <v>43.577365875244141</v>
      </c>
      <c r="Z13" s="7">
        <v>43.492977142333984</v>
      </c>
      <c r="AA13" s="7">
        <v>43.092227935791016</v>
      </c>
      <c r="AB13" s="7">
        <v>42.861843109130859</v>
      </c>
      <c r="AC13" s="7">
        <v>43.225696563720703</v>
      </c>
      <c r="AD13" s="7">
        <v>42.924915313720703</v>
      </c>
      <c r="AE13" s="7">
        <v>42.565437316894531</v>
      </c>
      <c r="AG13" s="7">
        <f t="shared" si="0"/>
        <v>44.848690032958984</v>
      </c>
    </row>
    <row r="14" spans="1:33" x14ac:dyDescent="0.2">
      <c r="A14" s="5" t="s">
        <v>13</v>
      </c>
      <c r="B14" s="5" t="s">
        <v>206</v>
      </c>
      <c r="C14" s="6"/>
      <c r="D14" s="6"/>
      <c r="E14" s="6"/>
      <c r="F14" s="7">
        <v>23.789457321166992</v>
      </c>
      <c r="G14" s="7">
        <v>23.813159942626953</v>
      </c>
      <c r="H14" s="7">
        <v>23.68449592590332</v>
      </c>
      <c r="I14" s="7">
        <v>23.689155578613281</v>
      </c>
      <c r="J14" s="7">
        <v>23.179279327392578</v>
      </c>
      <c r="K14" s="7">
        <v>23.060878753662109</v>
      </c>
      <c r="L14" s="7">
        <v>22.810358047485352</v>
      </c>
      <c r="M14" s="7">
        <v>22.200000762939453</v>
      </c>
      <c r="N14" s="7">
        <v>22.086471557617188</v>
      </c>
      <c r="O14" s="7">
        <v>22.380914688110352</v>
      </c>
      <c r="P14" s="7">
        <v>22.58018684387207</v>
      </c>
      <c r="Q14" s="7">
        <v>22.337108612060547</v>
      </c>
      <c r="R14" s="7">
        <v>22.273468017578125</v>
      </c>
      <c r="S14" s="7">
        <v>22.030010223388672</v>
      </c>
      <c r="T14" s="7">
        <v>21.675022125244141</v>
      </c>
      <c r="U14" s="7">
        <v>22.056612014770508</v>
      </c>
      <c r="V14" s="7">
        <v>22.76603889465332</v>
      </c>
      <c r="W14" s="7">
        <v>22.547033309936523</v>
      </c>
      <c r="X14" s="7">
        <v>22.360319137573242</v>
      </c>
      <c r="Y14" s="7">
        <v>22.524049758911133</v>
      </c>
      <c r="Z14" s="7">
        <v>22.674945831298828</v>
      </c>
      <c r="AA14" s="7">
        <v>22.714468002319336</v>
      </c>
      <c r="AB14" s="7">
        <v>22.384071350097656</v>
      </c>
      <c r="AC14" s="7">
        <v>22.152486801147461</v>
      </c>
      <c r="AD14" s="7">
        <v>21.935640335083008</v>
      </c>
      <c r="AE14" s="7">
        <v>21.665607452392578</v>
      </c>
      <c r="AG14" s="7">
        <f t="shared" si="0"/>
        <v>22.364185333251953</v>
      </c>
    </row>
    <row r="15" spans="1:33" x14ac:dyDescent="0.2">
      <c r="A15" s="5" t="s">
        <v>22</v>
      </c>
      <c r="B15" s="5" t="s">
        <v>215</v>
      </c>
      <c r="C15" s="6"/>
      <c r="D15" s="6"/>
      <c r="E15" s="6"/>
      <c r="F15" s="7">
        <v>46.517475128173828</v>
      </c>
      <c r="G15" s="7">
        <v>47.5684814453125</v>
      </c>
      <c r="H15" s="7">
        <v>47.428905487060547</v>
      </c>
      <c r="I15" s="7">
        <v>46.662689208984375</v>
      </c>
      <c r="J15" s="7">
        <v>46.849998474121094</v>
      </c>
      <c r="K15" s="7">
        <v>47.173995971679688</v>
      </c>
      <c r="L15" s="7">
        <v>45.754096984863281</v>
      </c>
      <c r="M15" s="7">
        <v>43.799999237060547</v>
      </c>
      <c r="N15" s="7">
        <v>43.3458251953125</v>
      </c>
      <c r="O15" s="7">
        <v>44.036449432373047</v>
      </c>
      <c r="P15" s="7">
        <v>43.422599792480469</v>
      </c>
      <c r="Q15" s="7">
        <v>42.874752044677734</v>
      </c>
      <c r="R15" s="7">
        <v>43.208251953125</v>
      </c>
      <c r="S15" s="7">
        <v>42.572223663330078</v>
      </c>
      <c r="T15" s="7">
        <v>43.397438049316406</v>
      </c>
      <c r="U15" s="7">
        <v>43.494880676269531</v>
      </c>
      <c r="V15" s="7">
        <v>44.692707061767578</v>
      </c>
      <c r="W15" s="7">
        <v>44.481971740722656</v>
      </c>
      <c r="X15" s="7">
        <v>44.459968566894531</v>
      </c>
      <c r="Y15" s="7">
        <v>44.558788299560547</v>
      </c>
      <c r="Z15" s="7">
        <v>44.321529388427734</v>
      </c>
      <c r="AA15" s="7">
        <v>44.219833374023438</v>
      </c>
      <c r="AB15" s="7">
        <v>44.061756134033203</v>
      </c>
      <c r="AC15" s="7">
        <v>45.157318115234375</v>
      </c>
      <c r="AD15" s="7">
        <v>45.040367126464844</v>
      </c>
      <c r="AE15" s="7">
        <v>44.618080139160156</v>
      </c>
      <c r="AG15" s="7">
        <f t="shared" si="0"/>
        <v>43.951758991588243</v>
      </c>
    </row>
    <row r="16" spans="1:33" x14ac:dyDescent="0.2">
      <c r="A16" s="5" t="s">
        <v>14</v>
      </c>
      <c r="B16" s="5" t="s">
        <v>207</v>
      </c>
      <c r="C16" s="6"/>
      <c r="D16" s="6"/>
      <c r="E16" s="6"/>
      <c r="F16" s="7">
        <v>54.331394195556641</v>
      </c>
      <c r="G16" s="7">
        <v>52.126358032226563</v>
      </c>
      <c r="H16" s="7">
        <v>52.831188201904297</v>
      </c>
      <c r="I16" s="7">
        <v>51.765270233154297</v>
      </c>
      <c r="J16" s="7">
        <v>51.343662261962891</v>
      </c>
      <c r="K16" s="7">
        <v>51.223880767822266</v>
      </c>
      <c r="L16" s="7">
        <v>50.866897583007813</v>
      </c>
      <c r="M16" s="7">
        <v>50.200000762939453</v>
      </c>
      <c r="N16" s="7">
        <v>49.779575347900391</v>
      </c>
      <c r="O16" s="7">
        <v>49.520904541015625</v>
      </c>
      <c r="P16" s="7">
        <v>50.268169403076172</v>
      </c>
      <c r="Q16" s="7">
        <v>51.018352508544922</v>
      </c>
      <c r="R16" s="7">
        <v>52.0284423828125</v>
      </c>
      <c r="S16" s="7">
        <v>51.715129852294922</v>
      </c>
      <c r="T16" s="7">
        <v>51.005847930908203</v>
      </c>
      <c r="U16" s="7">
        <v>50.947654724121094</v>
      </c>
      <c r="V16" s="7">
        <v>52.040351867675781</v>
      </c>
      <c r="W16" s="7">
        <v>51.773330688476563</v>
      </c>
      <c r="X16" s="7">
        <v>51.476146697998047</v>
      </c>
      <c r="Y16" s="7">
        <v>51.216865539550781</v>
      </c>
      <c r="Z16" s="7">
        <v>50.396568298339844</v>
      </c>
      <c r="AA16" s="7">
        <v>49.445796966552734</v>
      </c>
      <c r="AB16" s="7">
        <v>50.340568542480469</v>
      </c>
      <c r="AC16" s="7">
        <v>49.765403747558594</v>
      </c>
      <c r="AD16" s="7">
        <v>48.675910949707031</v>
      </c>
      <c r="AE16" s="7">
        <v>47.467250823974609</v>
      </c>
      <c r="AG16" s="7">
        <f t="shared" si="0"/>
        <v>51.126063953746446</v>
      </c>
    </row>
    <row r="17" spans="1:33" x14ac:dyDescent="0.2">
      <c r="A17" s="5" t="s">
        <v>28</v>
      </c>
      <c r="B17" s="5" t="s">
        <v>221</v>
      </c>
      <c r="C17" s="6"/>
      <c r="D17" s="6"/>
      <c r="E17" s="6"/>
      <c r="F17" s="7">
        <v>29.402215957641602</v>
      </c>
      <c r="G17" s="7">
        <v>28.883831024169922</v>
      </c>
      <c r="H17" s="7">
        <v>29.571083068847656</v>
      </c>
      <c r="I17" s="7">
        <v>29.820093154907227</v>
      </c>
      <c r="J17" s="7">
        <v>29.777332305908203</v>
      </c>
      <c r="K17" s="7">
        <v>29.215089797973633</v>
      </c>
      <c r="L17" s="7">
        <v>28.726066589355469</v>
      </c>
      <c r="M17" s="7">
        <v>29.399999618530273</v>
      </c>
      <c r="N17" s="7">
        <v>29.301925659179688</v>
      </c>
      <c r="O17" s="7">
        <v>28.996831893920898</v>
      </c>
      <c r="P17" s="7">
        <v>29.074056625366211</v>
      </c>
      <c r="Q17" s="7">
        <v>29.694334030151367</v>
      </c>
      <c r="R17" s="7">
        <v>29.738864898681641</v>
      </c>
      <c r="S17" s="7">
        <v>29.564233779907227</v>
      </c>
      <c r="T17" s="7">
        <v>28.882707595825195</v>
      </c>
      <c r="U17" s="7">
        <v>28.798896789550781</v>
      </c>
      <c r="V17" s="7">
        <v>29.075515747070313</v>
      </c>
      <c r="W17" s="7">
        <v>28.223840713500977</v>
      </c>
      <c r="X17" s="7">
        <v>27.955837249755859</v>
      </c>
      <c r="Y17" s="7">
        <v>27.458427429199219</v>
      </c>
      <c r="Z17" s="7">
        <v>27.350276947021484</v>
      </c>
      <c r="AA17" s="7">
        <v>27.203279495239258</v>
      </c>
      <c r="AB17" s="7">
        <v>27.041908264160156</v>
      </c>
      <c r="AC17" s="7">
        <v>26.508583068847656</v>
      </c>
      <c r="AD17" s="7">
        <v>26.227256774902344</v>
      </c>
      <c r="AE17" s="7">
        <v>26.586643218994141</v>
      </c>
      <c r="AG17" s="7">
        <f t="shared" si="0"/>
        <v>28.299435355446555</v>
      </c>
    </row>
    <row r="18" spans="1:33" x14ac:dyDescent="0.2">
      <c r="A18" s="5" t="s">
        <v>24</v>
      </c>
      <c r="B18" s="5" t="s">
        <v>217</v>
      </c>
      <c r="C18" s="6"/>
      <c r="D18" s="6"/>
      <c r="E18" s="6"/>
      <c r="F18" s="7">
        <v>67.62847900390625</v>
      </c>
      <c r="G18" s="7">
        <v>67.597541809082031</v>
      </c>
      <c r="H18" s="7">
        <v>67.357719421386719</v>
      </c>
      <c r="I18" s="7">
        <v>66.539009094238281</v>
      </c>
      <c r="J18" s="7">
        <v>66.122146606445313</v>
      </c>
      <c r="K18" s="7">
        <v>65.554084777832031</v>
      </c>
      <c r="L18" s="7">
        <v>66.794235229492188</v>
      </c>
      <c r="M18" s="7">
        <v>67.099998474121094</v>
      </c>
      <c r="N18" s="7">
        <v>68.174629211425781</v>
      </c>
      <c r="O18" s="7">
        <v>68.228462219238281</v>
      </c>
      <c r="P18" s="7">
        <v>68.568466186523438</v>
      </c>
      <c r="Q18" s="7">
        <v>68.190521240234375</v>
      </c>
      <c r="R18" s="7">
        <v>68.46221923828125</v>
      </c>
      <c r="S18" s="7">
        <v>67.029991149902344</v>
      </c>
      <c r="T18" s="7">
        <v>66.160575866699219</v>
      </c>
      <c r="U18" s="7">
        <v>64.140251159667969</v>
      </c>
      <c r="V18" s="7">
        <v>65.132675170898438</v>
      </c>
      <c r="W18" s="7">
        <v>63.967029571533203</v>
      </c>
      <c r="X18" s="7">
        <v>63.146530151367188</v>
      </c>
      <c r="Y18" s="7">
        <v>62.250804901123047</v>
      </c>
      <c r="Z18" s="7">
        <v>61.840763092041016</v>
      </c>
      <c r="AA18" s="7">
        <v>62.378871917724609</v>
      </c>
      <c r="AB18" s="7">
        <v>64.478179931640625</v>
      </c>
      <c r="AC18" s="7">
        <v>64.083572387695313</v>
      </c>
      <c r="AD18" s="7">
        <v>63.047313690185547</v>
      </c>
      <c r="AE18" s="7">
        <v>62.769359588623047</v>
      </c>
      <c r="AG18" s="7">
        <f t="shared" si="0"/>
        <v>64.453444740988985</v>
      </c>
    </row>
    <row r="19" spans="1:33" x14ac:dyDescent="0.2">
      <c r="A19" s="5" t="s">
        <v>20</v>
      </c>
      <c r="B19" s="5" t="s">
        <v>213</v>
      </c>
      <c r="C19" s="6"/>
      <c r="D19" s="6"/>
      <c r="E19" s="6"/>
      <c r="F19" s="7">
        <v>33.451629638671875</v>
      </c>
      <c r="G19" s="7">
        <v>36.004776000976563</v>
      </c>
      <c r="H19" s="7">
        <v>36.366584777832031</v>
      </c>
      <c r="I19" s="7">
        <v>35.521228790283203</v>
      </c>
      <c r="J19" s="7">
        <v>34.289798736572266</v>
      </c>
      <c r="K19" s="7">
        <v>34.719326019287109</v>
      </c>
      <c r="L19" s="7">
        <v>35.088897705078125</v>
      </c>
      <c r="M19" s="7">
        <v>34.099998474121094</v>
      </c>
      <c r="N19" s="7">
        <v>33.668098449707031</v>
      </c>
      <c r="O19" s="7">
        <v>35.128250122070313</v>
      </c>
      <c r="P19" s="7">
        <v>34.898269653320313</v>
      </c>
      <c r="Q19" s="7">
        <v>34.123298645019531</v>
      </c>
      <c r="R19" s="7">
        <v>33.615802764892578</v>
      </c>
      <c r="S19" s="7">
        <v>33.62664794921875</v>
      </c>
      <c r="T19" s="7">
        <v>33.505928039550781</v>
      </c>
      <c r="U19" s="7">
        <v>32.882659912109375</v>
      </c>
      <c r="V19" s="7">
        <v>33.551460266113281</v>
      </c>
      <c r="W19" s="7">
        <v>33.695980072021484</v>
      </c>
      <c r="X19" s="7">
        <v>33.646381378173828</v>
      </c>
      <c r="Y19" s="7">
        <v>33.499637603759766</v>
      </c>
      <c r="Z19" s="7">
        <v>33.083362579345703</v>
      </c>
      <c r="AA19" s="7">
        <v>33.043983459472656</v>
      </c>
      <c r="AB19" s="7">
        <v>32.674335479736328</v>
      </c>
      <c r="AC19" s="7">
        <v>31.801973342895508</v>
      </c>
      <c r="AD19" s="7">
        <v>31.069732666015625</v>
      </c>
      <c r="AE19" s="7">
        <v>30.699090957641602</v>
      </c>
      <c r="AG19" s="7">
        <f t="shared" si="0"/>
        <v>33.3478345003995</v>
      </c>
    </row>
    <row r="20" spans="1:33" x14ac:dyDescent="0.2">
      <c r="A20" s="5" t="s">
        <v>29</v>
      </c>
      <c r="B20" s="5" t="s">
        <v>222</v>
      </c>
      <c r="C20" s="6"/>
      <c r="D20" s="6"/>
      <c r="E20" s="6"/>
      <c r="F20" s="7">
        <v>34.803180694580078</v>
      </c>
      <c r="G20" s="7">
        <v>34.611660003662109</v>
      </c>
      <c r="H20" s="7">
        <v>34.643642425537109</v>
      </c>
      <c r="I20" s="7">
        <v>33.892982482910156</v>
      </c>
      <c r="J20" s="7">
        <v>33.865337371826172</v>
      </c>
      <c r="K20" s="7">
        <v>34.178112030029297</v>
      </c>
      <c r="L20" s="7">
        <v>33.669704437255859</v>
      </c>
      <c r="M20" s="7">
        <v>33.400001525878906</v>
      </c>
      <c r="N20" s="7">
        <v>33.343490600585938</v>
      </c>
      <c r="O20" s="7">
        <v>32.617763519287109</v>
      </c>
      <c r="P20" s="7">
        <v>32.573348999023438</v>
      </c>
      <c r="Q20" s="7">
        <v>32.508956909179688</v>
      </c>
      <c r="R20" s="7">
        <v>32.070167541503906</v>
      </c>
      <c r="S20" s="7">
        <v>31.315639495849609</v>
      </c>
      <c r="T20" s="7">
        <v>30.958087921142578</v>
      </c>
      <c r="U20" s="7">
        <v>31.484615325927734</v>
      </c>
      <c r="V20" s="7">
        <v>31.952648162841797</v>
      </c>
      <c r="W20" s="7">
        <v>31.439714431762695</v>
      </c>
      <c r="X20" s="7">
        <v>30.994655609130859</v>
      </c>
      <c r="Y20" s="7">
        <v>30.839265823364258</v>
      </c>
      <c r="Z20" s="7">
        <v>30.266412734985352</v>
      </c>
      <c r="AA20" s="7">
        <v>30.42912483215332</v>
      </c>
      <c r="AB20" s="7">
        <v>30.399785995483398</v>
      </c>
      <c r="AC20" s="7">
        <v>29.893619537353516</v>
      </c>
      <c r="AD20" s="7">
        <v>30.046268463134766</v>
      </c>
      <c r="AE20" s="7">
        <v>30.124382019042969</v>
      </c>
      <c r="AG20" s="7">
        <f t="shared" si="0"/>
        <v>31.104556170376863</v>
      </c>
    </row>
    <row r="21" spans="1:33" x14ac:dyDescent="0.2">
      <c r="A21" s="5" t="s">
        <v>25</v>
      </c>
      <c r="B21" s="5" t="s">
        <v>218</v>
      </c>
      <c r="C21" s="6"/>
      <c r="D21" s="6"/>
      <c r="E21" s="6"/>
      <c r="F21" s="7">
        <v>40.217464447021484</v>
      </c>
      <c r="G21" s="7">
        <v>40.146457672119141</v>
      </c>
      <c r="H21" s="7">
        <v>41.775020599365234</v>
      </c>
      <c r="I21" s="7">
        <v>40.953594207763672</v>
      </c>
      <c r="J21" s="7">
        <v>40.669288635253906</v>
      </c>
      <c r="K21" s="7">
        <v>41.579975128173828</v>
      </c>
      <c r="L21" s="7">
        <v>41.285415649414063</v>
      </c>
      <c r="M21" s="7">
        <v>39.799999237060547</v>
      </c>
      <c r="N21" s="7">
        <v>40.424415588378906</v>
      </c>
      <c r="O21" s="7">
        <v>41.002220153808594</v>
      </c>
      <c r="P21" s="7">
        <v>39.722621917724609</v>
      </c>
      <c r="Q21" s="7">
        <v>39.073135375976563</v>
      </c>
      <c r="R21" s="7">
        <v>39.538654327392578</v>
      </c>
      <c r="S21" s="7">
        <v>39.672092437744141</v>
      </c>
      <c r="T21" s="7">
        <v>38.875312805175781</v>
      </c>
      <c r="U21" s="7">
        <v>38.023048400878906</v>
      </c>
      <c r="V21" s="7">
        <v>39.091640472412109</v>
      </c>
      <c r="W21" s="7">
        <v>37.629615783691406</v>
      </c>
      <c r="X21" s="7">
        <v>36.931423187255859</v>
      </c>
      <c r="Y21" s="7">
        <v>36.621109008789063</v>
      </c>
      <c r="Z21" s="7">
        <v>36.718540191650391</v>
      </c>
      <c r="AA21" s="7">
        <v>37.130962371826172</v>
      </c>
      <c r="AB21" s="7">
        <v>38.709266662597656</v>
      </c>
      <c r="AC21" s="7">
        <v>40.155719757080078</v>
      </c>
      <c r="AD21" s="7">
        <v>40.069507598876953</v>
      </c>
      <c r="AE21" s="7">
        <v>39.982784271240234</v>
      </c>
      <c r="AG21" s="7">
        <f t="shared" si="0"/>
        <v>38.085605968128554</v>
      </c>
    </row>
    <row r="22" spans="1:33" x14ac:dyDescent="0.2">
      <c r="A22" s="5" t="s">
        <v>27</v>
      </c>
      <c r="B22" s="5" t="s">
        <v>220</v>
      </c>
      <c r="C22" s="6"/>
      <c r="D22" s="6"/>
      <c r="E22" s="6"/>
      <c r="F22" s="7">
        <v>30.431640625</v>
      </c>
      <c r="G22" s="7">
        <v>30.53889274597168</v>
      </c>
      <c r="H22" s="7">
        <v>30.185932159423828</v>
      </c>
      <c r="I22" s="7">
        <v>29.978492736816406</v>
      </c>
      <c r="J22" s="7">
        <v>30.585338592529297</v>
      </c>
      <c r="K22" s="7">
        <v>31.753917694091797</v>
      </c>
      <c r="L22" s="7">
        <v>31.708431243896484</v>
      </c>
      <c r="M22" s="7">
        <v>31.100000381469727</v>
      </c>
      <c r="N22" s="7">
        <v>31.378654479980469</v>
      </c>
      <c r="O22" s="7">
        <v>30.729063034057617</v>
      </c>
      <c r="P22" s="7">
        <v>30.295003890991211</v>
      </c>
      <c r="Q22" s="7">
        <v>30.58808708190918</v>
      </c>
      <c r="R22" s="7">
        <v>30.015670776367188</v>
      </c>
      <c r="S22" s="7">
        <v>29.085315704345703</v>
      </c>
      <c r="T22" s="7">
        <v>29.853578567504883</v>
      </c>
      <c r="U22" s="7">
        <v>29.815729141235352</v>
      </c>
      <c r="V22" s="7">
        <v>31.220888137817383</v>
      </c>
      <c r="W22" s="7">
        <v>30.922063827514648</v>
      </c>
      <c r="X22" s="7">
        <v>30.006052017211914</v>
      </c>
      <c r="Y22" s="7">
        <v>30.134832382202148</v>
      </c>
      <c r="Z22" s="7">
        <v>31.022716522216797</v>
      </c>
      <c r="AA22" s="7">
        <v>31.678426742553711</v>
      </c>
      <c r="AB22" s="7">
        <v>32.795761108398438</v>
      </c>
      <c r="AC22" s="7">
        <v>33.818710327148438</v>
      </c>
      <c r="AD22" s="7">
        <v>33.936405181884766</v>
      </c>
      <c r="AE22" s="7">
        <v>33.568313598632813</v>
      </c>
      <c r="AG22" s="7">
        <f t="shared" si="0"/>
        <v>30.595548629760742</v>
      </c>
    </row>
    <row r="23" spans="1:33" x14ac:dyDescent="0.2">
      <c r="A23" s="5" t="s">
        <v>17</v>
      </c>
      <c r="B23" s="5" t="s">
        <v>210</v>
      </c>
      <c r="C23" s="6"/>
      <c r="D23" s="6"/>
      <c r="E23" s="6"/>
      <c r="F23" s="7">
        <v>37.006935119628906</v>
      </c>
      <c r="G23" s="7">
        <v>36.405750274658203</v>
      </c>
      <c r="H23" s="7">
        <v>35.651958465576172</v>
      </c>
      <c r="I23" s="7">
        <v>35.266345977783203</v>
      </c>
      <c r="J23" s="7">
        <v>34.938682556152344</v>
      </c>
      <c r="K23" s="7">
        <v>36.508056640625</v>
      </c>
      <c r="L23" s="7">
        <v>37.026935577392578</v>
      </c>
      <c r="M23" s="7">
        <v>36.900001525878906</v>
      </c>
      <c r="N23" s="7">
        <v>36.642448425292969</v>
      </c>
      <c r="O23" s="7">
        <v>36.067527770996094</v>
      </c>
      <c r="P23" s="7">
        <v>36.101345062255859</v>
      </c>
      <c r="Q23" s="7">
        <v>35.507205963134766</v>
      </c>
      <c r="R23" s="7">
        <v>34.740612030029297</v>
      </c>
      <c r="S23" s="7">
        <v>34.741714477539063</v>
      </c>
      <c r="T23" s="7">
        <v>33.821376800537109</v>
      </c>
      <c r="U23" s="7">
        <v>33.637771606445313</v>
      </c>
      <c r="V23" s="7">
        <v>33.405864715576172</v>
      </c>
      <c r="W23" s="7">
        <v>33.539966583251953</v>
      </c>
      <c r="X23" s="7">
        <v>33.300876617431641</v>
      </c>
      <c r="Y23" s="7">
        <v>33.260654449462891</v>
      </c>
      <c r="Z23" s="7">
        <v>33.572265625</v>
      </c>
      <c r="AA23" s="7">
        <v>33.429447174072266</v>
      </c>
      <c r="AB23" s="7">
        <v>32.690078735351563</v>
      </c>
      <c r="AC23" s="7">
        <v>32.089542388916016</v>
      </c>
      <c r="AD23" s="7">
        <v>31.818986892700195</v>
      </c>
      <c r="AE23" s="7">
        <v>31.753782272338867</v>
      </c>
      <c r="AG23" s="7">
        <f t="shared" si="0"/>
        <v>33.64914807406339</v>
      </c>
    </row>
    <row r="24" spans="1:33" x14ac:dyDescent="0.2">
      <c r="A24" s="5" t="s">
        <v>15</v>
      </c>
      <c r="B24" s="5" t="s">
        <v>208</v>
      </c>
      <c r="C24" s="6"/>
      <c r="D24" s="6"/>
      <c r="E24" s="6"/>
      <c r="F24" s="7">
        <v>44.383132934570313</v>
      </c>
      <c r="G24" s="7">
        <v>45.151462554931641</v>
      </c>
      <c r="H24" s="7">
        <v>42.662868499755859</v>
      </c>
      <c r="I24" s="7">
        <v>42.839672088623047</v>
      </c>
      <c r="J24" s="7">
        <v>42.231880187988281</v>
      </c>
      <c r="K24" s="7">
        <v>41.605667114257813</v>
      </c>
      <c r="L24" s="7">
        <v>40.488563537597656</v>
      </c>
      <c r="M24" s="7">
        <v>41.400001525878899</v>
      </c>
      <c r="N24" s="7">
        <v>40.902835845947266</v>
      </c>
      <c r="O24" s="7">
        <v>41.476146697998047</v>
      </c>
      <c r="P24" s="7">
        <v>40.536891937255859</v>
      </c>
      <c r="Q24" s="7">
        <v>40.497035980224609</v>
      </c>
      <c r="R24" s="7">
        <v>40.137527465820313</v>
      </c>
      <c r="S24" s="7">
        <v>40.365200042724609</v>
      </c>
      <c r="T24" s="7">
        <v>41.312545776367188</v>
      </c>
      <c r="U24" s="7">
        <v>39.946617126464844</v>
      </c>
      <c r="V24" s="7">
        <v>40.307666778564453</v>
      </c>
      <c r="W24" s="7">
        <v>39.935665130615234</v>
      </c>
      <c r="X24" s="7">
        <v>39.623973846435547</v>
      </c>
      <c r="Y24" s="7">
        <v>39.524848937988281</v>
      </c>
      <c r="Z24" s="7">
        <v>39.497940063476563</v>
      </c>
      <c r="AA24" s="7">
        <v>39.235431671142578</v>
      </c>
      <c r="AB24" s="7">
        <v>39.321399688720703</v>
      </c>
      <c r="AC24" s="7">
        <v>39.034542083740234</v>
      </c>
      <c r="AD24" s="7">
        <v>38.727634429931641</v>
      </c>
      <c r="AE24" s="7">
        <v>38.239151000976563</v>
      </c>
      <c r="AG24" s="7">
        <f t="shared" si="0"/>
        <v>39.928074229847304</v>
      </c>
    </row>
    <row r="25" spans="1:33" x14ac:dyDescent="0.2">
      <c r="A25" s="5" t="s">
        <v>12</v>
      </c>
      <c r="B25" s="5" t="s">
        <v>205</v>
      </c>
      <c r="C25" s="6"/>
      <c r="D25" s="6"/>
      <c r="E25" s="6"/>
      <c r="F25" s="7">
        <v>33.917076110839844</v>
      </c>
      <c r="G25" s="7">
        <v>34.821617126464844</v>
      </c>
      <c r="H25" s="7">
        <v>37.023666381835938</v>
      </c>
      <c r="I25" s="7">
        <v>39.354461669921875</v>
      </c>
      <c r="J25" s="7">
        <v>39.423049926757813</v>
      </c>
      <c r="K25" s="7">
        <v>38.671768188476563</v>
      </c>
      <c r="L25" s="7">
        <v>39.071067810058594</v>
      </c>
      <c r="M25" s="7">
        <v>39.5</v>
      </c>
      <c r="N25" s="7">
        <v>40.479228973388672</v>
      </c>
      <c r="O25" s="7">
        <v>40.110210418701172</v>
      </c>
      <c r="P25" s="7">
        <v>41.227649688720703</v>
      </c>
      <c r="Q25" s="7">
        <v>41.048957824707031</v>
      </c>
      <c r="R25" s="7">
        <v>39.461669921875</v>
      </c>
      <c r="S25" s="7">
        <v>38.961898803710938</v>
      </c>
      <c r="T25" s="7">
        <v>39.487819671630859</v>
      </c>
      <c r="U25" s="7">
        <v>39.388893127441406</v>
      </c>
      <c r="V25" s="7">
        <v>38.934112548828125</v>
      </c>
      <c r="W25" s="7">
        <v>39.132606506347656</v>
      </c>
      <c r="X25" s="7">
        <v>39.110469818115234</v>
      </c>
      <c r="Y25" s="7">
        <v>39.164100646972656</v>
      </c>
      <c r="Z25" s="7">
        <v>39.032768249511719</v>
      </c>
      <c r="AA25" s="7">
        <v>38.786716461181641</v>
      </c>
      <c r="AB25" s="7">
        <v>39.370147705078125</v>
      </c>
      <c r="AC25" s="7">
        <v>40.140518188476563</v>
      </c>
      <c r="AD25" s="7">
        <v>40.244449615478516</v>
      </c>
      <c r="AE25" s="7">
        <v>40.413516998291016</v>
      </c>
      <c r="AG25" s="7">
        <f t="shared" si="0"/>
        <v>39.166473041881211</v>
      </c>
    </row>
    <row r="26" spans="1:33" x14ac:dyDescent="0.2">
      <c r="A26" s="5" t="s">
        <v>41</v>
      </c>
      <c r="B26" s="5" t="s">
        <v>234</v>
      </c>
      <c r="C26" s="6"/>
      <c r="D26" s="6"/>
      <c r="E26" s="6"/>
      <c r="F26" s="7">
        <v>40.022228240966797</v>
      </c>
      <c r="G26" s="7">
        <v>38.906600952148438</v>
      </c>
      <c r="H26" s="7">
        <v>39.222850799560547</v>
      </c>
      <c r="I26" s="7">
        <v>37.895858764648438</v>
      </c>
      <c r="J26" s="7">
        <v>38.315212249755859</v>
      </c>
      <c r="K26" s="7">
        <v>36.814907073974609</v>
      </c>
      <c r="L26" s="7">
        <v>36.401397705078125</v>
      </c>
      <c r="M26" s="7">
        <v>36.099998474121094</v>
      </c>
      <c r="N26" s="7">
        <v>35.807956695556641</v>
      </c>
      <c r="O26" s="7">
        <v>36.449680328369141</v>
      </c>
      <c r="P26" s="7">
        <v>36.825557708740234</v>
      </c>
      <c r="Q26" s="7">
        <v>37.055709838867188</v>
      </c>
      <c r="R26" s="7">
        <v>37.193363189697266</v>
      </c>
      <c r="S26" s="7">
        <v>35.489025115966797</v>
      </c>
      <c r="T26" s="7">
        <v>34.772102355957031</v>
      </c>
      <c r="U26" s="7">
        <v>34.651309967041016</v>
      </c>
      <c r="V26" s="7">
        <v>35.402099609375</v>
      </c>
      <c r="W26" s="7">
        <v>35.471267700195313</v>
      </c>
      <c r="X26" s="7">
        <v>35.020259857177734</v>
      </c>
      <c r="Y26" s="7">
        <v>34.354885101318359</v>
      </c>
      <c r="Z26" s="7">
        <v>34.36981201171875</v>
      </c>
      <c r="AA26" s="7">
        <v>35.168983459472656</v>
      </c>
      <c r="AB26" s="7">
        <v>35.509746551513672</v>
      </c>
      <c r="AC26" s="7">
        <v>34.924938201904297</v>
      </c>
      <c r="AD26" s="7">
        <v>35.248298645019531</v>
      </c>
      <c r="AE26" s="7">
        <v>34.613147735595703</v>
      </c>
      <c r="AG26" s="7">
        <f t="shared" si="0"/>
        <v>35.218441356312148</v>
      </c>
    </row>
    <row r="27" spans="1:33" x14ac:dyDescent="0.2">
      <c r="A27" s="5" t="s">
        <v>93</v>
      </c>
      <c r="B27" s="5" t="s">
        <v>286</v>
      </c>
      <c r="C27" s="6"/>
      <c r="D27" s="6"/>
      <c r="E27" s="6"/>
      <c r="F27" s="7">
        <v>48.378963470458984</v>
      </c>
      <c r="G27" s="7">
        <v>52.402107238769531</v>
      </c>
      <c r="H27" s="7">
        <v>50.160556793212891</v>
      </c>
      <c r="I27" s="7">
        <v>50.534347534179688</v>
      </c>
      <c r="J27" s="7">
        <v>50.618106842041016</v>
      </c>
      <c r="K27" s="7">
        <v>50.388740539550781</v>
      </c>
      <c r="L27" s="7">
        <v>50.161338806152344</v>
      </c>
      <c r="M27" s="7">
        <v>50.099998474121094</v>
      </c>
      <c r="N27" s="7">
        <v>49.665531158447266</v>
      </c>
      <c r="O27" s="7">
        <v>51.887199401855469</v>
      </c>
      <c r="P27" s="7">
        <v>51.661544799804688</v>
      </c>
      <c r="Q27" s="7">
        <v>50.300235748291016</v>
      </c>
      <c r="R27" s="7">
        <v>49.477798461914063</v>
      </c>
      <c r="S27" s="7">
        <v>48.389308929443359</v>
      </c>
      <c r="T27" s="7">
        <v>48.212314605712891</v>
      </c>
      <c r="U27" s="7">
        <v>47.975479125976563</v>
      </c>
      <c r="V27" s="7">
        <v>48.36236572265625</v>
      </c>
      <c r="W27" s="7">
        <v>48.466415405273438</v>
      </c>
      <c r="X27" s="7">
        <v>47.664127349853516</v>
      </c>
      <c r="Y27" s="7">
        <v>47.004268646240234</v>
      </c>
      <c r="Z27" s="7">
        <v>46.794094085693359</v>
      </c>
      <c r="AA27" s="7">
        <v>45.91656494140625</v>
      </c>
      <c r="AB27" s="7">
        <v>45.414249420166016</v>
      </c>
      <c r="AC27" s="7">
        <v>45.028274536132813</v>
      </c>
      <c r="AD27" s="7">
        <v>44.498054504394531</v>
      </c>
      <c r="AE27" s="7">
        <v>43.678634643554688</v>
      </c>
      <c r="AG27" s="7">
        <f t="shared" si="0"/>
        <v>47.606998790394179</v>
      </c>
    </row>
    <row r="28" spans="1:33" x14ac:dyDescent="0.2">
      <c r="A28" s="5" t="s">
        <v>36</v>
      </c>
      <c r="B28" s="5" t="s">
        <v>229</v>
      </c>
      <c r="C28" s="6"/>
      <c r="D28" s="6"/>
      <c r="E28" s="6"/>
      <c r="F28" s="7">
        <v>33.917526245117188</v>
      </c>
      <c r="G28" s="7">
        <v>33.617038726806641</v>
      </c>
      <c r="H28" s="7">
        <v>33.042335510253906</v>
      </c>
      <c r="I28" s="7">
        <v>34.206745147705078</v>
      </c>
      <c r="J28" s="7">
        <v>33.591529846191406</v>
      </c>
      <c r="K28" s="7">
        <v>33.075202941894531</v>
      </c>
      <c r="L28" s="7">
        <v>33.071506500244141</v>
      </c>
      <c r="M28" s="7">
        <v>32.799999237060547</v>
      </c>
      <c r="N28" s="7">
        <v>33.469825744628906</v>
      </c>
      <c r="O28" s="7">
        <v>33.169269561767578</v>
      </c>
      <c r="P28" s="7">
        <v>32.528678894042969</v>
      </c>
      <c r="Q28" s="7">
        <v>32.11785888671875</v>
      </c>
      <c r="R28" s="7">
        <v>32.412136077880859</v>
      </c>
      <c r="S28" s="7">
        <v>31.97998046875</v>
      </c>
      <c r="T28" s="7">
        <v>31.571002960205078</v>
      </c>
      <c r="U28" s="7">
        <v>31.905033111572266</v>
      </c>
      <c r="V28" s="7">
        <v>32.389270782470703</v>
      </c>
      <c r="W28" s="7">
        <v>32.246955871582031</v>
      </c>
      <c r="X28" s="7">
        <v>32.558223724365234</v>
      </c>
      <c r="Y28" s="7">
        <v>32.464687347412109</v>
      </c>
      <c r="Z28" s="7">
        <v>32.309207916259766</v>
      </c>
      <c r="AA28" s="7">
        <v>31.625101089477539</v>
      </c>
      <c r="AB28" s="7">
        <v>31.358932495117188</v>
      </c>
      <c r="AC28" s="7">
        <v>31.007297515869141</v>
      </c>
      <c r="AD28" s="7">
        <v>30.403495788574219</v>
      </c>
      <c r="AE28" s="7">
        <v>30.182653427124023</v>
      </c>
      <c r="AG28" s="7">
        <f t="shared" si="0"/>
        <v>32.074593804099344</v>
      </c>
    </row>
    <row r="29" spans="1:33" x14ac:dyDescent="0.2">
      <c r="A29" s="5" t="s">
        <v>31</v>
      </c>
      <c r="B29" s="5" t="s">
        <v>224</v>
      </c>
      <c r="C29" s="6"/>
      <c r="D29" s="6"/>
      <c r="E29" s="6"/>
      <c r="F29" s="7">
        <v>18.102666854858398</v>
      </c>
      <c r="G29" s="7">
        <v>17.656156539916992</v>
      </c>
      <c r="H29" s="7">
        <v>17.312841415405273</v>
      </c>
      <c r="I29" s="7">
        <v>17.180191040039063</v>
      </c>
      <c r="J29" s="7">
        <v>16.733913421630859</v>
      </c>
      <c r="K29" s="7">
        <v>16.483722686767578</v>
      </c>
      <c r="L29" s="7">
        <v>16.229915618896484</v>
      </c>
      <c r="M29" s="7">
        <v>16</v>
      </c>
      <c r="N29" s="7">
        <v>16.110250473022461</v>
      </c>
      <c r="O29" s="7">
        <v>16.133052825927734</v>
      </c>
      <c r="P29" s="7">
        <v>15.970447540283203</v>
      </c>
      <c r="Q29" s="7">
        <v>15.811032295227051</v>
      </c>
      <c r="R29" s="7">
        <v>15.591128349304199</v>
      </c>
      <c r="S29" s="7">
        <v>15.46384334564209</v>
      </c>
      <c r="T29" s="7">
        <v>15.362961769104004</v>
      </c>
      <c r="U29" s="7">
        <v>15.436032295227051</v>
      </c>
      <c r="V29" s="7">
        <v>16.303483963012695</v>
      </c>
      <c r="W29" s="7">
        <v>16.055892944335938</v>
      </c>
      <c r="X29" s="7">
        <v>15.85569953918457</v>
      </c>
      <c r="Y29" s="7">
        <v>15.807816505432129</v>
      </c>
      <c r="Z29" s="7">
        <v>15.646928787231445</v>
      </c>
      <c r="AA29" s="7">
        <v>15.494148254394531</v>
      </c>
      <c r="AB29" s="7">
        <v>15.620766639709473</v>
      </c>
      <c r="AC29" s="7">
        <v>15.636107444763184</v>
      </c>
      <c r="AD29" s="7">
        <v>15.35033130645752</v>
      </c>
      <c r="AE29" s="7">
        <v>15.482667922973633</v>
      </c>
      <c r="AG29" s="7">
        <f t="shared" si="0"/>
        <v>15.694427490234375</v>
      </c>
    </row>
    <row r="30" spans="1:33" x14ac:dyDescent="0.2">
      <c r="A30" s="5" t="s">
        <v>30</v>
      </c>
      <c r="B30" s="5" t="s">
        <v>223</v>
      </c>
      <c r="C30" s="6"/>
      <c r="D30" s="6"/>
      <c r="E30" s="6"/>
      <c r="F30" s="7">
        <v>42.779945373535156</v>
      </c>
      <c r="G30" s="7">
        <v>42.580825805664063</v>
      </c>
      <c r="H30" s="7">
        <v>41.737678527832031</v>
      </c>
      <c r="I30" s="7">
        <v>42.412509918212891</v>
      </c>
      <c r="J30" s="7">
        <v>41.428153991699219</v>
      </c>
      <c r="K30" s="7">
        <v>40.969261169433594</v>
      </c>
      <c r="L30" s="7">
        <v>41.893226623535156</v>
      </c>
      <c r="M30" s="7">
        <v>42.599998474121094</v>
      </c>
      <c r="N30" s="7">
        <v>42.061874389648438</v>
      </c>
      <c r="O30" s="7">
        <v>42.000240325927734</v>
      </c>
      <c r="P30" s="7">
        <v>42.356761932373047</v>
      </c>
      <c r="Q30" s="7">
        <v>41.835075378417969</v>
      </c>
      <c r="R30" s="7">
        <v>42.010154724121094</v>
      </c>
      <c r="S30" s="7">
        <v>41.131046295166016</v>
      </c>
      <c r="T30" s="7">
        <v>40.663143157958984</v>
      </c>
      <c r="U30" s="7">
        <v>40.504116058349609</v>
      </c>
      <c r="V30" s="7">
        <v>39.592273712158203</v>
      </c>
      <c r="W30" s="7">
        <v>39.045139312744141</v>
      </c>
      <c r="X30" s="7">
        <v>38.037437438964844</v>
      </c>
      <c r="Y30" s="7">
        <v>37.843521118164063</v>
      </c>
      <c r="Z30" s="7">
        <v>45.118503570556641</v>
      </c>
      <c r="AA30" s="7">
        <v>45.114551544189453</v>
      </c>
      <c r="AB30" s="7">
        <v>44.501255035400391</v>
      </c>
      <c r="AC30" s="7">
        <v>43.951908111572266</v>
      </c>
      <c r="AD30" s="7">
        <v>43.515396118164063</v>
      </c>
      <c r="AE30" s="7">
        <v>43.040752410888672</v>
      </c>
      <c r="AG30" s="7">
        <f t="shared" si="0"/>
        <v>41.232831087979406</v>
      </c>
    </row>
    <row r="31" spans="1:33" x14ac:dyDescent="0.2">
      <c r="A31" s="5" t="s">
        <v>167</v>
      </c>
      <c r="B31" s="5" t="s">
        <v>361</v>
      </c>
      <c r="C31" s="6"/>
      <c r="D31" s="6"/>
      <c r="E31" s="6"/>
      <c r="F31" s="7">
        <v>46.914344787597656</v>
      </c>
      <c r="G31" s="7">
        <v>45.599861145019531</v>
      </c>
      <c r="H31" s="7">
        <v>46.176300048828125</v>
      </c>
      <c r="I31" s="7">
        <v>45.720493316650391</v>
      </c>
      <c r="J31" s="7">
        <v>46.319908142089844</v>
      </c>
      <c r="K31" s="7">
        <v>45.542682647705078</v>
      </c>
      <c r="L31" s="7">
        <v>46.382080078125</v>
      </c>
      <c r="M31" s="7">
        <v>46.200000762939453</v>
      </c>
      <c r="N31" s="7">
        <v>45.140979766845703</v>
      </c>
      <c r="O31" s="7">
        <v>48.066471099853516</v>
      </c>
      <c r="P31" s="7">
        <v>46.602409362792969</v>
      </c>
      <c r="Q31" s="7">
        <v>43.214931488037109</v>
      </c>
      <c r="R31" s="7">
        <v>43.330959320068359</v>
      </c>
      <c r="S31" s="7">
        <v>44.134544372558594</v>
      </c>
      <c r="T31" s="7">
        <v>44.973972320556641</v>
      </c>
      <c r="U31" s="7">
        <v>45.003505706787109</v>
      </c>
      <c r="V31" s="7">
        <v>45.111438751220703</v>
      </c>
      <c r="W31" s="7">
        <v>43.513809204101563</v>
      </c>
      <c r="X31" s="7">
        <v>44.840484619140625</v>
      </c>
      <c r="Y31" s="7">
        <v>43.984039306640625</v>
      </c>
      <c r="Z31" s="7">
        <v>44.320968627929688</v>
      </c>
      <c r="AA31" s="7">
        <v>42.552352905273438</v>
      </c>
      <c r="AB31" s="7">
        <v>42.359947204589844</v>
      </c>
      <c r="AC31" s="7">
        <v>44.044975280761719</v>
      </c>
      <c r="AD31" s="7">
        <v>44.459911346435547</v>
      </c>
      <c r="AE31" s="7">
        <v>43.871463775634766</v>
      </c>
      <c r="AG31" s="7">
        <f t="shared" si="0"/>
        <v>44.011456576260656</v>
      </c>
    </row>
    <row r="32" spans="1:33" x14ac:dyDescent="0.2">
      <c r="A32" s="5" t="s">
        <v>33</v>
      </c>
      <c r="B32" s="5" t="s">
        <v>226</v>
      </c>
      <c r="C32" s="6"/>
      <c r="D32" s="6"/>
      <c r="E32" s="6"/>
      <c r="F32" s="7">
        <v>19.858854293823242</v>
      </c>
      <c r="G32" s="7">
        <v>19.726314544677734</v>
      </c>
      <c r="H32" s="7">
        <v>19.434711456298828</v>
      </c>
      <c r="I32" s="7">
        <v>19.173913955688477</v>
      </c>
      <c r="J32" s="7">
        <v>19.132648468017578</v>
      </c>
      <c r="K32" s="7">
        <v>19.242702484130859</v>
      </c>
      <c r="L32" s="7">
        <v>19.909389495849609</v>
      </c>
      <c r="M32" s="7">
        <v>19.799999237060547</v>
      </c>
      <c r="N32" s="7">
        <v>19.75433349609375</v>
      </c>
      <c r="O32" s="7">
        <v>19.722112655639648</v>
      </c>
      <c r="P32" s="7">
        <v>19.413774490356445</v>
      </c>
      <c r="Q32" s="7">
        <v>19.175495147705078</v>
      </c>
      <c r="R32" s="7">
        <v>18.829994201660156</v>
      </c>
      <c r="S32" s="7">
        <v>18.712549209594727</v>
      </c>
      <c r="T32" s="7">
        <v>18.358034133911133</v>
      </c>
      <c r="U32" s="7">
        <v>18.661529541015625</v>
      </c>
      <c r="V32" s="7">
        <v>19.181606292724609</v>
      </c>
      <c r="W32" s="7">
        <v>18.760532379150391</v>
      </c>
      <c r="X32" s="7">
        <v>18.468145370483398</v>
      </c>
      <c r="Y32" s="7">
        <v>18.23066520690918</v>
      </c>
      <c r="Z32" s="7">
        <v>18.165090560913086</v>
      </c>
      <c r="AA32" s="7">
        <v>18.383901596069336</v>
      </c>
      <c r="AB32" s="7">
        <v>18.46617317199707</v>
      </c>
      <c r="AC32" s="7">
        <v>18.738636016845703</v>
      </c>
      <c r="AD32" s="7">
        <v>18.993856430053711</v>
      </c>
      <c r="AE32" s="7">
        <v>18.71794319152832</v>
      </c>
      <c r="AG32" s="7">
        <f t="shared" si="0"/>
        <v>18.56529287858443</v>
      </c>
    </row>
    <row r="33" spans="1:33" x14ac:dyDescent="0.2">
      <c r="A33" s="5" t="s">
        <v>34</v>
      </c>
      <c r="B33" s="5" t="s">
        <v>227</v>
      </c>
      <c r="C33" s="6"/>
      <c r="D33" s="6"/>
      <c r="E33" s="6"/>
      <c r="F33" s="7">
        <v>12.723530769348145</v>
      </c>
      <c r="G33" s="7">
        <v>12.65155029296875</v>
      </c>
      <c r="H33" s="7">
        <v>12.545943260192871</v>
      </c>
      <c r="I33" s="7">
        <v>12.657475471496582</v>
      </c>
      <c r="J33" s="7">
        <v>12.693989753723145</v>
      </c>
      <c r="K33" s="7">
        <v>12.882013320922852</v>
      </c>
      <c r="L33" s="7">
        <v>13.114932060241699</v>
      </c>
      <c r="M33" s="7">
        <v>13.100000381469727</v>
      </c>
      <c r="N33" s="7">
        <v>12.968157768249512</v>
      </c>
      <c r="O33" s="7">
        <v>12.811205863952637</v>
      </c>
      <c r="P33" s="7">
        <v>12.583806037902832</v>
      </c>
      <c r="Q33" s="7">
        <v>12.394118309020996</v>
      </c>
      <c r="R33" s="7">
        <v>12.321646690368652</v>
      </c>
      <c r="S33" s="7">
        <v>12.156787872314453</v>
      </c>
      <c r="T33" s="7">
        <v>11.896355628967285</v>
      </c>
      <c r="U33" s="7">
        <v>11.976263046264648</v>
      </c>
      <c r="V33" s="7">
        <v>11.935626029968262</v>
      </c>
      <c r="W33" s="7">
        <v>11.730114936828613</v>
      </c>
      <c r="X33" s="7">
        <v>11.750119209289551</v>
      </c>
      <c r="Y33" s="7">
        <v>11.81053638458252</v>
      </c>
      <c r="Z33" s="7">
        <v>11.795101165771484</v>
      </c>
      <c r="AA33" s="7">
        <v>11.607217788696289</v>
      </c>
      <c r="AB33" s="7">
        <v>11.427549362182617</v>
      </c>
      <c r="AC33" s="7">
        <v>11.404531478881836</v>
      </c>
      <c r="AD33" s="7">
        <v>11.298336029052734</v>
      </c>
      <c r="AE33" s="7">
        <v>11.173120498657227</v>
      </c>
      <c r="AG33" s="7">
        <f t="shared" si="0"/>
        <v>11.85521073774858</v>
      </c>
    </row>
    <row r="34" spans="1:33" x14ac:dyDescent="0.2">
      <c r="A34" s="5" t="s">
        <v>39</v>
      </c>
      <c r="B34" s="5" t="s">
        <v>232</v>
      </c>
      <c r="C34" s="6"/>
      <c r="D34" s="6"/>
      <c r="E34" s="6"/>
      <c r="F34" s="7">
        <v>36.594375610351563</v>
      </c>
      <c r="G34" s="7">
        <v>36.433612823486328</v>
      </c>
      <c r="H34" s="7">
        <v>36.434249877929688</v>
      </c>
      <c r="I34" s="7">
        <v>37.862518310546875</v>
      </c>
      <c r="J34" s="7">
        <v>37.846729278564453</v>
      </c>
      <c r="K34" s="7">
        <v>38.03997802734375</v>
      </c>
      <c r="L34" s="7">
        <v>39.136260986328125</v>
      </c>
      <c r="M34" s="7">
        <v>39.099998474121094</v>
      </c>
      <c r="N34" s="7">
        <v>39.003250122070313</v>
      </c>
      <c r="O34" s="7">
        <v>38.927173614501953</v>
      </c>
      <c r="P34" s="7">
        <v>38.059982299804688</v>
      </c>
      <c r="Q34" s="7">
        <v>37.931182861328125</v>
      </c>
      <c r="R34" s="7">
        <v>37.442970275878906</v>
      </c>
      <c r="S34" s="7">
        <v>37.026031494140625</v>
      </c>
      <c r="T34" s="7">
        <v>36.373222351074219</v>
      </c>
      <c r="U34" s="7">
        <v>35.970951080322266</v>
      </c>
      <c r="V34" s="7">
        <v>36.603256225585938</v>
      </c>
      <c r="W34" s="7">
        <v>36.126243591308594</v>
      </c>
      <c r="X34" s="7">
        <v>35.259723663330078</v>
      </c>
      <c r="Y34" s="7">
        <v>35.037372589111328</v>
      </c>
      <c r="Z34" s="7">
        <v>34.790019989013672</v>
      </c>
      <c r="AA34" s="7">
        <v>34.851833343505859</v>
      </c>
      <c r="AB34" s="7">
        <v>34.677753448486328</v>
      </c>
      <c r="AC34" s="7">
        <v>34.489650726318359</v>
      </c>
      <c r="AD34" s="7">
        <v>34.791431427001953</v>
      </c>
      <c r="AE34" s="7">
        <v>34.89202880859375</v>
      </c>
      <c r="AG34" s="7">
        <f t="shared" si="0"/>
        <v>35.832670731977984</v>
      </c>
    </row>
    <row r="35" spans="1:33" x14ac:dyDescent="0.2">
      <c r="A35" s="5" t="s">
        <v>40</v>
      </c>
      <c r="B35" s="5" t="s">
        <v>233</v>
      </c>
      <c r="C35" s="6"/>
      <c r="D35" s="6"/>
      <c r="E35" s="6"/>
      <c r="F35" s="7">
        <v>39.651592254638672</v>
      </c>
      <c r="G35" s="7">
        <v>42.734615325927734</v>
      </c>
      <c r="H35" s="7">
        <v>42.342327117919922</v>
      </c>
      <c r="I35" s="7">
        <v>43.084846496582031</v>
      </c>
      <c r="J35" s="7">
        <v>42.501186370849609</v>
      </c>
      <c r="K35" s="7">
        <v>42.58258056640625</v>
      </c>
      <c r="L35" s="7">
        <v>42.438163757324219</v>
      </c>
      <c r="M35" s="7">
        <v>39.599998474121094</v>
      </c>
      <c r="N35" s="7">
        <v>40.094272613525391</v>
      </c>
      <c r="O35" s="7">
        <v>39.851932525634766</v>
      </c>
      <c r="P35" s="7">
        <v>40.111087799072266</v>
      </c>
      <c r="Q35" s="7">
        <v>40.456577301025391</v>
      </c>
      <c r="R35" s="7">
        <v>39.569091796875</v>
      </c>
      <c r="S35" s="7">
        <v>39.621696472167969</v>
      </c>
      <c r="T35" s="7">
        <v>40.375896453857422</v>
      </c>
      <c r="U35" s="7">
        <v>39.972076416015625</v>
      </c>
      <c r="V35" s="7">
        <v>39.594078063964844</v>
      </c>
      <c r="W35" s="7">
        <v>38.872161865234375</v>
      </c>
      <c r="X35" s="7">
        <v>38.412311553955078</v>
      </c>
      <c r="Y35" s="7">
        <v>37.871479034423828</v>
      </c>
      <c r="Z35" s="7">
        <v>37.225517272949219</v>
      </c>
      <c r="AA35" s="7">
        <v>37.485183715820313</v>
      </c>
      <c r="AB35" s="7">
        <v>38.336452484130859</v>
      </c>
      <c r="AC35" s="7">
        <v>37.531730651855469</v>
      </c>
      <c r="AD35" s="7">
        <v>36.913692474365234</v>
      </c>
      <c r="AE35" s="7">
        <v>36.471908569335938</v>
      </c>
      <c r="AG35" s="7">
        <f t="shared" si="0"/>
        <v>38.848722284490414</v>
      </c>
    </row>
    <row r="36" spans="1:33" x14ac:dyDescent="0.2">
      <c r="A36" s="5" t="s">
        <v>37</v>
      </c>
      <c r="B36" s="5" t="s">
        <v>230</v>
      </c>
      <c r="C36" s="6"/>
      <c r="D36" s="6"/>
      <c r="E36" s="6"/>
      <c r="F36" s="7">
        <v>45.522563934326172</v>
      </c>
      <c r="G36" s="7">
        <v>44.163993835449219</v>
      </c>
      <c r="H36" s="7">
        <v>44.647975921630859</v>
      </c>
      <c r="I36" s="7">
        <v>45.389816284179688</v>
      </c>
      <c r="J36" s="7">
        <v>46.913055419921875</v>
      </c>
      <c r="K36" s="7">
        <v>47.652961730957031</v>
      </c>
      <c r="L36" s="7">
        <v>47.886302947998047</v>
      </c>
      <c r="M36" s="7">
        <v>48</v>
      </c>
      <c r="N36" s="7">
        <v>48.566104888916016</v>
      </c>
      <c r="O36" s="7">
        <v>48.781349182128906</v>
      </c>
      <c r="P36" s="7">
        <v>48.016654968261719</v>
      </c>
      <c r="Q36" s="7">
        <v>47.810291290283203</v>
      </c>
      <c r="R36" s="7">
        <v>47.981166839599609</v>
      </c>
      <c r="S36" s="7">
        <v>48.400833129882813</v>
      </c>
      <c r="T36" s="7">
        <v>48.275550842285156</v>
      </c>
      <c r="U36" s="7">
        <v>47.519981384277344</v>
      </c>
      <c r="V36" s="7">
        <v>48.469150543212891</v>
      </c>
      <c r="W36" s="7">
        <v>47.893978118896484</v>
      </c>
      <c r="X36" s="7">
        <v>47.649307250976563</v>
      </c>
      <c r="Y36" s="7">
        <v>47.66748046875</v>
      </c>
      <c r="Z36" s="7">
        <v>46.644519805908203</v>
      </c>
      <c r="AA36" s="7">
        <v>45.470355987548828</v>
      </c>
      <c r="AB36" s="7">
        <v>45.675956726074219</v>
      </c>
      <c r="AC36" s="7">
        <v>44.557651519775391</v>
      </c>
      <c r="AD36" s="7">
        <v>43.569099426269531</v>
      </c>
      <c r="AE36" s="7">
        <v>43.040267944335938</v>
      </c>
      <c r="AG36" s="7">
        <f t="shared" si="0"/>
        <v>47.422571008855648</v>
      </c>
    </row>
    <row r="37" spans="1:33" x14ac:dyDescent="0.2">
      <c r="A37" s="5" t="s">
        <v>38</v>
      </c>
      <c r="B37" s="5" t="s">
        <v>231</v>
      </c>
      <c r="C37" s="6"/>
      <c r="D37" s="6"/>
      <c r="E37" s="6"/>
      <c r="F37" s="7">
        <v>48.483058929443359</v>
      </c>
      <c r="G37" s="7">
        <v>49.70892333984375</v>
      </c>
      <c r="H37" s="7">
        <v>48.838909149169922</v>
      </c>
      <c r="I37" s="7">
        <v>47.829887390136719</v>
      </c>
      <c r="J37" s="7">
        <v>49.692867279052734</v>
      </c>
      <c r="K37" s="7">
        <v>48.755359649658203</v>
      </c>
      <c r="L37" s="7">
        <v>50.222080230712891</v>
      </c>
      <c r="M37" s="7">
        <v>48.200000762939453</v>
      </c>
      <c r="N37" s="7">
        <v>48.400497436523438</v>
      </c>
      <c r="O37" s="7">
        <v>48.639751434326172</v>
      </c>
      <c r="P37" s="7">
        <v>48.742733001708984</v>
      </c>
      <c r="Q37" s="7">
        <v>47.573581695556641</v>
      </c>
      <c r="R37" s="7">
        <v>46.995765686035156</v>
      </c>
      <c r="S37" s="7">
        <v>46.192462921142578</v>
      </c>
      <c r="T37" s="7">
        <v>47.992321014404297</v>
      </c>
      <c r="U37" s="7">
        <v>46.633258819580078</v>
      </c>
      <c r="V37" s="7">
        <v>45.836483001708984</v>
      </c>
      <c r="W37" s="7">
        <v>44.22711181640625</v>
      </c>
      <c r="X37" s="7">
        <v>44.385845184326172</v>
      </c>
      <c r="Y37" s="7">
        <v>44.190315246582031</v>
      </c>
      <c r="Z37" s="7">
        <v>43.902614593505859</v>
      </c>
      <c r="AA37" s="7">
        <v>42.800064086914063</v>
      </c>
      <c r="AB37" s="7">
        <v>42.095005035400391</v>
      </c>
      <c r="AC37" s="7">
        <v>43.868919372558594</v>
      </c>
      <c r="AD37" s="7">
        <v>45.291812896728516</v>
      </c>
      <c r="AE37" s="7">
        <v>44.942356109619141</v>
      </c>
      <c r="AG37" s="7">
        <f t="shared" si="0"/>
        <v>45.022840673273258</v>
      </c>
    </row>
    <row r="38" spans="1:33" x14ac:dyDescent="0.2">
      <c r="A38" s="5" t="s">
        <v>42</v>
      </c>
      <c r="B38" s="5" t="s">
        <v>235</v>
      </c>
      <c r="C38" s="6"/>
      <c r="D38" s="6"/>
      <c r="E38" s="6"/>
      <c r="F38" s="7">
        <v>26.264196395874023</v>
      </c>
      <c r="G38" s="7">
        <v>26.337263107299805</v>
      </c>
      <c r="H38" s="7">
        <v>26.338756561279297</v>
      </c>
      <c r="I38" s="7">
        <v>26.270488739013672</v>
      </c>
      <c r="J38" s="7">
        <v>26.111490249633789</v>
      </c>
      <c r="K38" s="7">
        <v>26.081968307495117</v>
      </c>
      <c r="L38" s="7">
        <v>26.24005126953125</v>
      </c>
      <c r="M38" s="7">
        <v>26.200000762939453</v>
      </c>
      <c r="N38" s="7">
        <v>26.308998107910156</v>
      </c>
      <c r="O38" s="7">
        <v>26.326194763183594</v>
      </c>
      <c r="P38" s="7">
        <v>26.354162216186523</v>
      </c>
      <c r="Q38" s="7">
        <v>26.170986175537109</v>
      </c>
      <c r="R38" s="7">
        <v>26.079862594604492</v>
      </c>
      <c r="S38" s="7">
        <v>25.851591110229492</v>
      </c>
      <c r="T38" s="7">
        <v>25.117090225219727</v>
      </c>
      <c r="U38" s="7">
        <v>25.040973663330078</v>
      </c>
      <c r="V38" s="7">
        <v>25.842372894287109</v>
      </c>
      <c r="W38" s="7">
        <v>25.856748580932617</v>
      </c>
      <c r="X38" s="7">
        <v>25.794166564941406</v>
      </c>
      <c r="Y38" s="7">
        <v>25.372509002685547</v>
      </c>
      <c r="Z38" s="7">
        <v>25.521049499511719</v>
      </c>
      <c r="AA38" s="7">
        <v>25.48936653137207</v>
      </c>
      <c r="AB38" s="7">
        <v>25.526529312133789</v>
      </c>
      <c r="AC38" s="7">
        <v>25.285446166992188</v>
      </c>
      <c r="AD38" s="7">
        <v>25.274168014526367</v>
      </c>
      <c r="AE38" s="7">
        <v>25.104625701904297</v>
      </c>
      <c r="AG38" s="7">
        <f t="shared" si="0"/>
        <v>25.590205452658914</v>
      </c>
    </row>
    <row r="39" spans="1:33" x14ac:dyDescent="0.2">
      <c r="A39" s="5" t="s">
        <v>35</v>
      </c>
      <c r="B39" s="5" t="s">
        <v>228</v>
      </c>
      <c r="C39" s="6"/>
      <c r="D39" s="6"/>
      <c r="E39" s="6"/>
      <c r="F39" s="7">
        <v>46.471092224121094</v>
      </c>
      <c r="G39" s="7">
        <v>45.401473999023438</v>
      </c>
      <c r="H39" s="7">
        <v>43.755821228027344</v>
      </c>
      <c r="I39" s="7">
        <v>42.370765686035156</v>
      </c>
      <c r="J39" s="7">
        <v>42.040340423583984</v>
      </c>
      <c r="K39" s="7">
        <v>41.340591430664063</v>
      </c>
      <c r="L39" s="7">
        <v>42.029094696044922</v>
      </c>
      <c r="M39" s="7">
        <v>43.200000762939453</v>
      </c>
      <c r="N39" s="7">
        <v>43.040863037109375</v>
      </c>
      <c r="O39" s="7">
        <v>43.400993347167969</v>
      </c>
      <c r="P39" s="7">
        <v>44.413055419921875</v>
      </c>
      <c r="Q39" s="7">
        <v>44.760505676269531</v>
      </c>
      <c r="R39" s="7">
        <v>44.723968505859375</v>
      </c>
      <c r="S39" s="7">
        <v>44.436878204345703</v>
      </c>
      <c r="T39" s="7">
        <v>44.444160461425781</v>
      </c>
      <c r="U39" s="7">
        <v>44.239486694335938</v>
      </c>
      <c r="V39" s="7">
        <v>44.011989593505859</v>
      </c>
      <c r="W39" s="7">
        <v>44.05145263671875</v>
      </c>
      <c r="X39" s="7">
        <v>44.474349975585938</v>
      </c>
      <c r="Y39" s="7">
        <v>43.8394775390625</v>
      </c>
      <c r="Z39" s="7">
        <v>42.905735015869141</v>
      </c>
      <c r="AA39" s="7">
        <v>41.968952178955078</v>
      </c>
      <c r="AB39" s="7">
        <v>40.559627532958984</v>
      </c>
      <c r="AC39" s="7">
        <v>39.709907531738281</v>
      </c>
      <c r="AD39" s="7">
        <v>39.829460144042969</v>
      </c>
      <c r="AE39" s="7">
        <v>38.693267822265625</v>
      </c>
      <c r="AG39" s="7">
        <f t="shared" si="0"/>
        <v>43.605098030783914</v>
      </c>
    </row>
    <row r="40" spans="1:33" x14ac:dyDescent="0.2">
      <c r="A40" s="5" t="s">
        <v>76</v>
      </c>
      <c r="B40" s="5" t="s">
        <v>269</v>
      </c>
      <c r="C40" s="6"/>
      <c r="D40" s="6"/>
      <c r="E40" s="6"/>
      <c r="F40" s="7">
        <v>34.008968353271484</v>
      </c>
      <c r="G40" s="7">
        <v>35.07415771484375</v>
      </c>
      <c r="H40" s="7">
        <v>34.598648071289063</v>
      </c>
      <c r="I40" s="7">
        <v>33.990276336669922</v>
      </c>
      <c r="J40" s="7">
        <v>33.500507354736328</v>
      </c>
      <c r="K40" s="7">
        <v>33.761085510253906</v>
      </c>
      <c r="L40" s="7">
        <v>34.036556243896484</v>
      </c>
      <c r="M40" s="7">
        <v>33.400001525878906</v>
      </c>
      <c r="N40" s="7">
        <v>32.839523315429688</v>
      </c>
      <c r="O40" s="7">
        <v>32.151901245117188</v>
      </c>
      <c r="P40" s="7">
        <v>31.620376586914063</v>
      </c>
      <c r="Q40" s="7">
        <v>31.322086334228516</v>
      </c>
      <c r="R40" s="7">
        <v>30.959907531738281</v>
      </c>
      <c r="S40" s="7">
        <v>30.432350158691406</v>
      </c>
      <c r="T40" s="7">
        <v>30.256351470947266</v>
      </c>
      <c r="U40" s="7">
        <v>29.857551574707031</v>
      </c>
      <c r="V40" s="7">
        <v>30.813222885131836</v>
      </c>
      <c r="W40" s="7">
        <v>31.060892105102539</v>
      </c>
      <c r="X40" s="7">
        <v>31.274930953979492</v>
      </c>
      <c r="Y40" s="7">
        <v>31.398078918457031</v>
      </c>
      <c r="Z40" s="7">
        <v>31.473241806030273</v>
      </c>
      <c r="AA40" s="7">
        <v>31.51905632019043</v>
      </c>
      <c r="AB40" s="7">
        <v>31.399324417114258</v>
      </c>
      <c r="AC40" s="7">
        <v>30.808849334716797</v>
      </c>
      <c r="AD40" s="7">
        <v>30.298728942871094</v>
      </c>
      <c r="AE40" s="7">
        <v>29.959253311157227</v>
      </c>
      <c r="AG40" s="7">
        <f t="shared" si="0"/>
        <v>30.949537103826348</v>
      </c>
    </row>
    <row r="41" spans="1:33" x14ac:dyDescent="0.2">
      <c r="A41" s="5" t="s">
        <v>45</v>
      </c>
      <c r="B41" s="5" t="s">
        <v>238</v>
      </c>
      <c r="C41" s="6"/>
      <c r="D41" s="6"/>
      <c r="E41" s="6"/>
      <c r="F41" s="7">
        <v>29.925251007080078</v>
      </c>
      <c r="G41" s="7">
        <v>29.405906677246094</v>
      </c>
      <c r="H41" s="7">
        <v>28.912700653076172</v>
      </c>
      <c r="I41" s="7">
        <v>29.187202453613281</v>
      </c>
      <c r="J41" s="7">
        <v>29.400217056274414</v>
      </c>
      <c r="K41" s="7">
        <v>29.420042037963867</v>
      </c>
      <c r="L41" s="7">
        <v>29.249834060668945</v>
      </c>
      <c r="M41" s="7">
        <v>28.700000762939453</v>
      </c>
      <c r="N41" s="7">
        <v>28.530899047851563</v>
      </c>
      <c r="O41" s="7">
        <v>28.353168487548828</v>
      </c>
      <c r="P41" s="7">
        <v>28.735990524291992</v>
      </c>
      <c r="Q41" s="7">
        <v>28.200340270996094</v>
      </c>
      <c r="R41" s="7">
        <v>27.929111480712891</v>
      </c>
      <c r="S41" s="7">
        <v>27.620906829833984</v>
      </c>
      <c r="T41" s="7">
        <v>27.084468841552734</v>
      </c>
      <c r="U41" s="7">
        <v>27.014383316040039</v>
      </c>
      <c r="V41" s="7">
        <v>28.028446197509766</v>
      </c>
      <c r="W41" s="7">
        <v>27.964260101318359</v>
      </c>
      <c r="X41" s="7">
        <v>28.330377578735352</v>
      </c>
      <c r="Y41" s="7">
        <v>29.03887939453125</v>
      </c>
      <c r="Z41" s="7">
        <v>29.691532135009766</v>
      </c>
      <c r="AA41" s="7">
        <v>29.57159423828125</v>
      </c>
      <c r="AB41" s="7">
        <v>29.236110687255859</v>
      </c>
      <c r="AC41" s="7">
        <v>28.473308563232422</v>
      </c>
      <c r="AD41" s="7">
        <v>28.061126708984375</v>
      </c>
      <c r="AE41" s="7">
        <v>27.66779899597168</v>
      </c>
      <c r="AG41" s="7">
        <f t="shared" si="0"/>
        <v>28.319097345525567</v>
      </c>
    </row>
    <row r="42" spans="1:33" x14ac:dyDescent="0.2">
      <c r="A42" s="5" t="s">
        <v>46</v>
      </c>
      <c r="B42" s="5" t="s">
        <v>239</v>
      </c>
      <c r="C42" s="6"/>
      <c r="D42" s="6"/>
      <c r="E42" s="6"/>
      <c r="F42" s="7">
        <v>19.465166091918945</v>
      </c>
      <c r="G42" s="7">
        <v>19.509099960327148</v>
      </c>
      <c r="H42" s="7">
        <v>18.96284294128418</v>
      </c>
      <c r="I42" s="7">
        <v>18.784791946411133</v>
      </c>
      <c r="J42" s="7">
        <v>19.109617233276367</v>
      </c>
      <c r="K42" s="7">
        <v>18.886951446533203</v>
      </c>
      <c r="L42" s="7">
        <v>19.348659515380859</v>
      </c>
      <c r="M42" s="7">
        <v>19.100000381469727</v>
      </c>
      <c r="N42" s="7">
        <v>18.819648742675781</v>
      </c>
      <c r="O42" s="7">
        <v>19.101079940795898</v>
      </c>
      <c r="P42" s="7">
        <v>19.435064315795898</v>
      </c>
      <c r="Q42" s="7">
        <v>18.905858993530273</v>
      </c>
      <c r="R42" s="7">
        <v>18.524423599243164</v>
      </c>
      <c r="S42" s="7">
        <v>17.963111877441406</v>
      </c>
      <c r="T42" s="7">
        <v>17.501945495605469</v>
      </c>
      <c r="U42" s="7">
        <v>17.2677001953125</v>
      </c>
      <c r="V42" s="7">
        <v>18.313564300537109</v>
      </c>
      <c r="W42" s="7">
        <v>18.216129302978516</v>
      </c>
      <c r="X42" s="7">
        <v>17.855274200439453</v>
      </c>
      <c r="Y42" s="7">
        <v>17.790550231933594</v>
      </c>
      <c r="Z42" s="7">
        <v>17.960655212402344</v>
      </c>
      <c r="AA42" s="7">
        <v>17.541824340820313</v>
      </c>
      <c r="AB42" s="7">
        <v>17.191692352294922</v>
      </c>
      <c r="AC42" s="7">
        <v>17.040628433227539</v>
      </c>
      <c r="AD42" s="7">
        <v>16.787355422973633</v>
      </c>
      <c r="AE42" s="7">
        <v>16.963102340698242</v>
      </c>
      <c r="AG42" s="7">
        <f t="shared" si="0"/>
        <v>17.829715555364434</v>
      </c>
    </row>
    <row r="43" spans="1:33" x14ac:dyDescent="0.2">
      <c r="A43" s="5" t="s">
        <v>50</v>
      </c>
      <c r="B43" s="5" t="s">
        <v>243</v>
      </c>
      <c r="C43" s="6"/>
      <c r="D43" s="6"/>
      <c r="E43" s="6"/>
      <c r="F43" s="7">
        <v>20.181524276733398</v>
      </c>
      <c r="G43" s="7">
        <v>19.429403305053711</v>
      </c>
      <c r="H43" s="7">
        <v>19.100395202636719</v>
      </c>
      <c r="I43" s="7">
        <v>19.097553253173828</v>
      </c>
      <c r="J43" s="7">
        <v>18.617122650146484</v>
      </c>
      <c r="K43" s="7">
        <v>18.51617431640625</v>
      </c>
      <c r="L43" s="7">
        <v>18.407310485839844</v>
      </c>
      <c r="M43" s="7">
        <v>18</v>
      </c>
      <c r="N43" s="7">
        <v>18.02403450012207</v>
      </c>
      <c r="O43" s="7">
        <v>18.147438049316406</v>
      </c>
      <c r="P43" s="7">
        <v>18.199893951416016</v>
      </c>
      <c r="Q43" s="7">
        <v>17.906335830688477</v>
      </c>
      <c r="R43" s="7">
        <v>17.711637496948242</v>
      </c>
      <c r="S43" s="7">
        <v>17.228511810302734</v>
      </c>
      <c r="T43" s="7">
        <v>17.136665344238281</v>
      </c>
      <c r="U43" s="7">
        <v>17.453182220458984</v>
      </c>
      <c r="V43" s="7">
        <v>18.806707382202148</v>
      </c>
      <c r="W43" s="7">
        <v>18.757184982299805</v>
      </c>
      <c r="X43" s="7">
        <v>18.48902702331543</v>
      </c>
      <c r="Y43" s="7">
        <v>18.543981552124023</v>
      </c>
      <c r="Z43" s="7">
        <v>18.344232559204102</v>
      </c>
      <c r="AA43" s="7">
        <v>18.284954071044922</v>
      </c>
      <c r="AB43" s="7">
        <v>17.91254997253418</v>
      </c>
      <c r="AC43" s="7">
        <v>17.551750183105469</v>
      </c>
      <c r="AD43" s="7">
        <v>17.396463394165039</v>
      </c>
      <c r="AE43" s="7">
        <v>17.07257080078125</v>
      </c>
      <c r="AG43" s="7">
        <f t="shared" si="0"/>
        <v>18.060784946788441</v>
      </c>
    </row>
    <row r="44" spans="1:33" x14ac:dyDescent="0.2">
      <c r="A44" s="5" t="s">
        <v>51</v>
      </c>
      <c r="B44" s="5" t="s">
        <v>244</v>
      </c>
      <c r="C44" s="6"/>
      <c r="D44" s="6"/>
      <c r="E44" s="6"/>
      <c r="F44" s="7">
        <v>32.575740814208984</v>
      </c>
      <c r="G44" s="7">
        <v>32.433761596679688</v>
      </c>
      <c r="H44" s="7">
        <v>32.279067993164063</v>
      </c>
      <c r="I44" s="7">
        <v>31.915130615234375</v>
      </c>
      <c r="J44" s="7">
        <v>32.275428771972656</v>
      </c>
      <c r="K44" s="7">
        <v>32.334060668945313</v>
      </c>
      <c r="L44" s="7">
        <v>32.145462036132813</v>
      </c>
      <c r="M44" s="7">
        <v>32.099998474121094</v>
      </c>
      <c r="N44" s="7">
        <v>32.374073028564453</v>
      </c>
      <c r="O44" s="7">
        <v>32.446388244628906</v>
      </c>
      <c r="P44" s="7">
        <v>32.506282806396484</v>
      </c>
      <c r="Q44" s="7">
        <v>32.536426544189453</v>
      </c>
      <c r="R44" s="7">
        <v>32.175506591796875</v>
      </c>
      <c r="S44" s="7">
        <v>32.011493682861328</v>
      </c>
      <c r="T44" s="7">
        <v>31.95442008972168</v>
      </c>
      <c r="U44" s="7">
        <v>31.902297973632813</v>
      </c>
      <c r="V44" s="7">
        <v>32.077751159667969</v>
      </c>
      <c r="W44" s="7">
        <v>31.538721084594727</v>
      </c>
      <c r="X44" s="7">
        <v>31.377250671386719</v>
      </c>
      <c r="Y44" s="7">
        <v>31.313247680664063</v>
      </c>
      <c r="Z44" s="7">
        <v>31.220521926879883</v>
      </c>
      <c r="AA44" s="7">
        <v>31.050693511962891</v>
      </c>
      <c r="AB44" s="7">
        <v>30.351997375488281</v>
      </c>
      <c r="AC44" s="7">
        <v>29.94434928894043</v>
      </c>
      <c r="AD44" s="7">
        <v>29.823570251464844</v>
      </c>
      <c r="AE44" s="7">
        <v>29.562393188476563</v>
      </c>
      <c r="AG44" s="7">
        <f t="shared" si="0"/>
        <v>31.543081977150656</v>
      </c>
    </row>
    <row r="45" spans="1:33" x14ac:dyDescent="0.2">
      <c r="A45" s="5" t="s">
        <v>53</v>
      </c>
      <c r="B45" s="5" t="s">
        <v>246</v>
      </c>
      <c r="C45" s="6"/>
      <c r="D45" s="6"/>
      <c r="E45" s="6"/>
      <c r="F45" s="7">
        <v>34.092636108398438</v>
      </c>
      <c r="G45" s="7">
        <v>34.547210693359375</v>
      </c>
      <c r="H45" s="7">
        <v>34.139244079589844</v>
      </c>
      <c r="I45" s="7">
        <v>33.898887634277344</v>
      </c>
      <c r="J45" s="7">
        <v>34.310356140136719</v>
      </c>
      <c r="K45" s="7">
        <v>33.887168884277344</v>
      </c>
      <c r="L45" s="7">
        <v>34.802036285400391</v>
      </c>
      <c r="M45" s="7">
        <v>34.400001525878906</v>
      </c>
      <c r="N45" s="7">
        <v>34.502490997314453</v>
      </c>
      <c r="O45" s="7">
        <v>34.599334716796875</v>
      </c>
      <c r="P45" s="7">
        <v>34.842277526855469</v>
      </c>
      <c r="Q45" s="7">
        <v>34.091899871826172</v>
      </c>
      <c r="R45" s="7">
        <v>33.798740386962891</v>
      </c>
      <c r="S45" s="7">
        <v>33.558696746826172</v>
      </c>
      <c r="T45" s="7">
        <v>33.297248840332031</v>
      </c>
      <c r="U45" s="7">
        <v>33.343418121337891</v>
      </c>
      <c r="V45" s="7">
        <v>34.000774383544922</v>
      </c>
      <c r="W45" s="7">
        <v>33.386932373046875</v>
      </c>
      <c r="X45" s="7">
        <v>32.474460601806641</v>
      </c>
      <c r="Y45" s="7">
        <v>32.202037811279297</v>
      </c>
      <c r="Z45" s="7">
        <v>32.095417022705078</v>
      </c>
      <c r="AA45" s="7">
        <v>32.003379821777344</v>
      </c>
      <c r="AB45" s="7">
        <v>32.122753143310547</v>
      </c>
      <c r="AC45" s="7">
        <v>32.594478607177734</v>
      </c>
      <c r="AD45" s="7">
        <v>32.312206268310547</v>
      </c>
      <c r="AE45" s="7">
        <v>32.249202728271484</v>
      </c>
      <c r="AG45" s="7">
        <f t="shared" si="0"/>
        <v>32.934896295720883</v>
      </c>
    </row>
    <row r="46" spans="1:33" x14ac:dyDescent="0.2">
      <c r="A46" s="5" t="s">
        <v>54</v>
      </c>
      <c r="B46" s="5" t="s">
        <v>247</v>
      </c>
      <c r="C46" s="6"/>
      <c r="D46" s="6"/>
      <c r="E46" s="6"/>
      <c r="F46" s="7">
        <v>36.270999908447266</v>
      </c>
      <c r="G46" s="7">
        <v>36.188255310058594</v>
      </c>
      <c r="H46" s="7">
        <v>36.28997802734375</v>
      </c>
      <c r="I46" s="7">
        <v>35.261329650878906</v>
      </c>
      <c r="J46" s="7">
        <v>34.994808197021484</v>
      </c>
      <c r="K46" s="7">
        <v>34.748676300048828</v>
      </c>
      <c r="L46" s="7">
        <v>34.888046264648438</v>
      </c>
      <c r="M46" s="7">
        <v>35.099998474121094</v>
      </c>
      <c r="N46" s="7">
        <v>35.625328063964844</v>
      </c>
      <c r="O46" s="7">
        <v>36.084709167480469</v>
      </c>
      <c r="P46" s="7">
        <v>35.579429626464844</v>
      </c>
      <c r="Q46" s="7">
        <v>35.138736724853516</v>
      </c>
      <c r="R46" s="7">
        <v>35.219402313232422</v>
      </c>
      <c r="S46" s="7">
        <v>34.675899505615234</v>
      </c>
      <c r="T46" s="7">
        <v>34.348628997802734</v>
      </c>
      <c r="U46" s="7">
        <v>33.667331695556641</v>
      </c>
      <c r="V46" s="7">
        <v>33.791633605957031</v>
      </c>
      <c r="W46" s="7">
        <v>33.485557556152344</v>
      </c>
      <c r="X46" s="7">
        <v>34.363086700439453</v>
      </c>
      <c r="Y46" s="7">
        <v>34.54632568359375</v>
      </c>
      <c r="Z46" s="7">
        <v>34.813449859619141</v>
      </c>
      <c r="AA46" s="7">
        <v>35.02557373046875</v>
      </c>
      <c r="AB46" s="7">
        <v>34.697978973388672</v>
      </c>
      <c r="AC46" s="7">
        <v>34.116569519042969</v>
      </c>
      <c r="AD46" s="7">
        <v>32.975193023681641</v>
      </c>
      <c r="AE46" s="7">
        <v>31.570831298828125</v>
      </c>
      <c r="AG46" s="7">
        <f t="shared" si="0"/>
        <v>34.421351692893289</v>
      </c>
    </row>
    <row r="47" spans="1:33" x14ac:dyDescent="0.2">
      <c r="A47" s="5" t="s">
        <v>155</v>
      </c>
      <c r="B47" s="5" t="s">
        <v>349</v>
      </c>
      <c r="C47" s="6"/>
      <c r="D47" s="6"/>
      <c r="E47" s="6"/>
      <c r="F47" s="7">
        <v>47.453826904296875</v>
      </c>
      <c r="G47" s="7">
        <v>46.205940246582031</v>
      </c>
      <c r="H47" s="7">
        <v>45.915401458740234</v>
      </c>
      <c r="I47" s="7">
        <v>46.809986114501953</v>
      </c>
      <c r="J47" s="7">
        <v>46.531871795654297</v>
      </c>
      <c r="K47" s="7">
        <v>46.211090087890625</v>
      </c>
      <c r="L47" s="7">
        <v>46.158042907714844</v>
      </c>
      <c r="M47" s="7">
        <v>46.299999237060547</v>
      </c>
      <c r="N47" s="7">
        <v>46.470458984375</v>
      </c>
      <c r="O47" s="7">
        <v>46.093502044677734</v>
      </c>
      <c r="P47" s="7">
        <v>45.961837768554688</v>
      </c>
      <c r="Q47" s="7">
        <v>45.851253509521484</v>
      </c>
      <c r="R47" s="7">
        <v>45.839366912841797</v>
      </c>
      <c r="S47" s="7">
        <v>44.903354644775391</v>
      </c>
      <c r="T47" s="7">
        <v>44.668659210205078</v>
      </c>
      <c r="U47" s="7">
        <v>44.282047271728516</v>
      </c>
      <c r="V47" s="7">
        <v>45.410167694091797</v>
      </c>
      <c r="W47" s="7">
        <v>44.884117126464844</v>
      </c>
      <c r="X47" s="7">
        <v>44.429847717285156</v>
      </c>
      <c r="Y47" s="7">
        <v>43.937393188476563</v>
      </c>
      <c r="Z47" s="7">
        <v>43.749282836914063</v>
      </c>
      <c r="AA47" s="7">
        <v>43.461750030517578</v>
      </c>
      <c r="AB47" s="7">
        <v>43.549285888671875</v>
      </c>
      <c r="AC47" s="7">
        <v>43.371231079101563</v>
      </c>
      <c r="AD47" s="7">
        <v>43.212013244628906</v>
      </c>
      <c r="AE47" s="7">
        <v>42.817928314208984</v>
      </c>
      <c r="AG47" s="7">
        <f t="shared" si="0"/>
        <v>44.465024774724789</v>
      </c>
    </row>
    <row r="48" spans="1:33" x14ac:dyDescent="0.2">
      <c r="A48" s="5" t="s">
        <v>70</v>
      </c>
      <c r="B48" s="5" t="s">
        <v>263</v>
      </c>
      <c r="C48" s="6"/>
      <c r="D48" s="6"/>
      <c r="E48" s="6"/>
      <c r="F48" s="7">
        <v>34.590435028076172</v>
      </c>
      <c r="G48" s="7">
        <v>34.000644683837891</v>
      </c>
      <c r="H48" s="7">
        <v>34.175029754638672</v>
      </c>
      <c r="I48" s="7">
        <v>33.351428985595703</v>
      </c>
      <c r="J48" s="7">
        <v>32.908164978027344</v>
      </c>
      <c r="K48" s="7">
        <v>33.697368621826172</v>
      </c>
      <c r="L48" s="7">
        <v>33.007205963134766</v>
      </c>
      <c r="M48" s="7">
        <v>32.799999237060547</v>
      </c>
      <c r="N48" s="7">
        <v>31.990612030029297</v>
      </c>
      <c r="O48" s="7">
        <v>31.955617904663086</v>
      </c>
      <c r="P48" s="7">
        <v>32.098701477050781</v>
      </c>
      <c r="Q48" s="7">
        <v>31.580488204956055</v>
      </c>
      <c r="R48" s="7">
        <v>31.401777267456055</v>
      </c>
      <c r="S48" s="7">
        <v>31.483499526977539</v>
      </c>
      <c r="T48" s="7">
        <v>31.284048080444336</v>
      </c>
      <c r="U48" s="7">
        <v>30.827638626098633</v>
      </c>
      <c r="V48" s="7">
        <v>31.424808502197266</v>
      </c>
      <c r="W48" s="7">
        <v>31.877401351928711</v>
      </c>
      <c r="X48" s="7">
        <v>31.736186981201172</v>
      </c>
      <c r="Y48" s="7">
        <v>31.583358764648438</v>
      </c>
      <c r="Z48" s="7">
        <v>32.119235992431641</v>
      </c>
      <c r="AA48" s="7">
        <v>32.622890472412109</v>
      </c>
      <c r="AB48" s="7">
        <v>33.330757141113281</v>
      </c>
      <c r="AC48" s="7">
        <v>33.878974914550781</v>
      </c>
      <c r="AD48" s="7">
        <v>33.865741729736328</v>
      </c>
      <c r="AE48" s="7">
        <v>33.709209442138672</v>
      </c>
      <c r="AG48" s="7">
        <f t="shared" si="0"/>
        <v>31.790145700628106</v>
      </c>
    </row>
    <row r="49" spans="1:33" x14ac:dyDescent="0.2">
      <c r="A49" s="5" t="s">
        <v>55</v>
      </c>
      <c r="B49" s="5" t="s">
        <v>248</v>
      </c>
      <c r="C49" s="6"/>
      <c r="D49" s="6"/>
      <c r="E49" s="6"/>
      <c r="F49" s="7">
        <v>39.923377990722656</v>
      </c>
      <c r="G49" s="7">
        <v>38.65533447265625</v>
      </c>
      <c r="H49" s="7">
        <v>39.699897766113281</v>
      </c>
      <c r="I49" s="7">
        <v>38.712604522705078</v>
      </c>
      <c r="J49" s="7">
        <v>37.859909057617188</v>
      </c>
      <c r="K49" s="7">
        <v>38.943405151367188</v>
      </c>
      <c r="L49" s="7">
        <v>39.194004058837891</v>
      </c>
      <c r="M49" s="7">
        <v>40.299999237060547</v>
      </c>
      <c r="N49" s="7">
        <v>38.846721649169922</v>
      </c>
      <c r="O49" s="7">
        <v>38.805671691894531</v>
      </c>
      <c r="P49" s="7">
        <v>39.8292236328125</v>
      </c>
      <c r="Q49" s="7">
        <v>39.353527069091797</v>
      </c>
      <c r="R49" s="7">
        <v>39.285518646240234</v>
      </c>
      <c r="S49" s="7">
        <v>39.228225708007813</v>
      </c>
      <c r="T49" s="7">
        <v>39.116775512695313</v>
      </c>
      <c r="U49" s="7">
        <v>39.824951171875</v>
      </c>
      <c r="V49" s="7">
        <v>39.161403656005859</v>
      </c>
      <c r="W49" s="7">
        <v>39.343467712402344</v>
      </c>
      <c r="X49" s="7">
        <v>38.654224395751953</v>
      </c>
      <c r="Y49" s="7">
        <v>40.782794952392578</v>
      </c>
      <c r="Z49" s="7">
        <v>41.242008209228516</v>
      </c>
      <c r="AA49" s="7">
        <v>40.801227569580078</v>
      </c>
      <c r="AB49" s="7">
        <v>41.248825073242188</v>
      </c>
      <c r="AC49" s="7">
        <v>41.16180419921875</v>
      </c>
      <c r="AD49" s="7"/>
      <c r="AE49" s="7"/>
      <c r="AG49" s="7">
        <f t="shared" si="0"/>
        <v>39.880856600674718</v>
      </c>
    </row>
    <row r="50" spans="1:33" x14ac:dyDescent="0.2">
      <c r="A50" s="5" t="s">
        <v>57</v>
      </c>
      <c r="B50" s="5" t="s">
        <v>250</v>
      </c>
      <c r="C50" s="6"/>
      <c r="D50" s="6"/>
      <c r="E50" s="6"/>
      <c r="F50" s="7">
        <v>32.895301818847656</v>
      </c>
      <c r="G50" s="7">
        <v>33.649742126464844</v>
      </c>
      <c r="H50" s="7">
        <v>34.233428955078125</v>
      </c>
      <c r="I50" s="7">
        <v>33.868534088134766</v>
      </c>
      <c r="J50" s="7">
        <v>33.120658874511719</v>
      </c>
      <c r="K50" s="7">
        <v>33.024974822998047</v>
      </c>
      <c r="L50" s="7">
        <v>33.450969696044922</v>
      </c>
      <c r="M50" s="7">
        <v>32.700000762939453</v>
      </c>
      <c r="N50" s="7">
        <v>32.254806518554688</v>
      </c>
      <c r="O50" s="7">
        <v>31.713985443115234</v>
      </c>
      <c r="P50" s="7">
        <v>31.299526214599609</v>
      </c>
      <c r="Q50" s="7">
        <v>30.919612884521484</v>
      </c>
      <c r="R50" s="7">
        <v>30.257724761962891</v>
      </c>
      <c r="S50" s="7">
        <v>29.310369491577148</v>
      </c>
      <c r="T50" s="7">
        <v>29.03209114074707</v>
      </c>
      <c r="U50" s="7">
        <v>29.806386947631836</v>
      </c>
      <c r="V50" s="7">
        <v>31.741157531738281</v>
      </c>
      <c r="W50" s="7">
        <v>31.541521072387695</v>
      </c>
      <c r="X50" s="7">
        <v>30.620479583740234</v>
      </c>
      <c r="Y50" s="7">
        <v>30.370849609375</v>
      </c>
      <c r="Z50" s="7">
        <v>30.280942916870117</v>
      </c>
      <c r="AA50" s="7">
        <v>30.061119079589844</v>
      </c>
      <c r="AB50" s="7">
        <v>30.036376953125</v>
      </c>
      <c r="AC50" s="7">
        <v>30.031496047973633</v>
      </c>
      <c r="AD50" s="7">
        <v>29.569255828857422</v>
      </c>
      <c r="AE50" s="7">
        <v>29.188323974609375</v>
      </c>
      <c r="AG50" s="7">
        <f t="shared" si="0"/>
        <v>30.278092644431375</v>
      </c>
    </row>
    <row r="51" spans="1:33" x14ac:dyDescent="0.2">
      <c r="A51" s="5" t="s">
        <v>163</v>
      </c>
      <c r="B51" s="5" t="s">
        <v>357</v>
      </c>
      <c r="C51" s="6"/>
      <c r="D51" s="6"/>
      <c r="E51" s="6"/>
      <c r="F51" s="7">
        <v>42.588672637939453</v>
      </c>
      <c r="G51" s="7">
        <v>42.479454040527344</v>
      </c>
      <c r="H51" s="7">
        <v>41.556015014648438</v>
      </c>
      <c r="I51" s="7">
        <v>41.910140991210938</v>
      </c>
      <c r="J51" s="7">
        <v>42.738349914550781</v>
      </c>
      <c r="K51" s="7">
        <v>42.676101684570313</v>
      </c>
      <c r="L51" s="7">
        <v>42.442771911621094</v>
      </c>
      <c r="M51" s="7">
        <v>41.400001525878906</v>
      </c>
      <c r="N51" s="7">
        <v>41.350368499755859</v>
      </c>
      <c r="O51" s="7">
        <v>40.688091278076172</v>
      </c>
      <c r="P51" s="7">
        <v>41.262386322021484</v>
      </c>
      <c r="Q51" s="7">
        <v>42.083820343017578</v>
      </c>
      <c r="R51" s="7">
        <v>41.591121673583984</v>
      </c>
      <c r="S51" s="7">
        <v>40.772918701171875</v>
      </c>
      <c r="T51" s="7">
        <v>40.707748413085938</v>
      </c>
      <c r="U51" s="7">
        <v>41.060356140136719</v>
      </c>
      <c r="V51" s="7">
        <v>41.190441131591797</v>
      </c>
      <c r="W51" s="7">
        <v>40.480716705322266</v>
      </c>
      <c r="X51" s="7">
        <v>40.221881866455078</v>
      </c>
      <c r="Y51" s="7">
        <v>39.281021118164063</v>
      </c>
      <c r="Z51" s="7">
        <v>38.835025787353516</v>
      </c>
      <c r="AA51" s="7">
        <v>39.160713195800781</v>
      </c>
      <c r="AB51" s="7">
        <v>39.274417877197266</v>
      </c>
      <c r="AC51" s="7">
        <v>39.486186981201172</v>
      </c>
      <c r="AD51" s="7">
        <v>39.370059967041016</v>
      </c>
      <c r="AE51" s="7">
        <v>38.931453704833984</v>
      </c>
      <c r="AG51" s="7">
        <f t="shared" si="0"/>
        <v>40.234214782714844</v>
      </c>
    </row>
    <row r="52" spans="1:33" x14ac:dyDescent="0.2">
      <c r="A52" s="5" t="s">
        <v>58</v>
      </c>
      <c r="B52" s="5" t="s">
        <v>251</v>
      </c>
      <c r="C52" s="6"/>
      <c r="D52" s="6"/>
      <c r="E52" s="6"/>
      <c r="F52" s="7">
        <v>37.729801177978516</v>
      </c>
      <c r="G52" s="7">
        <v>38.179462432861328</v>
      </c>
      <c r="H52" s="7">
        <v>38.496284484863281</v>
      </c>
      <c r="I52" s="7">
        <v>38.044380187988281</v>
      </c>
      <c r="J52" s="7">
        <v>38.119766235351563</v>
      </c>
      <c r="K52" s="7">
        <v>38.715129852294922</v>
      </c>
      <c r="L52" s="7">
        <v>40.098007202148438</v>
      </c>
      <c r="M52" s="7">
        <v>40.299999237060547</v>
      </c>
      <c r="N52" s="7">
        <v>39.361347198486328</v>
      </c>
      <c r="O52" s="7">
        <v>39.290134429931641</v>
      </c>
      <c r="P52" s="7">
        <v>38.945590972900391</v>
      </c>
      <c r="Q52" s="7">
        <v>38.475048065185547</v>
      </c>
      <c r="R52" s="7">
        <v>38.28656005859375</v>
      </c>
      <c r="S52" s="7">
        <v>37.797782897949219</v>
      </c>
      <c r="T52" s="7">
        <v>37.037002563476563</v>
      </c>
      <c r="U52" s="7">
        <v>36.623104095458984</v>
      </c>
      <c r="V52" s="7">
        <v>36.339191436767578</v>
      </c>
      <c r="W52" s="7">
        <v>35.956951141357422</v>
      </c>
      <c r="X52" s="7">
        <v>35.950000762939453</v>
      </c>
      <c r="Y52" s="7">
        <v>35.424263000488281</v>
      </c>
      <c r="Z52" s="7">
        <v>35.271137237548828</v>
      </c>
      <c r="AA52" s="7">
        <v>34.911128997802734</v>
      </c>
      <c r="AB52" s="7">
        <v>34.749935150146484</v>
      </c>
      <c r="AC52" s="7">
        <v>34.824413299560547</v>
      </c>
      <c r="AD52" s="7">
        <v>34.531898498535156</v>
      </c>
      <c r="AE52" s="7">
        <v>34.053924560546875</v>
      </c>
      <c r="AG52" s="7">
        <f t="shared" si="0"/>
        <v>36.213368849320844</v>
      </c>
    </row>
    <row r="53" spans="1:33" x14ac:dyDescent="0.2">
      <c r="A53" s="5" t="s">
        <v>60</v>
      </c>
      <c r="B53" s="5" t="s">
        <v>253</v>
      </c>
      <c r="C53" s="6"/>
      <c r="D53" s="6"/>
      <c r="E53" s="6"/>
      <c r="F53" s="7">
        <v>34.703884124755859</v>
      </c>
      <c r="G53" s="7">
        <v>33.416740417480469</v>
      </c>
      <c r="H53" s="7">
        <v>33.073413848876953</v>
      </c>
      <c r="I53" s="7">
        <v>32.798053741455078</v>
      </c>
      <c r="J53" s="7">
        <v>33.489349365234375</v>
      </c>
      <c r="K53" s="7">
        <v>34.067001342773438</v>
      </c>
      <c r="L53" s="7">
        <v>32.840934753417969</v>
      </c>
      <c r="M53" s="7">
        <v>33.599998474121094</v>
      </c>
      <c r="N53" s="7">
        <v>33.104152679443359</v>
      </c>
      <c r="O53" s="7">
        <v>32.430004119873047</v>
      </c>
      <c r="P53" s="7">
        <v>32.862323760986328</v>
      </c>
      <c r="Q53" s="7">
        <v>31.823240280151367</v>
      </c>
      <c r="R53" s="7">
        <v>31.429986953735352</v>
      </c>
      <c r="S53" s="7">
        <v>32.848926544189453</v>
      </c>
      <c r="T53" s="7">
        <v>32.947742462158203</v>
      </c>
      <c r="U53" s="7">
        <v>32.51092529296875</v>
      </c>
      <c r="V53" s="7">
        <v>33.330368041992188</v>
      </c>
      <c r="W53" s="7">
        <v>32.144638061523438</v>
      </c>
      <c r="X53" s="7">
        <v>32.991554260253906</v>
      </c>
      <c r="Y53" s="7">
        <v>33.595279693603516</v>
      </c>
      <c r="Z53" s="7">
        <v>33.262767791748047</v>
      </c>
      <c r="AA53" s="7">
        <v>32.244922637939453</v>
      </c>
      <c r="AB53" s="7">
        <v>31.867551803588867</v>
      </c>
      <c r="AC53" s="7">
        <v>31.490890502929688</v>
      </c>
      <c r="AD53" s="7">
        <v>30.5997314453125</v>
      </c>
      <c r="AE53" s="7">
        <v>30.081411361694336</v>
      </c>
      <c r="AG53" s="7">
        <f t="shared" si="0"/>
        <v>32.652242140336469</v>
      </c>
    </row>
    <row r="54" spans="1:33" x14ac:dyDescent="0.2">
      <c r="A54" s="5" t="s">
        <v>59</v>
      </c>
      <c r="B54" s="5" t="s">
        <v>252</v>
      </c>
      <c r="C54" s="6"/>
      <c r="D54" s="6"/>
      <c r="E54" s="6"/>
      <c r="F54" s="7">
        <v>20.236776351928711</v>
      </c>
      <c r="G54" s="7">
        <v>19.963459014892578</v>
      </c>
      <c r="H54" s="7">
        <v>19.690584182739258</v>
      </c>
      <c r="I54" s="7">
        <v>19.796918869018555</v>
      </c>
      <c r="J54" s="7">
        <v>19.250158309936523</v>
      </c>
      <c r="K54" s="7">
        <v>18.768951416015625</v>
      </c>
      <c r="L54" s="7">
        <v>18.463390350341797</v>
      </c>
      <c r="M54" s="7">
        <v>18.100000381469727</v>
      </c>
      <c r="N54" s="7">
        <v>17.994543075561523</v>
      </c>
      <c r="O54" s="7">
        <v>18.042619705200195</v>
      </c>
      <c r="P54" s="7">
        <v>17.982566833496094</v>
      </c>
      <c r="Q54" s="7">
        <v>17.896631240844727</v>
      </c>
      <c r="R54" s="7">
        <v>17.840862274169922</v>
      </c>
      <c r="S54" s="7">
        <v>17.591901779174805</v>
      </c>
      <c r="T54" s="7">
        <v>17.36433219909668</v>
      </c>
      <c r="U54" s="7">
        <v>17.417619705200195</v>
      </c>
      <c r="V54" s="7">
        <v>18.261625289916992</v>
      </c>
      <c r="W54" s="7">
        <v>18.07659912109375</v>
      </c>
      <c r="X54" s="7">
        <v>17.878871917724609</v>
      </c>
      <c r="Y54" s="7">
        <v>18.113912582397461</v>
      </c>
      <c r="Z54" s="7">
        <v>18.319568634033203</v>
      </c>
      <c r="AA54" s="7">
        <v>18.495826721191406</v>
      </c>
      <c r="AB54" s="7">
        <v>18.629486083984375</v>
      </c>
      <c r="AC54" s="7">
        <v>18.354671478271484</v>
      </c>
      <c r="AD54" s="7">
        <v>17.978681564331055</v>
      </c>
      <c r="AE54" s="7">
        <v>17.786581039428711</v>
      </c>
      <c r="AG54" s="7">
        <f t="shared" si="0"/>
        <v>17.999146027998492</v>
      </c>
    </row>
    <row r="55" spans="1:33" x14ac:dyDescent="0.2">
      <c r="A55" s="5" t="s">
        <v>61</v>
      </c>
      <c r="B55" s="5" t="s">
        <v>254</v>
      </c>
      <c r="C55" s="6"/>
      <c r="D55" s="6"/>
      <c r="E55" s="6"/>
      <c r="F55" s="7">
        <v>16.808504104614258</v>
      </c>
      <c r="G55" s="7">
        <v>16.706005096435547</v>
      </c>
      <c r="H55" s="7">
        <v>16.540771484375</v>
      </c>
      <c r="I55" s="7">
        <v>16.781888961791992</v>
      </c>
      <c r="J55" s="7">
        <v>16.571392059326172</v>
      </c>
      <c r="K55" s="7">
        <v>15.953896522521973</v>
      </c>
      <c r="L55" s="7">
        <v>15.715093612670898</v>
      </c>
      <c r="M55" s="7">
        <v>15.199999809265137</v>
      </c>
      <c r="N55" s="7">
        <v>14.967157363891602</v>
      </c>
      <c r="O55" s="7">
        <v>15.212766647338867</v>
      </c>
      <c r="P55" s="7">
        <v>15.290253639221191</v>
      </c>
      <c r="Q55" s="7">
        <v>15.120858192443848</v>
      </c>
      <c r="R55" s="7">
        <v>15.118074417114258</v>
      </c>
      <c r="S55" s="7">
        <v>14.899965286254883</v>
      </c>
      <c r="T55" s="7">
        <v>14.698661804199219</v>
      </c>
      <c r="U55" s="7">
        <v>14.65235710144043</v>
      </c>
      <c r="V55" s="7">
        <v>15.673038482666016</v>
      </c>
      <c r="W55" s="7">
        <v>15.589509010314941</v>
      </c>
      <c r="X55" s="7">
        <v>15.418810844421387</v>
      </c>
      <c r="Y55" s="7">
        <v>15.575552940368652</v>
      </c>
      <c r="Z55" s="7">
        <v>15.578228950500488</v>
      </c>
      <c r="AA55" s="7">
        <v>15.566699981689453</v>
      </c>
      <c r="AB55" s="7">
        <v>15.38303279876709</v>
      </c>
      <c r="AC55" s="7">
        <v>15.30415153503418</v>
      </c>
      <c r="AD55" s="7">
        <v>15.115432739257813</v>
      </c>
      <c r="AE55" s="7">
        <v>14.78849983215332</v>
      </c>
      <c r="AG55" s="7">
        <f t="shared" si="0"/>
        <v>15.286721056157893</v>
      </c>
    </row>
    <row r="56" spans="1:33" x14ac:dyDescent="0.2">
      <c r="A56" s="5" t="s">
        <v>63</v>
      </c>
      <c r="B56" s="5" t="s">
        <v>256</v>
      </c>
      <c r="C56" s="6"/>
      <c r="D56" s="6"/>
      <c r="E56" s="6"/>
      <c r="F56" s="7">
        <v>47.780609130859375</v>
      </c>
      <c r="G56" s="7">
        <v>46.458580017089844</v>
      </c>
      <c r="H56" s="7">
        <v>46.2572021484375</v>
      </c>
      <c r="I56" s="7">
        <v>45.503902435302734</v>
      </c>
      <c r="J56" s="7">
        <v>45.281871795654297</v>
      </c>
      <c r="K56" s="7">
        <v>47.176166534423828</v>
      </c>
      <c r="L56" s="7">
        <v>48.071807861328125</v>
      </c>
      <c r="M56" s="7">
        <v>48</v>
      </c>
      <c r="N56" s="7">
        <v>50.455394744873047</v>
      </c>
      <c r="O56" s="7">
        <v>50.916648864746094</v>
      </c>
      <c r="P56" s="7">
        <v>51.036033630371094</v>
      </c>
      <c r="Q56" s="7">
        <v>51.427619934082031</v>
      </c>
      <c r="R56" s="7">
        <v>50.506195068359375</v>
      </c>
      <c r="S56" s="7">
        <v>51.724369049072266</v>
      </c>
      <c r="T56" s="7">
        <v>51.446319580078125</v>
      </c>
      <c r="U56" s="7">
        <v>52.039741516113281</v>
      </c>
      <c r="V56" s="7">
        <v>53.889884948730469</v>
      </c>
      <c r="W56" s="7">
        <v>52.029056549072266</v>
      </c>
      <c r="X56" s="7">
        <v>51.299270629882813</v>
      </c>
      <c r="Y56" s="7">
        <v>51.704135894775391</v>
      </c>
      <c r="Z56" s="7">
        <v>51.488357543945313</v>
      </c>
      <c r="AA56" s="7">
        <v>51.023014068603516</v>
      </c>
      <c r="AB56" s="7">
        <v>51.0352783203125</v>
      </c>
      <c r="AC56" s="7">
        <v>51.171489715576172</v>
      </c>
      <c r="AD56" s="7">
        <v>51.114414215087891</v>
      </c>
      <c r="AE56" s="7">
        <v>50.099693298339844</v>
      </c>
      <c r="AG56" s="7">
        <f t="shared" si="0"/>
        <v>51.653238469904117</v>
      </c>
    </row>
    <row r="57" spans="1:33" x14ac:dyDescent="0.2">
      <c r="A57" s="5" t="s">
        <v>68</v>
      </c>
      <c r="B57" s="5" t="s">
        <v>261</v>
      </c>
      <c r="C57" s="6"/>
      <c r="D57" s="6"/>
      <c r="E57" s="6"/>
      <c r="F57" s="7">
        <v>47.238285064697266</v>
      </c>
      <c r="G57" s="7">
        <v>46.955162048339844</v>
      </c>
      <c r="H57" s="7">
        <v>48.152683258056641</v>
      </c>
      <c r="I57" s="7">
        <v>48.099399566650391</v>
      </c>
      <c r="J57" s="7">
        <v>47.197856903076172</v>
      </c>
      <c r="K57" s="7">
        <v>46.309181213378906</v>
      </c>
      <c r="L57" s="7">
        <v>45.312664031982422</v>
      </c>
      <c r="M57" s="7">
        <v>45.099998474121094</v>
      </c>
      <c r="N57" s="7">
        <v>44.372409820556641</v>
      </c>
      <c r="O57" s="7">
        <v>46.711585998535156</v>
      </c>
      <c r="P57" s="7">
        <v>44.027744293212891</v>
      </c>
      <c r="Q57" s="7">
        <v>42.318363189697266</v>
      </c>
      <c r="R57" s="7">
        <v>45.326889038085938</v>
      </c>
      <c r="S57" s="7">
        <v>46.405200958251953</v>
      </c>
      <c r="T57" s="7">
        <v>45.959316253662109</v>
      </c>
      <c r="U57" s="7">
        <v>45.964385986328125</v>
      </c>
      <c r="V57" s="7">
        <v>44.17181396484375</v>
      </c>
      <c r="W57" s="7">
        <v>43.324542999267578</v>
      </c>
      <c r="X57" s="7">
        <v>47.646778106689453</v>
      </c>
      <c r="Y57" s="7">
        <v>45.969436645507813</v>
      </c>
      <c r="Z57" s="7">
        <v>46.631416320800781</v>
      </c>
      <c r="AA57" s="7">
        <v>48.898101806640625</v>
      </c>
      <c r="AB57" s="7">
        <v>49.629932403564453</v>
      </c>
      <c r="AC57" s="7">
        <v>49.335735321044922</v>
      </c>
      <c r="AD57" s="7">
        <v>48.197246551513672</v>
      </c>
      <c r="AE57" s="7">
        <v>46.844100952148438</v>
      </c>
      <c r="AG57" s="7">
        <f t="shared" si="0"/>
        <v>46.357074043967508</v>
      </c>
    </row>
    <row r="58" spans="1:33" x14ac:dyDescent="0.2">
      <c r="A58" s="5" t="s">
        <v>65</v>
      </c>
      <c r="B58" s="5" t="s">
        <v>258</v>
      </c>
      <c r="C58" s="6"/>
      <c r="D58" s="6"/>
      <c r="E58" s="6"/>
      <c r="F58" s="7">
        <v>67.89923095703125</v>
      </c>
      <c r="G58" s="7">
        <v>68.917427062988281</v>
      </c>
      <c r="H58" s="7">
        <v>69.345603942871094</v>
      </c>
      <c r="I58" s="7">
        <v>68.211494445800781</v>
      </c>
      <c r="J58" s="7">
        <v>68.359786987304688</v>
      </c>
      <c r="K58" s="7">
        <v>68.4302978515625</v>
      </c>
      <c r="L58" s="7">
        <v>68.566177368164063</v>
      </c>
      <c r="M58" s="7">
        <v>67.300003051757813</v>
      </c>
      <c r="N58" s="7">
        <v>67.490028381347656</v>
      </c>
      <c r="O58" s="7">
        <v>67.712303161621094</v>
      </c>
      <c r="P58" s="7">
        <v>66.73663330078125</v>
      </c>
      <c r="Q58" s="7">
        <v>67.760673522949219</v>
      </c>
      <c r="R58" s="7">
        <v>68.25146484375</v>
      </c>
      <c r="S58" s="7">
        <v>67.190719604492188</v>
      </c>
      <c r="T58" s="7">
        <v>67.574806213378906</v>
      </c>
      <c r="U58" s="7">
        <v>68.913314819335938</v>
      </c>
      <c r="V58" s="7">
        <v>68.881568908691406</v>
      </c>
      <c r="W58" s="7">
        <v>66.389320373535156</v>
      </c>
      <c r="X58" s="7">
        <v>65.091163635253906</v>
      </c>
      <c r="Y58" s="7">
        <v>64.53753662109375</v>
      </c>
      <c r="Z58" s="7">
        <v>64.265884399414063</v>
      </c>
      <c r="AA58" s="7">
        <v>63.779556274414063</v>
      </c>
      <c r="AB58" s="7">
        <v>63.286979675292969</v>
      </c>
      <c r="AC58" s="7">
        <v>63.220439910888672</v>
      </c>
      <c r="AD58" s="7">
        <v>61.828231811523438</v>
      </c>
      <c r="AE58" s="7">
        <v>61.2352294921875</v>
      </c>
      <c r="AG58" s="7">
        <f t="shared" si="0"/>
        <v>66.196574124422938</v>
      </c>
    </row>
    <row r="59" spans="1:33" x14ac:dyDescent="0.2">
      <c r="A59" s="5" t="s">
        <v>47</v>
      </c>
      <c r="B59" s="5" t="s">
        <v>240</v>
      </c>
      <c r="C59" s="6"/>
      <c r="D59" s="6"/>
      <c r="E59" s="6"/>
      <c r="F59" s="7">
        <v>16.882621765136719</v>
      </c>
      <c r="G59" s="7">
        <v>16.799530029296875</v>
      </c>
      <c r="H59" s="7">
        <v>16.780973434448242</v>
      </c>
      <c r="I59" s="7">
        <v>16.867733001708984</v>
      </c>
      <c r="J59" s="7">
        <v>16.619756698608398</v>
      </c>
      <c r="K59" s="7">
        <v>16.321269989013672</v>
      </c>
      <c r="L59" s="7">
        <v>16.262290954589844</v>
      </c>
      <c r="M59" s="7">
        <v>16</v>
      </c>
      <c r="N59" s="7">
        <v>15.94591236114502</v>
      </c>
      <c r="O59" s="7">
        <v>16.196968078613281</v>
      </c>
      <c r="P59" s="7">
        <v>16.530506134033203</v>
      </c>
      <c r="Q59" s="7">
        <v>16.238885879516602</v>
      </c>
      <c r="R59" s="7">
        <v>16.210929870605469</v>
      </c>
      <c r="S59" s="7">
        <v>15.661530494689941</v>
      </c>
      <c r="T59" s="7">
        <v>15.199258804321289</v>
      </c>
      <c r="U59" s="7">
        <v>15.348127365112305</v>
      </c>
      <c r="V59" s="7">
        <v>16.420112609863281</v>
      </c>
      <c r="W59" s="7">
        <v>15.973832130432129</v>
      </c>
      <c r="X59" s="7">
        <v>15.380826950073242</v>
      </c>
      <c r="Y59" s="7">
        <v>15.410167694091797</v>
      </c>
      <c r="Z59" s="7">
        <v>15.597273826599121</v>
      </c>
      <c r="AA59" s="7">
        <v>15.325316429138184</v>
      </c>
      <c r="AB59" s="7">
        <v>15.239039421081543</v>
      </c>
      <c r="AC59" s="7">
        <v>15.236104011535645</v>
      </c>
      <c r="AD59" s="7">
        <v>15.139071464538574</v>
      </c>
      <c r="AE59" s="7">
        <v>15.140613555908203</v>
      </c>
      <c r="AG59" s="7">
        <f t="shared" si="0"/>
        <v>15.615128690546209</v>
      </c>
    </row>
    <row r="60" spans="1:33" x14ac:dyDescent="0.2">
      <c r="A60" s="5" t="s">
        <v>66</v>
      </c>
      <c r="B60" s="5" t="s">
        <v>259</v>
      </c>
      <c r="C60" s="6"/>
      <c r="D60" s="6"/>
      <c r="E60" s="6"/>
      <c r="F60" s="7">
        <v>43.884502410888672</v>
      </c>
      <c r="G60" s="7">
        <v>43.298973083496094</v>
      </c>
      <c r="H60" s="7">
        <v>42.537715911865234</v>
      </c>
      <c r="I60" s="7">
        <v>43.054866790771484</v>
      </c>
      <c r="J60" s="7">
        <v>42.871509552001953</v>
      </c>
      <c r="K60" s="7">
        <v>42.279804229736328</v>
      </c>
      <c r="L60" s="7">
        <v>42.320476531982422</v>
      </c>
      <c r="M60" s="7">
        <v>41.900001525878906</v>
      </c>
      <c r="N60" s="7">
        <v>41.854000091552734</v>
      </c>
      <c r="O60" s="7">
        <v>41.979087829589844</v>
      </c>
      <c r="P60" s="7">
        <v>42.418998718261719</v>
      </c>
      <c r="Q60" s="7">
        <v>42.375873565673828</v>
      </c>
      <c r="R60" s="7">
        <v>42.843765258789063</v>
      </c>
      <c r="S60" s="7">
        <v>40.018550872802734</v>
      </c>
      <c r="T60" s="7">
        <v>39.834785461425781</v>
      </c>
      <c r="U60" s="7">
        <v>39.923439025878906</v>
      </c>
      <c r="V60" s="7">
        <v>39.456657409667969</v>
      </c>
      <c r="W60" s="7">
        <v>39.284843444824219</v>
      </c>
      <c r="X60" s="7">
        <v>40.576728820800781</v>
      </c>
      <c r="Y60" s="7">
        <v>39.474140167236328</v>
      </c>
      <c r="Z60" s="7">
        <v>38.858100891113281</v>
      </c>
      <c r="AA60" s="7">
        <v>39.123664855957031</v>
      </c>
      <c r="AB60" s="7">
        <v>38.80218505859375</v>
      </c>
      <c r="AC60" s="7">
        <v>38.241268157958984</v>
      </c>
      <c r="AD60" s="7">
        <v>37.591098785400391</v>
      </c>
      <c r="AE60" s="7">
        <v>37.569698333740234</v>
      </c>
      <c r="AG60" s="7">
        <f t="shared" si="0"/>
        <v>39.836078297008164</v>
      </c>
    </row>
    <row r="61" spans="1:33" x14ac:dyDescent="0.2">
      <c r="A61" s="5" t="s">
        <v>71</v>
      </c>
      <c r="B61" s="5" t="s">
        <v>264</v>
      </c>
      <c r="C61" s="6"/>
      <c r="D61" s="6"/>
      <c r="E61" s="6"/>
      <c r="F61" s="7">
        <v>29.465055465698242</v>
      </c>
      <c r="G61" s="7">
        <v>29.229127883911133</v>
      </c>
      <c r="H61" s="7">
        <v>29.601930618286133</v>
      </c>
      <c r="I61" s="7">
        <v>29.172876358032227</v>
      </c>
      <c r="J61" s="7">
        <v>28.971530914306641</v>
      </c>
      <c r="K61" s="7">
        <v>28.778118133544922</v>
      </c>
      <c r="L61" s="7">
        <v>28.817792892456055</v>
      </c>
      <c r="M61" s="7">
        <v>28.700000762939453</v>
      </c>
      <c r="N61" s="7">
        <v>28.445329666137695</v>
      </c>
      <c r="O61" s="7">
        <v>28.230890274047852</v>
      </c>
      <c r="P61" s="7">
        <v>27.785993576049805</v>
      </c>
      <c r="Q61" s="7">
        <v>27.440986633300781</v>
      </c>
      <c r="R61" s="7">
        <v>27.688377380371094</v>
      </c>
      <c r="S61" s="7">
        <v>27.319141387939453</v>
      </c>
      <c r="T61" s="7">
        <v>27.197010040283203</v>
      </c>
      <c r="U61" s="7">
        <v>27.257978439331055</v>
      </c>
      <c r="V61" s="7">
        <v>28.336080551147461</v>
      </c>
      <c r="W61" s="7">
        <v>28.691644668579102</v>
      </c>
      <c r="X61" s="7">
        <v>29.517574310302734</v>
      </c>
      <c r="Y61" s="7">
        <v>30.380508422851563</v>
      </c>
      <c r="Z61" s="7">
        <v>30.202447891235352</v>
      </c>
      <c r="AA61" s="7">
        <v>30.093637466430664</v>
      </c>
      <c r="AB61" s="7">
        <v>30.16767692565918</v>
      </c>
      <c r="AC61" s="7">
        <v>30.07646369934082</v>
      </c>
      <c r="AD61" s="7">
        <v>29.756443023681641</v>
      </c>
      <c r="AE61" s="7">
        <v>29.349082946777344</v>
      </c>
      <c r="AG61" s="7">
        <f t="shared" si="0"/>
        <v>28.804734316739168</v>
      </c>
    </row>
    <row r="62" spans="1:33" x14ac:dyDescent="0.2">
      <c r="A62" s="5" t="s">
        <v>73</v>
      </c>
      <c r="B62" s="5" t="s">
        <v>266</v>
      </c>
      <c r="C62" s="6"/>
      <c r="D62" s="6"/>
      <c r="E62" s="6"/>
      <c r="F62" s="7">
        <v>54.228130340576172</v>
      </c>
      <c r="G62" s="7">
        <v>53.567111968994141</v>
      </c>
      <c r="H62" s="7">
        <v>53.664276123046875</v>
      </c>
      <c r="I62" s="7">
        <v>52.916088104248047</v>
      </c>
      <c r="J62" s="7">
        <v>52.732330322265625</v>
      </c>
      <c r="K62" s="7">
        <v>52.150302886962891</v>
      </c>
      <c r="L62" s="7">
        <v>51.579524993896484</v>
      </c>
      <c r="M62" s="7">
        <v>51.5</v>
      </c>
      <c r="N62" s="7">
        <v>52.657520294189453</v>
      </c>
      <c r="O62" s="7">
        <v>53.226417541503906</v>
      </c>
      <c r="P62" s="7">
        <v>52.989555358886719</v>
      </c>
      <c r="Q62" s="7">
        <v>53.283592224121094</v>
      </c>
      <c r="R62" s="7">
        <v>52.68939208984375</v>
      </c>
      <c r="S62" s="7">
        <v>51.479713439941406</v>
      </c>
      <c r="T62" s="7">
        <v>51.126445770263672</v>
      </c>
      <c r="U62" s="7">
        <v>51.281364440917969</v>
      </c>
      <c r="V62" s="7">
        <v>52.69525146484375</v>
      </c>
      <c r="W62" s="7">
        <v>52.920597076416016</v>
      </c>
      <c r="X62" s="7">
        <v>52.667186737060547</v>
      </c>
      <c r="Y62" s="7">
        <v>52.088138580322266</v>
      </c>
      <c r="Z62" s="7">
        <v>51.795612335205078</v>
      </c>
      <c r="AA62" s="7">
        <v>51.535991668701172</v>
      </c>
      <c r="AB62" s="7">
        <v>50.782695770263672</v>
      </c>
      <c r="AC62" s="7">
        <v>50.090530395507813</v>
      </c>
      <c r="AD62" s="7">
        <v>49.937080383300781</v>
      </c>
      <c r="AE62" s="7">
        <v>49.780509948730469</v>
      </c>
      <c r="AG62" s="7">
        <f t="shared" si="0"/>
        <v>51.914762670343571</v>
      </c>
    </row>
    <row r="63" spans="1:33" x14ac:dyDescent="0.2">
      <c r="A63" s="5" t="s">
        <v>67</v>
      </c>
      <c r="B63" s="5" t="s">
        <v>260</v>
      </c>
      <c r="C63" s="6"/>
      <c r="D63" s="6"/>
      <c r="E63" s="6"/>
      <c r="F63" s="7">
        <v>41.283046722412109</v>
      </c>
      <c r="G63" s="7">
        <v>41.637668609619141</v>
      </c>
      <c r="H63" s="7">
        <v>41.273021697998047</v>
      </c>
      <c r="I63" s="7">
        <v>41.017791748046875</v>
      </c>
      <c r="J63" s="7">
        <v>40.378917694091797</v>
      </c>
      <c r="K63" s="7">
        <v>39.869949340820313</v>
      </c>
      <c r="L63" s="7">
        <v>39.650100708007813</v>
      </c>
      <c r="M63" s="7">
        <v>39.599998474121094</v>
      </c>
      <c r="N63" s="7">
        <v>39.495395660400391</v>
      </c>
      <c r="O63" s="7">
        <v>39.458782196044922</v>
      </c>
      <c r="P63" s="7">
        <v>39.240898132324219</v>
      </c>
      <c r="Q63" s="7">
        <v>39.270965576171875</v>
      </c>
      <c r="R63" s="7">
        <v>39.429855346679688</v>
      </c>
      <c r="S63" s="7">
        <v>39.774749755859375</v>
      </c>
      <c r="T63" s="7">
        <v>39.347137451171875</v>
      </c>
      <c r="U63" s="7">
        <v>38.956241607666016</v>
      </c>
      <c r="V63" s="7">
        <v>39.330944061279297</v>
      </c>
      <c r="W63" s="7">
        <v>39.551189422607422</v>
      </c>
      <c r="X63" s="7">
        <v>39.628391265869141</v>
      </c>
      <c r="Y63" s="7">
        <v>39.387737274169922</v>
      </c>
      <c r="Z63" s="7">
        <v>39.657398223876953</v>
      </c>
      <c r="AA63" s="7">
        <v>39.526393890380859</v>
      </c>
      <c r="AB63" s="7">
        <v>39.46533203125</v>
      </c>
      <c r="AC63" s="7">
        <v>38.005176544189453</v>
      </c>
      <c r="AD63" s="7">
        <v>36.900833129882813</v>
      </c>
      <c r="AE63" s="7">
        <v>36.470741271972656</v>
      </c>
      <c r="AG63" s="7">
        <f t="shared" si="0"/>
        <v>39.459579120982774</v>
      </c>
    </row>
    <row r="64" spans="1:33" x14ac:dyDescent="0.2">
      <c r="A64" s="5" t="s">
        <v>69</v>
      </c>
      <c r="B64" s="5" t="s">
        <v>262</v>
      </c>
      <c r="C64" s="6"/>
      <c r="D64" s="6"/>
      <c r="E64" s="6"/>
      <c r="F64" s="7">
        <v>36.162036895751953</v>
      </c>
      <c r="G64" s="7">
        <v>36.035610198974609</v>
      </c>
      <c r="H64" s="7">
        <v>35.906475067138672</v>
      </c>
      <c r="I64" s="7">
        <v>34.570152282714844</v>
      </c>
      <c r="J64" s="7">
        <v>33.924777984619141</v>
      </c>
      <c r="K64" s="7">
        <v>39.628292083740234</v>
      </c>
      <c r="L64" s="7">
        <v>38.714622497558594</v>
      </c>
      <c r="M64" s="7">
        <v>39.599998474121094</v>
      </c>
      <c r="N64" s="7">
        <v>38.944995880126953</v>
      </c>
      <c r="O64" s="7">
        <v>39.577350616455078</v>
      </c>
      <c r="P64" s="7">
        <v>40.260143280029297</v>
      </c>
      <c r="Q64" s="7">
        <v>40.038913726806641</v>
      </c>
      <c r="R64" s="7">
        <v>39.540386199951172</v>
      </c>
      <c r="S64" s="7">
        <v>38.992599487304688</v>
      </c>
      <c r="T64" s="7">
        <v>38.506336212158203</v>
      </c>
      <c r="U64" s="7">
        <v>38.071235656738281</v>
      </c>
      <c r="V64" s="7">
        <v>37.969997406005859</v>
      </c>
      <c r="W64" s="7">
        <v>37.823467254638672</v>
      </c>
      <c r="X64" s="7">
        <v>37.135173797607422</v>
      </c>
      <c r="Y64" s="7">
        <v>38.319709777832031</v>
      </c>
      <c r="Z64" s="7">
        <v>37.703563690185547</v>
      </c>
      <c r="AA64" s="7">
        <v>39.502117156982422</v>
      </c>
      <c r="AB64" s="7">
        <v>38.623943328857422</v>
      </c>
      <c r="AC64" s="7">
        <v>37.868068695068359</v>
      </c>
      <c r="AD64" s="7">
        <v>37.314907073974609</v>
      </c>
      <c r="AE64" s="7">
        <v>36.779396057128906</v>
      </c>
      <c r="AG64" s="7">
        <f t="shared" si="0"/>
        <v>38.380775451660156</v>
      </c>
    </row>
    <row r="65" spans="1:33" x14ac:dyDescent="0.2">
      <c r="A65" s="5" t="s">
        <v>74</v>
      </c>
      <c r="B65" s="5" t="s">
        <v>267</v>
      </c>
      <c r="C65" s="6"/>
      <c r="D65" s="6"/>
      <c r="E65" s="6"/>
      <c r="F65" s="7">
        <v>33.941936492919922</v>
      </c>
      <c r="G65" s="7">
        <v>33.67657470703125</v>
      </c>
      <c r="H65" s="7">
        <v>33.394393920898438</v>
      </c>
      <c r="I65" s="7">
        <v>33.433624267578125</v>
      </c>
      <c r="J65" s="7">
        <v>32.985542297363281</v>
      </c>
      <c r="K65" s="7">
        <v>32.791877746582031</v>
      </c>
      <c r="L65" s="7">
        <v>32.825355529785156</v>
      </c>
      <c r="M65" s="7">
        <v>33.599998474121094</v>
      </c>
      <c r="N65" s="7">
        <v>33.706645965576172</v>
      </c>
      <c r="O65" s="7">
        <v>33.891849517822266</v>
      </c>
      <c r="P65" s="7">
        <v>34.165851593017578</v>
      </c>
      <c r="Q65" s="7">
        <v>33.849803924560547</v>
      </c>
      <c r="R65" s="7">
        <v>34.888435363769531</v>
      </c>
      <c r="S65" s="7">
        <v>32.282321929931641</v>
      </c>
      <c r="T65" s="7">
        <v>31.305849075317383</v>
      </c>
      <c r="U65" s="7">
        <v>32.049911499023438</v>
      </c>
      <c r="V65" s="7">
        <v>31.747177124023438</v>
      </c>
      <c r="W65" s="7">
        <v>31.221715927124023</v>
      </c>
      <c r="X65" s="7">
        <v>30.863458633422852</v>
      </c>
      <c r="Y65" s="7">
        <v>30.460287094116211</v>
      </c>
      <c r="Z65" s="7">
        <v>30.45037841796875</v>
      </c>
      <c r="AA65" s="7">
        <v>30.553844451904297</v>
      </c>
      <c r="AB65" s="7">
        <v>30.602676391601563</v>
      </c>
      <c r="AC65" s="7">
        <v>30.419679641723633</v>
      </c>
      <c r="AD65" s="7"/>
      <c r="AE65" s="7"/>
      <c r="AG65" s="7">
        <f t="shared" si="0"/>
        <v>31.493277809836648</v>
      </c>
    </row>
    <row r="66" spans="1:33" x14ac:dyDescent="0.2">
      <c r="A66" s="5" t="s">
        <v>77</v>
      </c>
      <c r="B66" s="5" t="s">
        <v>270</v>
      </c>
      <c r="C66" s="6"/>
      <c r="D66" s="6"/>
      <c r="E66" s="6"/>
      <c r="F66" s="7">
        <v>54.502056121826172</v>
      </c>
      <c r="G66" s="7">
        <v>61.113166809082031</v>
      </c>
      <c r="H66" s="7">
        <v>58.285160064697266</v>
      </c>
      <c r="I66" s="7">
        <v>56.328418731689453</v>
      </c>
      <c r="J66" s="7">
        <v>56.639610290527344</v>
      </c>
      <c r="K66" s="7">
        <v>56.044338226318359</v>
      </c>
      <c r="L66" s="7">
        <v>54.825565338134766</v>
      </c>
      <c r="M66" s="7">
        <v>55.400001525878906</v>
      </c>
      <c r="N66" s="7">
        <v>56.859928131103516</v>
      </c>
      <c r="O66" s="7">
        <v>58.096385955810547</v>
      </c>
      <c r="P66" s="7">
        <v>58.456645965576172</v>
      </c>
      <c r="Q66" s="7">
        <v>60.733856201171875</v>
      </c>
      <c r="R66" s="7">
        <v>60.784271240234375</v>
      </c>
      <c r="S66" s="7">
        <v>59.804378509521484</v>
      </c>
      <c r="T66" s="7">
        <v>58.640224456787109</v>
      </c>
      <c r="U66" s="7">
        <v>59.822994232177734</v>
      </c>
      <c r="V66" s="7">
        <v>59.413139343261719</v>
      </c>
      <c r="W66" s="7">
        <v>61.745841979980469</v>
      </c>
      <c r="X66" s="7">
        <v>61.000667572021484</v>
      </c>
      <c r="Y66" s="7">
        <v>60.500049591064453</v>
      </c>
      <c r="Z66" s="7">
        <v>59.157848358154297</v>
      </c>
      <c r="AA66" s="7">
        <v>59.244220733642578</v>
      </c>
      <c r="AB66" s="7">
        <v>59.710029602050781</v>
      </c>
      <c r="AC66" s="7">
        <v>60.003810882568359</v>
      </c>
      <c r="AD66" s="7">
        <v>59.705265045166016</v>
      </c>
      <c r="AE66" s="7">
        <v>59.085697174072266</v>
      </c>
      <c r="AG66" s="7">
        <f t="shared" si="0"/>
        <v>59.98396960171786</v>
      </c>
    </row>
    <row r="67" spans="1:33" x14ac:dyDescent="0.2">
      <c r="A67" s="5" t="s">
        <v>75</v>
      </c>
      <c r="B67" s="5" t="s">
        <v>268</v>
      </c>
      <c r="C67" s="6"/>
      <c r="D67" s="6"/>
      <c r="E67" s="6"/>
      <c r="F67" s="7">
        <v>49.333423614501953</v>
      </c>
      <c r="G67" s="7">
        <v>49.34527587890625</v>
      </c>
      <c r="H67" s="7">
        <v>48.852615356445313</v>
      </c>
      <c r="I67" s="7">
        <v>49.993648529052734</v>
      </c>
      <c r="J67" s="7">
        <v>48.752342224121094</v>
      </c>
      <c r="K67" s="7">
        <v>49.064716339111328</v>
      </c>
      <c r="L67" s="7">
        <v>49.761810302734375</v>
      </c>
      <c r="M67" s="7">
        <v>49.599998474121094</v>
      </c>
      <c r="N67" s="7">
        <v>50.168167114257813</v>
      </c>
      <c r="O67" s="7">
        <v>50.136646270751953</v>
      </c>
      <c r="P67" s="7">
        <v>50.664600372314453</v>
      </c>
      <c r="Q67" s="7">
        <v>50.559043884277344</v>
      </c>
      <c r="R67" s="7">
        <v>49.568305969238281</v>
      </c>
      <c r="S67" s="7">
        <v>48.276863098144531</v>
      </c>
      <c r="T67" s="7">
        <v>47.801750183105469</v>
      </c>
      <c r="U67" s="7">
        <v>47.986766815185547</v>
      </c>
      <c r="V67" s="7">
        <v>49.374965667724609</v>
      </c>
      <c r="W67" s="7">
        <v>49.515209197998047</v>
      </c>
      <c r="X67" s="7">
        <v>48.184028625488281</v>
      </c>
      <c r="Y67" s="7">
        <v>48.257556915283203</v>
      </c>
      <c r="Z67" s="7">
        <v>48.324943542480469</v>
      </c>
      <c r="AA67" s="7">
        <v>48.005313873291016</v>
      </c>
      <c r="AB67" s="7">
        <v>47.750396728515625</v>
      </c>
      <c r="AC67" s="7">
        <v>47.328853607177734</v>
      </c>
      <c r="AD67" s="7">
        <v>45.464218139648438</v>
      </c>
      <c r="AE67" s="7">
        <v>45.554008483886719</v>
      </c>
      <c r="AG67" s="7">
        <f t="shared" ref="AG67:AG130" si="1">AVERAGE($R67:$AB67)</f>
        <v>48.458736419677734</v>
      </c>
    </row>
    <row r="68" spans="1:33" x14ac:dyDescent="0.2">
      <c r="A68" s="5" t="s">
        <v>78</v>
      </c>
      <c r="B68" s="5" t="s">
        <v>271</v>
      </c>
      <c r="C68" s="6"/>
      <c r="D68" s="6"/>
      <c r="E68" s="6"/>
      <c r="F68" s="7">
        <v>27.897994995117188</v>
      </c>
      <c r="G68" s="7">
        <v>27.198602676391602</v>
      </c>
      <c r="H68" s="7">
        <v>26.529018402099609</v>
      </c>
      <c r="I68" s="7">
        <v>26.081352233886719</v>
      </c>
      <c r="J68" s="7">
        <v>25.753767013549805</v>
      </c>
      <c r="K68" s="7">
        <v>25.427734375</v>
      </c>
      <c r="L68" s="7">
        <v>25.325393676757813</v>
      </c>
      <c r="M68" s="7">
        <v>25.100000381469727</v>
      </c>
      <c r="N68" s="7">
        <v>24.835262298583984</v>
      </c>
      <c r="O68" s="7">
        <v>24.787189483642578</v>
      </c>
      <c r="P68" s="7">
        <v>24.932533264160156</v>
      </c>
      <c r="Q68" s="7">
        <v>24.604818344116211</v>
      </c>
      <c r="R68" s="7">
        <v>24.585865020751953</v>
      </c>
      <c r="S68" s="7">
        <v>24.302431106567383</v>
      </c>
      <c r="T68" s="7">
        <v>24.147603988647461</v>
      </c>
      <c r="U68" s="7">
        <v>24.244117736816406</v>
      </c>
      <c r="V68" s="7">
        <v>24.905843734741211</v>
      </c>
      <c r="W68" s="7">
        <v>24.855350494384766</v>
      </c>
      <c r="X68" s="7">
        <v>24.546848297119141</v>
      </c>
      <c r="Y68" s="7">
        <v>24.488254547119141</v>
      </c>
      <c r="Z68" s="7">
        <v>24.24566650390625</v>
      </c>
      <c r="AA68" s="7">
        <v>24.004814147949219</v>
      </c>
      <c r="AB68" s="7">
        <v>23.705142974853516</v>
      </c>
      <c r="AC68" s="7">
        <v>23.537296295166016</v>
      </c>
      <c r="AD68" s="7">
        <v>23.215511322021484</v>
      </c>
      <c r="AE68" s="7">
        <v>22.775291442871094</v>
      </c>
      <c r="AG68" s="7">
        <f t="shared" si="1"/>
        <v>24.366539868441496</v>
      </c>
    </row>
    <row r="69" spans="1:33" x14ac:dyDescent="0.2">
      <c r="A69" s="5" t="s">
        <v>84</v>
      </c>
      <c r="B69" s="5" t="s">
        <v>277</v>
      </c>
      <c r="C69" s="6"/>
      <c r="D69" s="6"/>
      <c r="E69" s="6"/>
      <c r="F69" s="7">
        <v>16.523704528808594</v>
      </c>
      <c r="G69" s="7">
        <v>16.431404113769531</v>
      </c>
      <c r="H69" s="7">
        <v>16.499860763549805</v>
      </c>
      <c r="I69" s="7">
        <v>16.240894317626953</v>
      </c>
      <c r="J69" s="7">
        <v>16.108964920043945</v>
      </c>
      <c r="K69" s="7">
        <v>15.927000999450684</v>
      </c>
      <c r="L69" s="7">
        <v>15.919269561767578</v>
      </c>
      <c r="M69" s="7">
        <v>15.899999618530273</v>
      </c>
      <c r="N69" s="7">
        <v>15.856473922729492</v>
      </c>
      <c r="O69" s="7">
        <v>16.218406677246094</v>
      </c>
      <c r="P69" s="7">
        <v>16.270252227783203</v>
      </c>
      <c r="Q69" s="7">
        <v>15.858901977539063</v>
      </c>
      <c r="R69" s="7">
        <v>15.663558959960938</v>
      </c>
      <c r="S69" s="7">
        <v>15.604206085205078</v>
      </c>
      <c r="T69" s="7">
        <v>15.250414848327637</v>
      </c>
      <c r="U69" s="7">
        <v>15.382853507995605</v>
      </c>
      <c r="V69" s="7">
        <v>16.248430252075195</v>
      </c>
      <c r="W69" s="7">
        <v>16.364604949951172</v>
      </c>
      <c r="X69" s="7">
        <v>16.272186279296875</v>
      </c>
      <c r="Y69" s="7">
        <v>16.167814254760742</v>
      </c>
      <c r="Z69" s="7">
        <v>15.970171928405762</v>
      </c>
      <c r="AA69" s="7">
        <v>15.865015983581543</v>
      </c>
      <c r="AB69" s="7">
        <v>15.576093673706055</v>
      </c>
      <c r="AC69" s="7">
        <v>15.221318244934082</v>
      </c>
      <c r="AD69" s="7">
        <v>15.202729225158691</v>
      </c>
      <c r="AE69" s="7">
        <v>15.147697448730469</v>
      </c>
      <c r="AG69" s="7">
        <f t="shared" si="1"/>
        <v>15.851395520296963</v>
      </c>
    </row>
    <row r="70" spans="1:33" x14ac:dyDescent="0.2">
      <c r="A70" s="5" t="s">
        <v>80</v>
      </c>
      <c r="B70" s="5" t="s">
        <v>273</v>
      </c>
      <c r="C70" s="6"/>
      <c r="D70" s="6"/>
      <c r="E70" s="6"/>
      <c r="F70" s="7">
        <v>22.902858734130859</v>
      </c>
      <c r="G70" s="7">
        <v>22.243154525756836</v>
      </c>
      <c r="H70" s="7">
        <v>22.39405632019043</v>
      </c>
      <c r="I70" s="7">
        <v>22.282245635986328</v>
      </c>
      <c r="J70" s="7">
        <v>22.687395095825195</v>
      </c>
      <c r="K70" s="7">
        <v>23.024747848510742</v>
      </c>
      <c r="L70" s="7">
        <v>23.25334358215332</v>
      </c>
      <c r="M70" s="7">
        <v>23.100000381469727</v>
      </c>
      <c r="N70" s="7">
        <v>22.817043304443359</v>
      </c>
      <c r="O70" s="7">
        <v>22.685338973999023</v>
      </c>
      <c r="P70" s="7">
        <v>22.151052474975586</v>
      </c>
      <c r="Q70" s="7">
        <v>21.887847900390625</v>
      </c>
      <c r="R70" s="7">
        <v>21.939844131469727</v>
      </c>
      <c r="S70" s="7">
        <v>21.483024597167969</v>
      </c>
      <c r="T70" s="7">
        <v>20.8857421875</v>
      </c>
      <c r="U70" s="7">
        <v>21.54754638671875</v>
      </c>
      <c r="V70" s="7">
        <v>21.804803848266602</v>
      </c>
      <c r="W70" s="7">
        <v>21.196895599365234</v>
      </c>
      <c r="X70" s="7">
        <v>21.172609329223633</v>
      </c>
      <c r="Y70" s="7">
        <v>21.109090805053711</v>
      </c>
      <c r="Z70" s="7">
        <v>20.783535003662109</v>
      </c>
      <c r="AA70" s="7">
        <v>20.740846633911133</v>
      </c>
      <c r="AB70" s="7">
        <v>20.204658508300781</v>
      </c>
      <c r="AC70" s="7">
        <v>19.932491302490234</v>
      </c>
      <c r="AD70" s="7">
        <v>20.066373825073242</v>
      </c>
      <c r="AE70" s="7">
        <v>19.729753494262695</v>
      </c>
      <c r="AG70" s="7">
        <f t="shared" si="1"/>
        <v>21.169872457330879</v>
      </c>
    </row>
    <row r="71" spans="1:33" x14ac:dyDescent="0.2">
      <c r="A71" s="5" t="s">
        <v>79</v>
      </c>
      <c r="B71" s="5" t="s">
        <v>272</v>
      </c>
      <c r="C71" s="6"/>
      <c r="D71" s="6"/>
      <c r="E71" s="6"/>
      <c r="F71" s="7">
        <v>20.102558135986328</v>
      </c>
      <c r="G71" s="7">
        <v>19.8052978515625</v>
      </c>
      <c r="H71" s="7">
        <v>19.512468338012695</v>
      </c>
      <c r="I71" s="7">
        <v>19.583505630493164</v>
      </c>
      <c r="J71" s="7">
        <v>19.319620132446289</v>
      </c>
      <c r="K71" s="7">
        <v>19.358455657958984</v>
      </c>
      <c r="L71" s="7">
        <v>19.58216667175293</v>
      </c>
      <c r="M71" s="7">
        <v>19.399999618530273</v>
      </c>
      <c r="N71" s="7">
        <v>19.62339973449707</v>
      </c>
      <c r="O71" s="7">
        <v>19.762365341186523</v>
      </c>
      <c r="P71" s="7">
        <v>19.979429244995117</v>
      </c>
      <c r="Q71" s="7">
        <v>19.956010818481445</v>
      </c>
      <c r="R71" s="7">
        <v>19.933475494384766</v>
      </c>
      <c r="S71" s="7">
        <v>19.834018707275391</v>
      </c>
      <c r="T71" s="7">
        <v>19.530622482299805</v>
      </c>
      <c r="U71" s="7">
        <v>19.366785049438477</v>
      </c>
      <c r="V71" s="7">
        <v>19.5888671875</v>
      </c>
      <c r="W71" s="7">
        <v>19.205591201782227</v>
      </c>
      <c r="X71" s="7">
        <v>19.075899124145508</v>
      </c>
      <c r="Y71" s="7">
        <v>18.963539123535156</v>
      </c>
      <c r="Z71" s="7">
        <v>18.881797790527344</v>
      </c>
      <c r="AA71" s="7">
        <v>18.647932052612305</v>
      </c>
      <c r="AB71" s="7">
        <v>18.724573135375977</v>
      </c>
      <c r="AC71" s="7">
        <v>18.389829635620117</v>
      </c>
      <c r="AD71" s="7">
        <v>18.110591888427734</v>
      </c>
      <c r="AE71" s="7">
        <v>17.884134292602539</v>
      </c>
      <c r="AG71" s="7">
        <f t="shared" si="1"/>
        <v>19.250281940806996</v>
      </c>
    </row>
    <row r="72" spans="1:33" x14ac:dyDescent="0.2">
      <c r="A72" s="5" t="s">
        <v>82</v>
      </c>
      <c r="B72" s="5" t="s">
        <v>275</v>
      </c>
      <c r="C72" s="6"/>
      <c r="D72" s="6"/>
      <c r="E72" s="6"/>
      <c r="F72" s="7">
        <v>19.369518280029297</v>
      </c>
      <c r="G72" s="7">
        <v>19.460174560546875</v>
      </c>
      <c r="H72" s="7">
        <v>19.398761749267578</v>
      </c>
      <c r="I72" s="7">
        <v>19.15052604675293</v>
      </c>
      <c r="J72" s="7">
        <v>18.808059692382813</v>
      </c>
      <c r="K72" s="7">
        <v>19.057361602783203</v>
      </c>
      <c r="L72" s="7">
        <v>18.766124725341797</v>
      </c>
      <c r="M72" s="7">
        <v>18.899999618530273</v>
      </c>
      <c r="N72" s="7">
        <v>19.017946243286133</v>
      </c>
      <c r="O72" s="7">
        <v>18.63311767578125</v>
      </c>
      <c r="P72" s="7">
        <v>18.184938430786133</v>
      </c>
      <c r="Q72" s="7">
        <v>17.792617797851563</v>
      </c>
      <c r="R72" s="7">
        <v>18.212799072265625</v>
      </c>
      <c r="S72" s="7">
        <v>17.994657516479492</v>
      </c>
      <c r="T72" s="7">
        <v>17.12584114074707</v>
      </c>
      <c r="U72" s="7">
        <v>17.277395248413086</v>
      </c>
      <c r="V72" s="7">
        <v>17.586338043212891</v>
      </c>
      <c r="W72" s="7">
        <v>17.423772811889648</v>
      </c>
      <c r="X72" s="7">
        <v>17.086448669433594</v>
      </c>
      <c r="Y72" s="7">
        <v>17.51738166809082</v>
      </c>
      <c r="Z72" s="7">
        <v>17.642770767211914</v>
      </c>
      <c r="AA72" s="7">
        <v>17.466386795043945</v>
      </c>
      <c r="AB72" s="7">
        <v>17.88330078125</v>
      </c>
      <c r="AC72" s="7">
        <v>17.626981735229492</v>
      </c>
      <c r="AD72" s="7">
        <v>17.50091552734375</v>
      </c>
      <c r="AE72" s="7">
        <v>17.762594223022461</v>
      </c>
      <c r="AG72" s="7">
        <f t="shared" si="1"/>
        <v>17.565190228548918</v>
      </c>
    </row>
    <row r="73" spans="1:33" x14ac:dyDescent="0.2">
      <c r="A73" s="5" t="s">
        <v>81</v>
      </c>
      <c r="B73" s="5" t="s">
        <v>274</v>
      </c>
      <c r="C73" s="6"/>
      <c r="D73" s="6"/>
      <c r="E73" s="6"/>
      <c r="F73" s="7">
        <v>17.52037239074707</v>
      </c>
      <c r="G73" s="7">
        <v>17.409038543701172</v>
      </c>
      <c r="H73" s="7">
        <v>17.113576889038086</v>
      </c>
      <c r="I73" s="7">
        <v>16.838338851928711</v>
      </c>
      <c r="J73" s="7">
        <v>16.566535949707031</v>
      </c>
      <c r="K73" s="7">
        <v>16.274158477783203</v>
      </c>
      <c r="L73" s="7">
        <v>16.060955047607422</v>
      </c>
      <c r="M73" s="7">
        <v>15.899999618530273</v>
      </c>
      <c r="N73" s="7">
        <v>15.904167175292969</v>
      </c>
      <c r="O73" s="7">
        <v>15.898274421691895</v>
      </c>
      <c r="P73" s="7">
        <v>15.955290794372559</v>
      </c>
      <c r="Q73" s="7">
        <v>15.882673263549805</v>
      </c>
      <c r="R73" s="7">
        <v>15.659989356994629</v>
      </c>
      <c r="S73" s="7">
        <v>15.769277572631836</v>
      </c>
      <c r="T73" s="7">
        <v>15.778558731079102</v>
      </c>
      <c r="U73" s="7">
        <v>16.220199584960938</v>
      </c>
      <c r="V73" s="7">
        <v>16.777746200561523</v>
      </c>
      <c r="W73" s="7">
        <v>16.644983291625977</v>
      </c>
      <c r="X73" s="7">
        <v>16.543943405151367</v>
      </c>
      <c r="Y73" s="7">
        <v>16.415397644042969</v>
      </c>
      <c r="Z73" s="7">
        <v>16.314212799072266</v>
      </c>
      <c r="AA73" s="7">
        <v>15.936738014221191</v>
      </c>
      <c r="AB73" s="7">
        <v>14.963448524475098</v>
      </c>
      <c r="AC73" s="7">
        <v>14.995302200317383</v>
      </c>
      <c r="AD73" s="7">
        <v>14.743144989013672</v>
      </c>
      <c r="AE73" s="7">
        <v>14.404099464416504</v>
      </c>
      <c r="AG73" s="7">
        <f t="shared" si="1"/>
        <v>16.093135920437899</v>
      </c>
    </row>
    <row r="74" spans="1:33" x14ac:dyDescent="0.2">
      <c r="A74" s="5" t="s">
        <v>85</v>
      </c>
      <c r="B74" s="5" t="s">
        <v>278</v>
      </c>
      <c r="C74" s="6"/>
      <c r="D74" s="6"/>
      <c r="E74" s="6"/>
      <c r="F74" s="7">
        <v>23.195154190063477</v>
      </c>
      <c r="G74" s="7">
        <v>22.719150543212891</v>
      </c>
      <c r="H74" s="7">
        <v>22.716701507568359</v>
      </c>
      <c r="I74" s="7">
        <v>22.995506286621094</v>
      </c>
      <c r="J74" s="7">
        <v>22.788869857788086</v>
      </c>
      <c r="K74" s="7">
        <v>22.53297233581543</v>
      </c>
      <c r="L74" s="7">
        <v>22.430665969848633</v>
      </c>
      <c r="M74" s="7">
        <v>21.899999618530273</v>
      </c>
      <c r="N74" s="7">
        <v>22.326055526733398</v>
      </c>
      <c r="O74" s="7">
        <v>22.810287475585938</v>
      </c>
      <c r="P74" s="7">
        <v>22.627851486206055</v>
      </c>
      <c r="Q74" s="7">
        <v>22.138080596923828</v>
      </c>
      <c r="R74" s="7">
        <v>21.99464225769043</v>
      </c>
      <c r="S74" s="7">
        <v>21.489452362060547</v>
      </c>
      <c r="T74" s="7">
        <v>20.988714218139648</v>
      </c>
      <c r="U74" s="7">
        <v>20.731019973754883</v>
      </c>
      <c r="V74" s="7">
        <v>20.963779449462891</v>
      </c>
      <c r="W74" s="7">
        <v>20.529436111450195</v>
      </c>
      <c r="X74" s="7">
        <v>20.250112533569336</v>
      </c>
      <c r="Y74" s="7">
        <v>20.445072174072266</v>
      </c>
      <c r="Z74" s="7">
        <v>20.269643783569336</v>
      </c>
      <c r="AA74" s="7">
        <v>20.151824951171875</v>
      </c>
      <c r="AB74" s="7">
        <v>19.85893440246582</v>
      </c>
      <c r="AC74" s="7">
        <v>19.710121154785156</v>
      </c>
      <c r="AD74" s="7">
        <v>19.569618225097656</v>
      </c>
      <c r="AE74" s="7">
        <v>19.66254997253418</v>
      </c>
      <c r="AG74" s="7">
        <f t="shared" si="1"/>
        <v>20.697512019764293</v>
      </c>
    </row>
    <row r="75" spans="1:33" x14ac:dyDescent="0.2">
      <c r="A75" s="5" t="s">
        <v>86</v>
      </c>
      <c r="B75" s="5" t="s">
        <v>279</v>
      </c>
      <c r="C75" s="6"/>
      <c r="D75" s="6"/>
      <c r="E75" s="6"/>
      <c r="F75" s="7">
        <v>30.580818176269531</v>
      </c>
      <c r="G75" s="7">
        <v>29.995689392089844</v>
      </c>
      <c r="H75" s="7">
        <v>28.973577499389648</v>
      </c>
      <c r="I75" s="7">
        <v>28.638282775878906</v>
      </c>
      <c r="J75" s="7">
        <v>28.368341445922852</v>
      </c>
      <c r="K75" s="7">
        <v>27.989559173583984</v>
      </c>
      <c r="L75" s="7">
        <v>27.72117805480957</v>
      </c>
      <c r="M75" s="7">
        <v>27.100000381469727</v>
      </c>
      <c r="N75" s="7">
        <v>26.924554824829102</v>
      </c>
      <c r="O75" s="7">
        <v>26.917469024658203</v>
      </c>
      <c r="P75" s="7">
        <v>27.143863677978516</v>
      </c>
      <c r="Q75" s="7">
        <v>27.108978271484375</v>
      </c>
      <c r="R75" s="7">
        <v>27.308574676513672</v>
      </c>
      <c r="S75" s="7">
        <v>27.035728454589844</v>
      </c>
      <c r="T75" s="7">
        <v>26.700822830200195</v>
      </c>
      <c r="U75" s="7">
        <v>27.255178451538086</v>
      </c>
      <c r="V75" s="7">
        <v>28.857276916503906</v>
      </c>
      <c r="W75" s="7">
        <v>28.593011856079102</v>
      </c>
      <c r="X75" s="7">
        <v>28.205343246459961</v>
      </c>
      <c r="Y75" s="7">
        <v>28.993444442749023</v>
      </c>
      <c r="Z75" s="7">
        <v>29.640575408935547</v>
      </c>
      <c r="AA75" s="7">
        <v>29.772014617919922</v>
      </c>
      <c r="AB75" s="7">
        <v>29.302024841308594</v>
      </c>
      <c r="AC75" s="7">
        <v>28.923198699951172</v>
      </c>
      <c r="AD75" s="7">
        <v>28.481582641601563</v>
      </c>
      <c r="AE75" s="7">
        <v>28.414623260498047</v>
      </c>
      <c r="AG75" s="7">
        <f t="shared" si="1"/>
        <v>28.333090522072531</v>
      </c>
    </row>
    <row r="76" spans="1:33" x14ac:dyDescent="0.2">
      <c r="A76" s="5" t="s">
        <v>87</v>
      </c>
      <c r="B76" s="5" t="s">
        <v>280</v>
      </c>
      <c r="C76" s="6"/>
      <c r="D76" s="6"/>
      <c r="E76" s="6"/>
      <c r="F76" s="7">
        <v>33.357242584228516</v>
      </c>
      <c r="G76" s="7">
        <v>32.751976013183594</v>
      </c>
      <c r="H76" s="7">
        <v>32.451801300048828</v>
      </c>
      <c r="I76" s="7">
        <v>33.571475982666016</v>
      </c>
      <c r="J76" s="7">
        <v>34.930057525634766</v>
      </c>
      <c r="K76" s="7">
        <v>36.497947692871094</v>
      </c>
      <c r="L76" s="7">
        <v>36.237159729003906</v>
      </c>
      <c r="M76" s="7">
        <v>36.400001525878906</v>
      </c>
      <c r="N76" s="7">
        <v>36.225082397460938</v>
      </c>
      <c r="O76" s="7">
        <v>35.782207489013672</v>
      </c>
      <c r="P76" s="7">
        <v>34.073287963867188</v>
      </c>
      <c r="Q76" s="7">
        <v>33.184425354003906</v>
      </c>
      <c r="R76" s="7">
        <v>33.7568359375</v>
      </c>
      <c r="S76" s="7">
        <v>32.041576385498047</v>
      </c>
      <c r="T76" s="7">
        <v>31.827669143676758</v>
      </c>
      <c r="U76" s="7">
        <v>32.923763275146484</v>
      </c>
      <c r="V76" s="7">
        <v>35.284767150878906</v>
      </c>
      <c r="W76" s="7">
        <v>36.084236145019531</v>
      </c>
      <c r="X76" s="7">
        <v>35.534835815429688</v>
      </c>
      <c r="Y76" s="7">
        <v>36.555469512939453</v>
      </c>
      <c r="Z76" s="7">
        <v>36.460952758789063</v>
      </c>
      <c r="AA76" s="7">
        <v>35.815967559814453</v>
      </c>
      <c r="AB76" s="7">
        <v>35.287887573242188</v>
      </c>
      <c r="AC76" s="7">
        <v>34.687286376953125</v>
      </c>
      <c r="AD76" s="7">
        <v>34.089149475097656</v>
      </c>
      <c r="AE76" s="7">
        <v>33.230480194091797</v>
      </c>
      <c r="AG76" s="7">
        <f t="shared" si="1"/>
        <v>34.688541932539508</v>
      </c>
    </row>
    <row r="77" spans="1:33" x14ac:dyDescent="0.2">
      <c r="A77" s="5" t="s">
        <v>89</v>
      </c>
      <c r="B77" s="5" t="s">
        <v>282</v>
      </c>
      <c r="C77" s="6"/>
      <c r="D77" s="6"/>
      <c r="E77" s="6"/>
      <c r="F77" s="7">
        <v>11.151355743408203</v>
      </c>
      <c r="G77" s="7">
        <v>11.191974639892578</v>
      </c>
      <c r="H77" s="7">
        <v>11.120049476623535</v>
      </c>
      <c r="I77" s="7">
        <v>11.105954170227051</v>
      </c>
      <c r="J77" s="7">
        <v>11.053420066833496</v>
      </c>
      <c r="K77" s="7">
        <v>11.210633277893066</v>
      </c>
      <c r="L77" s="7">
        <v>11.323529243469238</v>
      </c>
      <c r="M77" s="7">
        <v>11.199999809265137</v>
      </c>
      <c r="N77" s="7">
        <v>11.286359786987305</v>
      </c>
      <c r="O77" s="7">
        <v>11.398764610290527</v>
      </c>
      <c r="P77" s="7">
        <v>11.274770736694336</v>
      </c>
      <c r="Q77" s="7">
        <v>11.059144973754883</v>
      </c>
      <c r="R77" s="7">
        <v>10.952668190002441</v>
      </c>
      <c r="S77" s="7">
        <v>10.755595207214355</v>
      </c>
      <c r="T77" s="7">
        <v>10.677128791809082</v>
      </c>
      <c r="U77" s="7">
        <v>10.791587829589844</v>
      </c>
      <c r="V77" s="7">
        <v>11.331862449645996</v>
      </c>
      <c r="W77" s="7">
        <v>11.05793285369873</v>
      </c>
      <c r="X77" s="7">
        <v>11.084731101989746</v>
      </c>
      <c r="Y77" s="7">
        <v>10.985761642456055</v>
      </c>
      <c r="Z77" s="7">
        <v>10.768731117248535</v>
      </c>
      <c r="AA77" s="7">
        <v>10.660846710205078</v>
      </c>
      <c r="AB77" s="7">
        <v>10.525887489318848</v>
      </c>
      <c r="AC77" s="7">
        <v>10.44891357421875</v>
      </c>
      <c r="AD77" s="7">
        <v>10.317000389099121</v>
      </c>
      <c r="AE77" s="7">
        <v>10.207539558410645</v>
      </c>
      <c r="AG77" s="7">
        <f t="shared" si="1"/>
        <v>10.872066671198064</v>
      </c>
    </row>
    <row r="78" spans="1:33" x14ac:dyDescent="0.2">
      <c r="A78" s="5" t="s">
        <v>88</v>
      </c>
      <c r="B78" s="5" t="s">
        <v>281</v>
      </c>
      <c r="C78" s="6"/>
      <c r="D78" s="6"/>
      <c r="E78" s="6"/>
      <c r="F78" s="7">
        <v>19.879405975341797</v>
      </c>
      <c r="G78" s="7">
        <v>19.826574325561523</v>
      </c>
      <c r="H78" s="7">
        <v>19.561435699462891</v>
      </c>
      <c r="I78" s="7">
        <v>19.744281768798828</v>
      </c>
      <c r="J78" s="7">
        <v>19.619192123413086</v>
      </c>
      <c r="K78" s="7">
        <v>19.472986221313477</v>
      </c>
      <c r="L78" s="7">
        <v>19.348215103149414</v>
      </c>
      <c r="M78" s="7">
        <v>19.399999618530273</v>
      </c>
      <c r="N78" s="7">
        <v>19.242380142211914</v>
      </c>
      <c r="O78" s="7">
        <v>18.994840621948242</v>
      </c>
      <c r="P78" s="7">
        <v>18.755823135375977</v>
      </c>
      <c r="Q78" s="7">
        <v>18.314834594726563</v>
      </c>
      <c r="R78" s="7">
        <v>18.128265380859375</v>
      </c>
      <c r="S78" s="7">
        <v>17.720880508422852</v>
      </c>
      <c r="T78" s="7">
        <v>17.423177719116211</v>
      </c>
      <c r="U78" s="7">
        <v>17.338254928588867</v>
      </c>
      <c r="V78" s="7">
        <v>17.136589050292969</v>
      </c>
      <c r="W78" s="7">
        <v>17.28498649597168</v>
      </c>
      <c r="X78" s="7">
        <v>17.546258926391602</v>
      </c>
      <c r="Y78" s="7">
        <v>17.682214736938477</v>
      </c>
      <c r="Z78" s="7">
        <v>17.796520233154297</v>
      </c>
      <c r="AA78" s="7">
        <v>17.598014831542969</v>
      </c>
      <c r="AB78" s="7">
        <v>17.762371063232422</v>
      </c>
      <c r="AC78" s="7">
        <v>17.971538543701172</v>
      </c>
      <c r="AD78" s="7">
        <v>17.997432708740234</v>
      </c>
      <c r="AE78" s="7">
        <v>17.973659515380859</v>
      </c>
      <c r="AG78" s="7">
        <f t="shared" si="1"/>
        <v>17.583412170410156</v>
      </c>
    </row>
    <row r="79" spans="1:33" x14ac:dyDescent="0.2">
      <c r="A79" s="5" t="s">
        <v>90</v>
      </c>
      <c r="B79" s="5" t="s">
        <v>283</v>
      </c>
      <c r="C79" s="6"/>
      <c r="D79" s="6"/>
      <c r="E79" s="6"/>
      <c r="F79" s="7">
        <v>43.797264099121094</v>
      </c>
      <c r="G79" s="7">
        <v>42.118503570556641</v>
      </c>
      <c r="H79" s="7">
        <v>44.144142150878906</v>
      </c>
      <c r="I79" s="7">
        <v>44.199577331542969</v>
      </c>
      <c r="J79" s="7">
        <v>43.798912048339844</v>
      </c>
      <c r="K79" s="7">
        <v>42.925125122070313</v>
      </c>
      <c r="L79" s="7">
        <v>43.236701965332031</v>
      </c>
      <c r="M79" s="7">
        <v>43.200000762939453</v>
      </c>
      <c r="N79" s="7">
        <v>43.458026885986328</v>
      </c>
      <c r="O79" s="7">
        <v>42.275424957275391</v>
      </c>
      <c r="P79" s="7">
        <v>41.552646636962891</v>
      </c>
      <c r="Q79" s="7">
        <v>41.452049255371094</v>
      </c>
      <c r="R79" s="7">
        <v>40.917495727539063</v>
      </c>
      <c r="S79" s="7">
        <v>39.840141296386719</v>
      </c>
      <c r="T79" s="7">
        <v>40.063655853271484</v>
      </c>
      <c r="U79" s="7">
        <v>39.372631072998047</v>
      </c>
      <c r="V79" s="7">
        <v>40.136619567871094</v>
      </c>
      <c r="W79" s="7">
        <v>39.414142608642578</v>
      </c>
      <c r="X79" s="7">
        <v>38.916664123535156</v>
      </c>
      <c r="Y79" s="7">
        <v>39.309165954589844</v>
      </c>
      <c r="Z79" s="7">
        <v>38.458457946777344</v>
      </c>
      <c r="AA79" s="7">
        <v>38.089981079101563</v>
      </c>
      <c r="AB79" s="7">
        <v>38.602153778076172</v>
      </c>
      <c r="AC79" s="7">
        <v>38.616275787353516</v>
      </c>
      <c r="AD79" s="7">
        <v>37.860313415527344</v>
      </c>
      <c r="AE79" s="7">
        <v>36.555557250976563</v>
      </c>
      <c r="AG79" s="7">
        <f t="shared" si="1"/>
        <v>39.374646273526281</v>
      </c>
    </row>
    <row r="80" spans="1:33" x14ac:dyDescent="0.2">
      <c r="A80" s="5" t="s">
        <v>91</v>
      </c>
      <c r="B80" s="5" t="s">
        <v>284</v>
      </c>
      <c r="C80" s="6"/>
      <c r="D80" s="6"/>
      <c r="E80" s="6"/>
      <c r="F80" s="7">
        <v>34.134407043457031</v>
      </c>
      <c r="G80" s="7">
        <v>34.340202331542969</v>
      </c>
      <c r="H80" s="7">
        <v>34.052616119384766</v>
      </c>
      <c r="I80" s="7">
        <v>34.041847229003906</v>
      </c>
      <c r="J80" s="7">
        <v>34.33819580078125</v>
      </c>
      <c r="K80" s="7">
        <v>34.463764190673828</v>
      </c>
      <c r="L80" s="7">
        <v>34.353057861328125</v>
      </c>
      <c r="M80" s="7">
        <v>34.299999237060547</v>
      </c>
      <c r="N80" s="7">
        <v>34.560859680175781</v>
      </c>
      <c r="O80" s="7">
        <v>35.199962615966797</v>
      </c>
      <c r="P80" s="7">
        <v>35.457317352294922</v>
      </c>
      <c r="Q80" s="7">
        <v>35.138744354248047</v>
      </c>
      <c r="R80" s="7">
        <v>34.860908508300781</v>
      </c>
      <c r="S80" s="7">
        <v>33.373394012451172</v>
      </c>
      <c r="T80" s="7">
        <v>32.863845825195313</v>
      </c>
      <c r="U80" s="7">
        <v>33.602081298828125</v>
      </c>
      <c r="V80" s="7">
        <v>33.472118377685547</v>
      </c>
      <c r="W80" s="7">
        <v>32.444923400878906</v>
      </c>
      <c r="X80" s="7">
        <v>32.042758941650391</v>
      </c>
      <c r="Y80" s="7">
        <v>31.745941162109375</v>
      </c>
      <c r="Z80" s="7">
        <v>31.359832763671875</v>
      </c>
      <c r="AA80" s="7">
        <v>30.866184234619141</v>
      </c>
      <c r="AB80" s="7">
        <v>30.547565460205078</v>
      </c>
      <c r="AC80" s="7">
        <v>29.824079513549805</v>
      </c>
      <c r="AD80" s="7">
        <v>29.436239242553711</v>
      </c>
      <c r="AE80" s="7">
        <v>29.205049514770508</v>
      </c>
      <c r="AG80" s="7">
        <f t="shared" si="1"/>
        <v>32.470868544145063</v>
      </c>
    </row>
    <row r="81" spans="1:33" x14ac:dyDescent="0.2">
      <c r="A81" s="5" t="s">
        <v>96</v>
      </c>
      <c r="B81" s="5" t="s">
        <v>289</v>
      </c>
      <c r="C81" s="6"/>
      <c r="D81" s="6"/>
      <c r="E81" s="6"/>
      <c r="F81" s="7">
        <v>27.955377578735352</v>
      </c>
      <c r="G81" s="7">
        <v>27.604015350341797</v>
      </c>
      <c r="H81" s="7">
        <v>27.292457580566406</v>
      </c>
      <c r="I81" s="7">
        <v>27.514871597290039</v>
      </c>
      <c r="J81" s="7">
        <v>27.501424789428711</v>
      </c>
      <c r="K81" s="7">
        <v>28.758432388305664</v>
      </c>
      <c r="L81" s="7">
        <v>28.201581954956055</v>
      </c>
      <c r="M81" s="7">
        <v>27.5</v>
      </c>
      <c r="N81" s="7">
        <v>27.472711563110352</v>
      </c>
      <c r="O81" s="7">
        <v>27.097562789916992</v>
      </c>
      <c r="P81" s="7">
        <v>27.145412445068359</v>
      </c>
      <c r="Q81" s="7">
        <v>27.113510131835938</v>
      </c>
      <c r="R81" s="7">
        <v>27.052770614624023</v>
      </c>
      <c r="S81" s="7">
        <v>26.933448791503906</v>
      </c>
      <c r="T81" s="7">
        <v>26.635246276855469</v>
      </c>
      <c r="U81" s="7">
        <v>26.835481643676758</v>
      </c>
      <c r="V81" s="7">
        <v>26.993171691894531</v>
      </c>
      <c r="W81" s="7">
        <v>26.565647125244141</v>
      </c>
      <c r="X81" s="7">
        <v>26.394304275512695</v>
      </c>
      <c r="Y81" s="7">
        <v>26.375358581542969</v>
      </c>
      <c r="Z81" s="7">
        <v>26.340463638305664</v>
      </c>
      <c r="AA81" s="7">
        <v>26.302646636962891</v>
      </c>
      <c r="AB81" s="7">
        <v>26.290456771850586</v>
      </c>
      <c r="AC81" s="7">
        <v>26.205989837646484</v>
      </c>
      <c r="AD81" s="7">
        <v>26.117546081542969</v>
      </c>
      <c r="AE81" s="7">
        <v>26.139612197875977</v>
      </c>
      <c r="AG81" s="7">
        <f t="shared" si="1"/>
        <v>26.610817822543058</v>
      </c>
    </row>
    <row r="82" spans="1:33" x14ac:dyDescent="0.2">
      <c r="A82" s="5" t="s">
        <v>97</v>
      </c>
      <c r="B82" s="5" t="s">
        <v>290</v>
      </c>
      <c r="C82" s="6"/>
      <c r="D82" s="6"/>
      <c r="E82" s="6"/>
      <c r="F82" s="7">
        <v>19.993951797485352</v>
      </c>
      <c r="G82" s="7">
        <v>20.597726821899414</v>
      </c>
      <c r="H82" s="7">
        <v>19.702672958374023</v>
      </c>
      <c r="I82" s="7">
        <v>19.413557052612305</v>
      </c>
      <c r="J82" s="7">
        <v>19.612697601318359</v>
      </c>
      <c r="K82" s="7">
        <v>20.051515579223633</v>
      </c>
      <c r="L82" s="7">
        <v>20.317750930786133</v>
      </c>
      <c r="M82" s="7">
        <v>20.100000381469727</v>
      </c>
      <c r="N82" s="7">
        <v>20.236732482910156</v>
      </c>
      <c r="O82" s="7">
        <v>20.2022705078125</v>
      </c>
      <c r="P82" s="7">
        <v>19.327577590942383</v>
      </c>
      <c r="Q82" s="7">
        <v>18.792577743530273</v>
      </c>
      <c r="R82" s="7">
        <v>18.138275146484375</v>
      </c>
      <c r="S82" s="7">
        <v>17.654520034790039</v>
      </c>
      <c r="T82" s="7">
        <v>17.833316802978516</v>
      </c>
      <c r="U82" s="7">
        <v>18.18280029296875</v>
      </c>
      <c r="V82" s="7">
        <v>19.015174865722656</v>
      </c>
      <c r="W82" s="7">
        <v>19.474382400512695</v>
      </c>
      <c r="X82" s="7">
        <v>19.596546173095703</v>
      </c>
      <c r="Y82" s="7">
        <v>19.61439323425293</v>
      </c>
      <c r="Z82" s="7">
        <v>19.863498687744141</v>
      </c>
      <c r="AA82" s="7">
        <v>20.180021286010742</v>
      </c>
      <c r="AB82" s="7">
        <v>20.423225402832031</v>
      </c>
      <c r="AC82" s="7">
        <v>20.619384765625</v>
      </c>
      <c r="AD82" s="7">
        <v>20.864864349365234</v>
      </c>
      <c r="AE82" s="7">
        <v>20.778236389160156</v>
      </c>
      <c r="AG82" s="7">
        <f t="shared" si="1"/>
        <v>19.088741302490234</v>
      </c>
    </row>
    <row r="83" spans="1:33" x14ac:dyDescent="0.2">
      <c r="A83" s="5" t="s">
        <v>92</v>
      </c>
      <c r="B83" s="5" t="s">
        <v>285</v>
      </c>
      <c r="C83" s="6"/>
      <c r="D83" s="6"/>
      <c r="E83" s="6"/>
      <c r="F83" s="7">
        <v>41.406406402587891</v>
      </c>
      <c r="G83" s="7">
        <v>41.612583160400391</v>
      </c>
      <c r="H83" s="7">
        <v>42.307689666748047</v>
      </c>
      <c r="I83" s="7">
        <v>41.158241271972656</v>
      </c>
      <c r="J83" s="7">
        <v>39.8309326171875</v>
      </c>
      <c r="K83" s="7">
        <v>40.332695007324219</v>
      </c>
      <c r="L83" s="7">
        <v>40.819683074951172</v>
      </c>
      <c r="M83" s="7">
        <v>41.200000762939453</v>
      </c>
      <c r="N83" s="7">
        <v>39.605033874511719</v>
      </c>
      <c r="O83" s="7">
        <v>41.55035400390625</v>
      </c>
      <c r="P83" s="7">
        <v>39.497291564941406</v>
      </c>
      <c r="Q83" s="7">
        <v>39.745471954345703</v>
      </c>
      <c r="R83" s="7">
        <v>39.538829803466797</v>
      </c>
      <c r="S83" s="7">
        <v>39.677822113037109</v>
      </c>
      <c r="T83" s="7">
        <v>38.662586212158203</v>
      </c>
      <c r="U83" s="7">
        <v>38.455287933349609</v>
      </c>
      <c r="V83" s="7">
        <v>39.117317199707031</v>
      </c>
      <c r="W83" s="7">
        <v>38.768276214599609</v>
      </c>
      <c r="X83" s="7">
        <v>38.472244262695313</v>
      </c>
      <c r="Y83" s="7">
        <v>39.697540283203125</v>
      </c>
      <c r="Z83" s="7">
        <v>38.092235565185547</v>
      </c>
      <c r="AA83" s="7">
        <v>37.549636840820313</v>
      </c>
      <c r="AB83" s="7">
        <v>37.509670257568359</v>
      </c>
      <c r="AC83" s="7">
        <v>37.041721343994141</v>
      </c>
      <c r="AD83" s="7">
        <v>36.371707916259766</v>
      </c>
      <c r="AE83" s="7">
        <v>35.561065673828125</v>
      </c>
      <c r="AG83" s="7">
        <f t="shared" si="1"/>
        <v>38.68558606234464</v>
      </c>
    </row>
    <row r="84" spans="1:33" x14ac:dyDescent="0.2">
      <c r="A84" s="5" t="s">
        <v>98</v>
      </c>
      <c r="B84" s="5" t="s">
        <v>291</v>
      </c>
      <c r="C84" s="6"/>
      <c r="D84" s="6"/>
      <c r="E84" s="6"/>
      <c r="F84" s="7">
        <v>31.470993041992188</v>
      </c>
      <c r="G84" s="7">
        <v>31.436962127685547</v>
      </c>
      <c r="H84" s="7">
        <v>31.420928955078125</v>
      </c>
      <c r="I84" s="7">
        <v>30.900508880615234</v>
      </c>
      <c r="J84" s="7">
        <v>30.825691223144531</v>
      </c>
      <c r="K84" s="7">
        <v>30.711467742919922</v>
      </c>
      <c r="L84" s="7">
        <v>30.70869255065918</v>
      </c>
      <c r="M84" s="7">
        <v>30.600000381469727</v>
      </c>
      <c r="N84" s="7">
        <v>30.591608047485352</v>
      </c>
      <c r="O84" s="7">
        <v>30.856250762939453</v>
      </c>
      <c r="P84" s="7">
        <v>30.827198028564453</v>
      </c>
      <c r="Q84" s="7">
        <v>30.898992538452148</v>
      </c>
      <c r="R84" s="7">
        <v>30.513671875</v>
      </c>
      <c r="S84" s="7">
        <v>30.091955184936523</v>
      </c>
      <c r="T84" s="7">
        <v>29.942132949829102</v>
      </c>
      <c r="U84" s="7">
        <v>29.758358001708984</v>
      </c>
      <c r="V84" s="7">
        <v>30.448429107666016</v>
      </c>
      <c r="W84" s="7">
        <v>29.988029479980469</v>
      </c>
      <c r="X84" s="7">
        <v>29.737014770507813</v>
      </c>
      <c r="Y84" s="7">
        <v>29.800823211669922</v>
      </c>
      <c r="Z84" s="7">
        <v>29.956605911254883</v>
      </c>
      <c r="AA84" s="7">
        <v>29.273164749145508</v>
      </c>
      <c r="AB84" s="7">
        <v>29.130146026611328</v>
      </c>
      <c r="AC84" s="7">
        <v>28.663766860961914</v>
      </c>
      <c r="AD84" s="7">
        <v>27.807573318481445</v>
      </c>
      <c r="AE84" s="7">
        <v>27.923810958862305</v>
      </c>
      <c r="AG84" s="7">
        <f t="shared" si="1"/>
        <v>29.876393751664594</v>
      </c>
    </row>
    <row r="85" spans="1:33" x14ac:dyDescent="0.2">
      <c r="A85" s="5" t="s">
        <v>107</v>
      </c>
      <c r="B85" s="5" t="s">
        <v>300</v>
      </c>
      <c r="C85" s="6"/>
      <c r="D85" s="6"/>
      <c r="E85" s="6"/>
      <c r="F85" s="7">
        <v>30.864036560058594</v>
      </c>
      <c r="G85" s="7">
        <v>30.207363128662109</v>
      </c>
      <c r="H85" s="7">
        <v>31.311120986938477</v>
      </c>
      <c r="I85" s="7">
        <v>30.969381332397461</v>
      </c>
      <c r="J85" s="7">
        <v>30.827054977416992</v>
      </c>
      <c r="K85" s="7">
        <v>31.16090202331543</v>
      </c>
      <c r="L85" s="7">
        <v>30.999614715576172</v>
      </c>
      <c r="M85" s="7">
        <v>30.5</v>
      </c>
      <c r="N85" s="7">
        <v>30.136983871459961</v>
      </c>
      <c r="O85" s="7">
        <v>29.918586730957031</v>
      </c>
      <c r="P85" s="7">
        <v>29.575403213500977</v>
      </c>
      <c r="Q85" s="7">
        <v>29.086082458496094</v>
      </c>
      <c r="R85" s="7">
        <v>28.28407096862793</v>
      </c>
      <c r="S85" s="7">
        <v>27.558586120605469</v>
      </c>
      <c r="T85" s="7">
        <v>27.388677597045898</v>
      </c>
      <c r="U85" s="7">
        <v>27.988679885864258</v>
      </c>
      <c r="V85" s="7">
        <v>28.815574645996094</v>
      </c>
      <c r="W85" s="7">
        <v>28.778287887573242</v>
      </c>
      <c r="X85" s="7">
        <v>28.347803115844727</v>
      </c>
      <c r="Y85" s="7">
        <v>27.804187774658203</v>
      </c>
      <c r="Z85" s="7">
        <v>27.527027130126953</v>
      </c>
      <c r="AA85" s="7">
        <v>27.240327835083008</v>
      </c>
      <c r="AB85" s="7">
        <v>27.050064086914063</v>
      </c>
      <c r="AC85" s="7">
        <v>26.988088607788086</v>
      </c>
      <c r="AD85" s="7">
        <v>26.834877014160156</v>
      </c>
      <c r="AE85" s="7">
        <v>26.365018844604492</v>
      </c>
      <c r="AG85" s="7">
        <f t="shared" si="1"/>
        <v>27.889389731667258</v>
      </c>
    </row>
    <row r="86" spans="1:33" x14ac:dyDescent="0.2">
      <c r="A86" s="5" t="s">
        <v>99</v>
      </c>
      <c r="B86" s="5" t="s">
        <v>292</v>
      </c>
      <c r="C86" s="6"/>
      <c r="D86" s="6"/>
      <c r="E86" s="6"/>
      <c r="F86" s="7">
        <v>33.815437316894531</v>
      </c>
      <c r="G86" s="7">
        <v>33.721988677978516</v>
      </c>
      <c r="H86" s="7">
        <v>33.508922576904297</v>
      </c>
      <c r="I86" s="7">
        <v>33.123695373535156</v>
      </c>
      <c r="J86" s="7">
        <v>33.2589111328125</v>
      </c>
      <c r="K86" s="7">
        <v>33.330646514892578</v>
      </c>
      <c r="L86" s="7">
        <v>33.741569519042969</v>
      </c>
      <c r="M86" s="7">
        <v>34.099998474121094</v>
      </c>
      <c r="N86" s="7">
        <v>34.086593627929688</v>
      </c>
      <c r="O86" s="7">
        <v>34.129409790039063</v>
      </c>
      <c r="P86" s="7">
        <v>34.121204376220703</v>
      </c>
      <c r="Q86" s="7">
        <v>33.188388824462891</v>
      </c>
      <c r="R86" s="7">
        <v>33.198558807373047</v>
      </c>
      <c r="S86" s="7">
        <v>33.292621612548828</v>
      </c>
      <c r="T86" s="7">
        <v>32.542270660400391</v>
      </c>
      <c r="U86" s="7">
        <v>31.344879150390625</v>
      </c>
      <c r="V86" s="7">
        <v>30.13751220703125</v>
      </c>
      <c r="W86" s="7">
        <v>29.211746215820313</v>
      </c>
      <c r="X86" s="7">
        <v>29.748218536376953</v>
      </c>
      <c r="Y86" s="7">
        <v>30.604343414306641</v>
      </c>
      <c r="Z86" s="7">
        <v>30.910602569580078</v>
      </c>
      <c r="AA86" s="7">
        <v>31.258642196655273</v>
      </c>
      <c r="AB86" s="7">
        <v>31.692522048950195</v>
      </c>
      <c r="AC86" s="7">
        <v>31.7974853515625</v>
      </c>
      <c r="AD86" s="7">
        <v>32.04730224609375</v>
      </c>
      <c r="AE86" s="7">
        <v>32.36474609375</v>
      </c>
      <c r="AG86" s="7">
        <f t="shared" si="1"/>
        <v>31.267447038130328</v>
      </c>
    </row>
    <row r="87" spans="1:33" x14ac:dyDescent="0.2">
      <c r="A87" s="5" t="s">
        <v>104</v>
      </c>
      <c r="B87" s="5" t="s">
        <v>297</v>
      </c>
      <c r="C87" s="6"/>
      <c r="D87" s="6"/>
      <c r="E87" s="6"/>
      <c r="F87" s="7">
        <v>33.824878692626953</v>
      </c>
      <c r="G87" s="7">
        <v>32.084426879882813</v>
      </c>
      <c r="H87" s="7">
        <v>32.454216003417969</v>
      </c>
      <c r="I87" s="7">
        <v>32.309192657470703</v>
      </c>
      <c r="J87" s="7">
        <v>32.604061126708984</v>
      </c>
      <c r="K87" s="7">
        <v>32.758609771728516</v>
      </c>
      <c r="L87" s="7">
        <v>31.648187637329102</v>
      </c>
      <c r="M87" s="7">
        <v>31.299999237060547</v>
      </c>
      <c r="N87" s="7">
        <v>31.272743225097656</v>
      </c>
      <c r="O87" s="7">
        <v>31.780759811401367</v>
      </c>
      <c r="P87" s="7">
        <v>31.999797821044922</v>
      </c>
      <c r="Q87" s="7">
        <v>31.545831680297852</v>
      </c>
      <c r="R87" s="7">
        <v>31.574848175048828</v>
      </c>
      <c r="S87" s="7">
        <v>31.086174011230469</v>
      </c>
      <c r="T87" s="7">
        <v>30.542177200317383</v>
      </c>
      <c r="U87" s="7">
        <v>30.364582061767578</v>
      </c>
      <c r="V87" s="7">
        <v>31.670047760009766</v>
      </c>
      <c r="W87" s="7">
        <v>30.519329071044922</v>
      </c>
      <c r="X87" s="7">
        <v>29.58922004699707</v>
      </c>
      <c r="Y87" s="7">
        <v>29.937301635742188</v>
      </c>
      <c r="Z87" s="7">
        <v>28.986068725585938</v>
      </c>
      <c r="AA87" s="7">
        <v>29.591289520263672</v>
      </c>
      <c r="AB87" s="7">
        <v>29.138349533081055</v>
      </c>
      <c r="AC87" s="7">
        <v>29.016763687133789</v>
      </c>
      <c r="AD87" s="7">
        <v>30.002214431762695</v>
      </c>
      <c r="AE87" s="7">
        <v>30.045162200927734</v>
      </c>
      <c r="AG87" s="7">
        <f t="shared" si="1"/>
        <v>30.272671612826262</v>
      </c>
    </row>
    <row r="88" spans="1:33" x14ac:dyDescent="0.2">
      <c r="A88" s="5" t="s">
        <v>100</v>
      </c>
      <c r="B88" s="5" t="s">
        <v>293</v>
      </c>
      <c r="C88" s="6"/>
      <c r="D88" s="6"/>
      <c r="E88" s="6"/>
      <c r="F88" s="7">
        <v>47.233940124511719</v>
      </c>
      <c r="G88" s="7">
        <v>47.631591796875</v>
      </c>
      <c r="H88" s="7">
        <v>47.7886962890625</v>
      </c>
      <c r="I88" s="7">
        <v>49.554645538330078</v>
      </c>
      <c r="J88" s="7">
        <v>48.644271850585938</v>
      </c>
      <c r="K88" s="7">
        <v>48.380142211914063</v>
      </c>
      <c r="L88" s="7">
        <v>47.964553833007813</v>
      </c>
      <c r="M88" s="7">
        <v>43.200000762939453</v>
      </c>
      <c r="N88" s="7">
        <v>43.002182006835938</v>
      </c>
      <c r="O88" s="7">
        <v>42.42706298828125</v>
      </c>
      <c r="P88" s="7">
        <v>44.033145904541016</v>
      </c>
      <c r="Q88" s="7">
        <v>44.826847076416016</v>
      </c>
      <c r="R88" s="7">
        <v>45.213386535644531</v>
      </c>
      <c r="S88" s="7">
        <v>44.148963928222656</v>
      </c>
      <c r="T88" s="7">
        <v>45.294929504394531</v>
      </c>
      <c r="U88" s="7">
        <v>45.444812774658203</v>
      </c>
      <c r="V88" s="7">
        <v>44.716876983642578</v>
      </c>
      <c r="W88" s="7">
        <v>43.909290313720703</v>
      </c>
      <c r="X88" s="7">
        <v>43.758560180664063</v>
      </c>
      <c r="Y88" s="7">
        <v>43.452980041503906</v>
      </c>
      <c r="Z88" s="7">
        <v>43.819858551025391</v>
      </c>
      <c r="AA88" s="7">
        <v>43.663349151611328</v>
      </c>
      <c r="AB88" s="7">
        <v>43.800895690917969</v>
      </c>
      <c r="AC88" s="7">
        <v>44.471965789794922</v>
      </c>
      <c r="AD88" s="7">
        <v>44.528213500976563</v>
      </c>
      <c r="AE88" s="7">
        <v>44.585964202880859</v>
      </c>
      <c r="AG88" s="7">
        <f t="shared" si="1"/>
        <v>44.293082150545985</v>
      </c>
    </row>
    <row r="89" spans="1:33" x14ac:dyDescent="0.2">
      <c r="A89" s="5" t="s">
        <v>101</v>
      </c>
      <c r="B89" s="5" t="s">
        <v>294</v>
      </c>
      <c r="C89" s="6"/>
      <c r="D89" s="6"/>
      <c r="E89" s="6"/>
      <c r="F89" s="7">
        <v>32.432826995849609</v>
      </c>
      <c r="G89" s="7">
        <v>32.466278076171875</v>
      </c>
      <c r="H89" s="7">
        <v>33.344131469726563</v>
      </c>
      <c r="I89" s="7">
        <v>33.373886108398438</v>
      </c>
      <c r="J89" s="7">
        <v>33.544979095458984</v>
      </c>
      <c r="K89" s="7">
        <v>33.933597564697266</v>
      </c>
      <c r="L89" s="7">
        <v>35.133304595947266</v>
      </c>
      <c r="M89" s="7">
        <v>35.099998474121094</v>
      </c>
      <c r="N89" s="7">
        <v>35.224266052246094</v>
      </c>
      <c r="O89" s="7">
        <v>35.089931488037109</v>
      </c>
      <c r="P89" s="7">
        <v>34.447303771972656</v>
      </c>
      <c r="Q89" s="7">
        <v>34.305416107177734</v>
      </c>
      <c r="R89" s="7">
        <v>33.8697509765625</v>
      </c>
      <c r="S89" s="7">
        <v>33.53216552734375</v>
      </c>
      <c r="T89" s="7">
        <v>33.3785400390625</v>
      </c>
      <c r="U89" s="7">
        <v>33.019393920898438</v>
      </c>
      <c r="V89" s="7">
        <v>33.870433807373047</v>
      </c>
      <c r="W89" s="7">
        <v>33.343463897705078</v>
      </c>
      <c r="X89" s="7">
        <v>37.162532806396484</v>
      </c>
      <c r="Y89" s="7">
        <v>35.229232788085938</v>
      </c>
      <c r="Z89" s="7">
        <v>36.559650421142578</v>
      </c>
      <c r="AA89" s="7">
        <v>37.243160247802734</v>
      </c>
      <c r="AB89" s="7">
        <v>36.535476684570313</v>
      </c>
      <c r="AC89" s="7">
        <v>36.757011413574219</v>
      </c>
      <c r="AD89" s="7"/>
      <c r="AE89" s="7"/>
      <c r="AG89" s="7">
        <f t="shared" si="1"/>
        <v>34.885800101540305</v>
      </c>
    </row>
    <row r="90" spans="1:33" x14ac:dyDescent="0.2">
      <c r="A90" s="5" t="s">
        <v>105</v>
      </c>
      <c r="B90" s="5" t="s">
        <v>298</v>
      </c>
      <c r="C90" s="6"/>
      <c r="D90" s="6"/>
      <c r="E90" s="6"/>
      <c r="F90" s="7">
        <v>31.26801872253418</v>
      </c>
      <c r="G90" s="7">
        <v>32.742652893066406</v>
      </c>
      <c r="H90" s="7">
        <v>34.19366455078125</v>
      </c>
      <c r="I90" s="7">
        <v>34.053661346435547</v>
      </c>
      <c r="J90" s="7">
        <v>33.918125152587891</v>
      </c>
      <c r="K90" s="7">
        <v>34.120357513427734</v>
      </c>
      <c r="L90" s="7">
        <v>33.798072814941406</v>
      </c>
      <c r="M90" s="7">
        <v>33.700000762939453</v>
      </c>
      <c r="N90" s="7">
        <v>33.253574371337891</v>
      </c>
      <c r="O90" s="7">
        <v>32.647140502929688</v>
      </c>
      <c r="P90" s="7">
        <v>32.079708099365234</v>
      </c>
      <c r="Q90" s="7">
        <v>31.772089004516602</v>
      </c>
      <c r="R90" s="7">
        <v>31.19866943359375</v>
      </c>
      <c r="S90" s="7">
        <v>30.926633834838867</v>
      </c>
      <c r="T90" s="7">
        <v>30.198421478271484</v>
      </c>
      <c r="U90" s="7">
        <v>30.411993026733398</v>
      </c>
      <c r="V90" s="7">
        <v>31.736207962036133</v>
      </c>
      <c r="W90" s="7">
        <v>31.58842658996582</v>
      </c>
      <c r="X90" s="7">
        <v>30.943632125854492</v>
      </c>
      <c r="Y90" s="7">
        <v>30.405441284179688</v>
      </c>
      <c r="Z90" s="7">
        <v>30.020210266113281</v>
      </c>
      <c r="AA90" s="7">
        <v>29.706821441650391</v>
      </c>
      <c r="AB90" s="7">
        <v>29.40179443359375</v>
      </c>
      <c r="AC90" s="7">
        <v>29.210987091064453</v>
      </c>
      <c r="AD90" s="7">
        <v>28.875041961669922</v>
      </c>
      <c r="AE90" s="7">
        <v>28.543806076049805</v>
      </c>
      <c r="AG90" s="7">
        <f t="shared" si="1"/>
        <v>30.594386534257367</v>
      </c>
    </row>
    <row r="91" spans="1:33" x14ac:dyDescent="0.2">
      <c r="A91" s="5" t="s">
        <v>106</v>
      </c>
      <c r="B91" s="5" t="s">
        <v>299</v>
      </c>
      <c r="C91" s="6"/>
      <c r="D91" s="6"/>
      <c r="E91" s="6"/>
      <c r="F91" s="7">
        <v>10.623055458068848</v>
      </c>
      <c r="G91" s="7">
        <v>10.537747383117676</v>
      </c>
      <c r="H91" s="7">
        <v>10.632208824157715</v>
      </c>
      <c r="I91" s="7">
        <v>10.62088680267334</v>
      </c>
      <c r="J91" s="7">
        <v>10.517890930175781</v>
      </c>
      <c r="K91" s="7">
        <v>10.31910514831543</v>
      </c>
      <c r="L91" s="7">
        <v>10.053812980651855</v>
      </c>
      <c r="M91" s="7">
        <v>9.8000001907348633</v>
      </c>
      <c r="N91" s="7">
        <v>9.9440498352050781</v>
      </c>
      <c r="O91" s="7">
        <v>9.9886455535888672</v>
      </c>
      <c r="P91" s="7">
        <v>10.193721771240234</v>
      </c>
      <c r="Q91" s="7">
        <v>10.270028114318848</v>
      </c>
      <c r="R91" s="7">
        <v>10.273524284362793</v>
      </c>
      <c r="S91" s="7">
        <v>9.9906167984008789</v>
      </c>
      <c r="T91" s="7">
        <v>9.6283979415893555</v>
      </c>
      <c r="U91" s="7">
        <v>9.8661661148071289</v>
      </c>
      <c r="V91" s="7">
        <v>10.368393898010254</v>
      </c>
      <c r="W91" s="7">
        <v>10.17101001739502</v>
      </c>
      <c r="X91" s="7">
        <v>10.103178024291992</v>
      </c>
      <c r="Y91" s="7">
        <v>10.372834205627441</v>
      </c>
      <c r="Z91" s="7">
        <v>10.369743347167969</v>
      </c>
      <c r="AA91" s="7">
        <v>10.198944091796875</v>
      </c>
      <c r="AB91" s="7">
        <v>10.105746269226074</v>
      </c>
      <c r="AC91" s="7">
        <v>9.9058084487915039</v>
      </c>
      <c r="AD91" s="7">
        <v>10.000419616699219</v>
      </c>
      <c r="AE91" s="7">
        <v>9.982813835144043</v>
      </c>
      <c r="AG91" s="7">
        <f t="shared" si="1"/>
        <v>10.13168681751598</v>
      </c>
    </row>
    <row r="92" spans="1:33" x14ac:dyDescent="0.2">
      <c r="A92" s="5" t="s">
        <v>110</v>
      </c>
      <c r="B92" s="5" t="s">
        <v>303</v>
      </c>
      <c r="C92" s="6"/>
      <c r="D92" s="6"/>
      <c r="E92" s="6"/>
      <c r="F92" s="7">
        <v>39.06378173828125</v>
      </c>
      <c r="G92" s="7">
        <v>40.457660675048828</v>
      </c>
      <c r="H92" s="7">
        <v>40.766391754150391</v>
      </c>
      <c r="I92" s="7">
        <v>41.408267974853516</v>
      </c>
      <c r="J92" s="7">
        <v>40.874385833740234</v>
      </c>
      <c r="K92" s="7">
        <v>40.676231384277344</v>
      </c>
      <c r="L92" s="7">
        <v>39.955936431884766</v>
      </c>
      <c r="M92" s="7">
        <v>39.599998474121094</v>
      </c>
      <c r="N92" s="7">
        <v>39.032356262207031</v>
      </c>
      <c r="O92" s="7">
        <v>45.263412475585938</v>
      </c>
      <c r="P92" s="7">
        <v>43.459438323974609</v>
      </c>
      <c r="Q92" s="7">
        <v>41.805133819580078</v>
      </c>
      <c r="R92" s="7">
        <v>40.963584899902344</v>
      </c>
      <c r="S92" s="7">
        <v>40.914894104003906</v>
      </c>
      <c r="T92" s="7">
        <v>41.359951019287109</v>
      </c>
      <c r="U92" s="7">
        <v>39.242450714111328</v>
      </c>
      <c r="V92" s="7">
        <v>42.108261108398438</v>
      </c>
      <c r="W92" s="7">
        <v>42.652549743652344</v>
      </c>
      <c r="X92" s="7">
        <v>43.337120056152344</v>
      </c>
      <c r="Y92" s="7">
        <v>43.445541381835938</v>
      </c>
      <c r="Z92" s="7">
        <v>43.754283905029297</v>
      </c>
      <c r="AA92" s="7">
        <v>43.690597534179688</v>
      </c>
      <c r="AB92" s="7">
        <v>43.619281768798828</v>
      </c>
      <c r="AC92" s="7">
        <v>42.980533599853516</v>
      </c>
      <c r="AD92" s="7">
        <v>42.716354370117188</v>
      </c>
      <c r="AE92" s="7">
        <v>41.695899963378906</v>
      </c>
      <c r="AG92" s="7">
        <f t="shared" si="1"/>
        <v>42.280774203213781</v>
      </c>
    </row>
    <row r="93" spans="1:33" x14ac:dyDescent="0.2">
      <c r="A93" s="5" t="s">
        <v>122</v>
      </c>
      <c r="B93" s="5" t="s">
        <v>316</v>
      </c>
      <c r="C93" s="6"/>
      <c r="D93" s="6"/>
      <c r="E93" s="6"/>
      <c r="F93" s="7">
        <v>40.572853088378906</v>
      </c>
      <c r="G93" s="7">
        <v>44.684490203857422</v>
      </c>
      <c r="H93" s="7">
        <v>41.457256317138672</v>
      </c>
      <c r="I93" s="7">
        <v>39.835704803466797</v>
      </c>
      <c r="J93" s="7">
        <v>40.189487457275391</v>
      </c>
      <c r="K93" s="7">
        <v>39.840106964111328</v>
      </c>
      <c r="L93" s="7">
        <v>39.852577209472656</v>
      </c>
      <c r="M93" s="7">
        <v>40.299999237060547</v>
      </c>
      <c r="N93" s="7">
        <v>41.629199981689453</v>
      </c>
      <c r="O93" s="7">
        <v>41.056598663330078</v>
      </c>
      <c r="P93" s="7">
        <v>40.627826690673828</v>
      </c>
      <c r="Q93" s="7">
        <v>40.653614044189453</v>
      </c>
      <c r="R93" s="7">
        <v>40.992591857910156</v>
      </c>
      <c r="S93" s="7">
        <v>40.832115173339844</v>
      </c>
      <c r="T93" s="7">
        <v>39.354701995849609</v>
      </c>
      <c r="U93" s="7">
        <v>39.251316070556641</v>
      </c>
      <c r="V93" s="7">
        <v>39.029239654541016</v>
      </c>
      <c r="W93" s="7">
        <v>38.32537841796875</v>
      </c>
      <c r="X93" s="7">
        <v>38.180892944335938</v>
      </c>
      <c r="Y93" s="7">
        <v>38.488941192626953</v>
      </c>
      <c r="Z93" s="7">
        <v>38.524658203125</v>
      </c>
      <c r="AA93" s="7">
        <v>37.747814178466797</v>
      </c>
      <c r="AB93" s="7">
        <v>37.923213958740234</v>
      </c>
      <c r="AC93" s="7">
        <v>37.911605834960938</v>
      </c>
      <c r="AD93" s="7">
        <v>37.568508148193359</v>
      </c>
      <c r="AE93" s="7">
        <v>37.59552001953125</v>
      </c>
      <c r="AG93" s="7">
        <f t="shared" si="1"/>
        <v>38.968260331587359</v>
      </c>
    </row>
    <row r="94" spans="1:33" x14ac:dyDescent="0.2">
      <c r="A94" s="5" t="s">
        <v>123</v>
      </c>
      <c r="B94" s="5" t="s">
        <v>317</v>
      </c>
      <c r="C94" s="6"/>
      <c r="D94" s="6"/>
      <c r="E94" s="6"/>
      <c r="F94" s="7">
        <v>33.753101348876953</v>
      </c>
      <c r="G94" s="7">
        <v>33.215824127197266</v>
      </c>
      <c r="H94" s="7">
        <v>32.646102905273438</v>
      </c>
      <c r="I94" s="7">
        <v>31.979715347290039</v>
      </c>
      <c r="J94" s="7">
        <v>31.483463287353516</v>
      </c>
      <c r="K94" s="7">
        <v>31.701398849487305</v>
      </c>
      <c r="L94" s="7">
        <v>32.066192626953125</v>
      </c>
      <c r="M94" s="7">
        <v>31.100000381469727</v>
      </c>
      <c r="N94" s="7">
        <v>32.283180236816406</v>
      </c>
      <c r="O94" s="7">
        <v>32.592502593994141</v>
      </c>
      <c r="P94" s="7">
        <v>32.351333618164063</v>
      </c>
      <c r="Q94" s="7">
        <v>32.012660980224609</v>
      </c>
      <c r="R94" s="7">
        <v>31.368070602416992</v>
      </c>
      <c r="S94" s="7">
        <v>30.785024642944336</v>
      </c>
      <c r="T94" s="7">
        <v>30.749216079711914</v>
      </c>
      <c r="U94" s="7">
        <v>30.775810241699219</v>
      </c>
      <c r="V94" s="7">
        <v>31.970697402954102</v>
      </c>
      <c r="W94" s="7">
        <v>31.192619323730469</v>
      </c>
      <c r="X94" s="7">
        <v>31.271907806396484</v>
      </c>
      <c r="Y94" s="7">
        <v>31.380199432373047</v>
      </c>
      <c r="Z94" s="7">
        <v>31.162288665771484</v>
      </c>
      <c r="AA94" s="7">
        <v>29.994543075561523</v>
      </c>
      <c r="AB94" s="7">
        <v>30.451864242553711</v>
      </c>
      <c r="AC94" s="7">
        <v>30.295068740844727</v>
      </c>
      <c r="AD94" s="7">
        <v>29.877004623413086</v>
      </c>
      <c r="AE94" s="7">
        <v>29.261739730834961</v>
      </c>
      <c r="AG94" s="7">
        <f t="shared" si="1"/>
        <v>31.009294683283027</v>
      </c>
    </row>
    <row r="95" spans="1:33" x14ac:dyDescent="0.2">
      <c r="A95" s="5" t="s">
        <v>111</v>
      </c>
      <c r="B95" s="5" t="s">
        <v>304</v>
      </c>
      <c r="C95" s="6"/>
      <c r="D95" s="6"/>
      <c r="E95" s="6"/>
      <c r="F95" s="7">
        <v>31.656270980834961</v>
      </c>
      <c r="G95" s="7">
        <v>31.478551864624023</v>
      </c>
      <c r="H95" s="7">
        <v>30.59086799621582</v>
      </c>
      <c r="I95" s="7">
        <v>30.012552261352539</v>
      </c>
      <c r="J95" s="7">
        <v>29.999183654785156</v>
      </c>
      <c r="K95" s="7">
        <v>29.850612640380859</v>
      </c>
      <c r="L95" s="7">
        <v>29.957233428955078</v>
      </c>
      <c r="M95" s="7">
        <v>30.299999237060547</v>
      </c>
      <c r="N95" s="7">
        <v>30.731193542480469</v>
      </c>
      <c r="O95" s="7">
        <v>30.682209014892578</v>
      </c>
      <c r="P95" s="7">
        <v>30.244871139526367</v>
      </c>
      <c r="Q95" s="7">
        <v>30.110172271728516</v>
      </c>
      <c r="R95" s="7">
        <v>31.563243865966797</v>
      </c>
      <c r="S95" s="7">
        <v>30.437490463256836</v>
      </c>
      <c r="T95" s="7">
        <v>30.162307739257813</v>
      </c>
      <c r="U95" s="7">
        <v>30.080999374389648</v>
      </c>
      <c r="V95" s="7">
        <v>31.078296661376953</v>
      </c>
      <c r="W95" s="7">
        <v>30.253238677978516</v>
      </c>
      <c r="X95" s="7">
        <v>29.601522445678711</v>
      </c>
      <c r="Y95" s="7">
        <v>29.789331436157227</v>
      </c>
      <c r="Z95" s="7">
        <v>29.701808929443359</v>
      </c>
      <c r="AA95" s="7">
        <v>29.861989974975586</v>
      </c>
      <c r="AB95" s="7">
        <v>29.628011703491211</v>
      </c>
      <c r="AC95" s="7">
        <v>29.600433349609375</v>
      </c>
      <c r="AD95" s="7">
        <v>29.501483917236328</v>
      </c>
      <c r="AE95" s="7">
        <v>29.322233200073242</v>
      </c>
      <c r="AG95" s="7">
        <f t="shared" si="1"/>
        <v>30.196203751997515</v>
      </c>
    </row>
    <row r="96" spans="1:33" x14ac:dyDescent="0.2">
      <c r="A96" s="5" t="s">
        <v>114</v>
      </c>
      <c r="B96" s="5" t="s">
        <v>308</v>
      </c>
      <c r="C96" s="6"/>
      <c r="D96" s="6"/>
      <c r="E96" s="6"/>
      <c r="F96" s="7">
        <v>42.682346343994141</v>
      </c>
      <c r="G96" s="7">
        <v>41.982742309570313</v>
      </c>
      <c r="H96" s="7">
        <v>42.049831390380859</v>
      </c>
      <c r="I96" s="7">
        <v>41.977531433105469</v>
      </c>
      <c r="J96" s="7">
        <v>41.601692199707031</v>
      </c>
      <c r="K96" s="7">
        <v>43.379642486572266</v>
      </c>
      <c r="L96" s="7">
        <v>41.642551422119141</v>
      </c>
      <c r="M96" s="7">
        <v>42.299999237060547</v>
      </c>
      <c r="N96" s="7">
        <v>40.662303924560547</v>
      </c>
      <c r="O96" s="7">
        <v>40.638175964355469</v>
      </c>
      <c r="P96" s="7">
        <v>40.306777954101563</v>
      </c>
      <c r="Q96" s="7">
        <v>40.748821258544922</v>
      </c>
      <c r="R96" s="7">
        <v>39.830776214599609</v>
      </c>
      <c r="S96" s="7">
        <v>39.432590484619141</v>
      </c>
      <c r="T96" s="7">
        <v>39.787422180175781</v>
      </c>
      <c r="U96" s="7">
        <v>40.039268493652344</v>
      </c>
      <c r="V96" s="7">
        <v>39.751926422119141</v>
      </c>
      <c r="W96" s="7">
        <v>39.602962493896484</v>
      </c>
      <c r="X96" s="7">
        <v>40.357227325439453</v>
      </c>
      <c r="Y96" s="7">
        <v>40.167179107666016</v>
      </c>
      <c r="Z96" s="7">
        <v>40.402950286865234</v>
      </c>
      <c r="AA96" s="7">
        <v>40.183143615722656</v>
      </c>
      <c r="AB96" s="7">
        <v>40.697898864746094</v>
      </c>
      <c r="AC96" s="7">
        <v>40.432056427001953</v>
      </c>
      <c r="AD96" s="7">
        <v>39.955402374267578</v>
      </c>
      <c r="AE96" s="7">
        <v>39.582740783691406</v>
      </c>
      <c r="AG96" s="7">
        <f t="shared" si="1"/>
        <v>40.023031408136539</v>
      </c>
    </row>
    <row r="97" spans="1:33" x14ac:dyDescent="0.2">
      <c r="A97" s="5" t="s">
        <v>115</v>
      </c>
      <c r="B97" s="5" t="s">
        <v>309</v>
      </c>
      <c r="C97" s="6"/>
      <c r="D97" s="6"/>
      <c r="E97" s="6"/>
      <c r="F97" s="7">
        <v>28.743198394775391</v>
      </c>
      <c r="G97" s="7">
        <v>28.710960388183594</v>
      </c>
      <c r="H97" s="7">
        <v>28.274448394775391</v>
      </c>
      <c r="I97" s="7">
        <v>28.642192840576172</v>
      </c>
      <c r="J97" s="7">
        <v>28.216243743896484</v>
      </c>
      <c r="K97" s="7">
        <v>27.881441116333008</v>
      </c>
      <c r="L97" s="7">
        <v>27.602285385131836</v>
      </c>
      <c r="M97" s="7">
        <v>27.100000381469727</v>
      </c>
      <c r="N97" s="7">
        <v>27.708278656005859</v>
      </c>
      <c r="O97" s="7">
        <v>27.519832611083984</v>
      </c>
      <c r="P97" s="7">
        <v>27.75212287902832</v>
      </c>
      <c r="Q97" s="7">
        <v>27.975349426269531</v>
      </c>
      <c r="R97" s="7">
        <v>27.46502685546875</v>
      </c>
      <c r="S97" s="7">
        <v>27.273612976074219</v>
      </c>
      <c r="T97" s="7">
        <v>26.59039306640625</v>
      </c>
      <c r="U97" s="7">
        <v>26.920228958129883</v>
      </c>
      <c r="V97" s="7">
        <v>27.381130218505859</v>
      </c>
      <c r="W97" s="7">
        <v>27.12248420715332</v>
      </c>
      <c r="X97" s="7">
        <v>27.067314147949219</v>
      </c>
      <c r="Y97" s="7">
        <v>27.084104537963867</v>
      </c>
      <c r="Z97" s="7">
        <v>26.636377334594727</v>
      </c>
      <c r="AA97" s="7">
        <v>26.281742095947266</v>
      </c>
      <c r="AB97" s="7">
        <v>25.468523025512695</v>
      </c>
      <c r="AC97" s="7">
        <v>24.54022216796875</v>
      </c>
      <c r="AD97" s="7">
        <v>23.862155914306641</v>
      </c>
      <c r="AE97" s="7">
        <v>23.959712982177734</v>
      </c>
      <c r="AG97" s="7">
        <f t="shared" si="1"/>
        <v>26.844630674882367</v>
      </c>
    </row>
    <row r="98" spans="1:33" x14ac:dyDescent="0.2">
      <c r="A98" s="5" t="s">
        <v>120</v>
      </c>
      <c r="B98" s="5" t="s">
        <v>314</v>
      </c>
      <c r="C98" s="6"/>
      <c r="D98" s="6"/>
      <c r="E98" s="6"/>
      <c r="F98" s="7">
        <v>35.268791198730469</v>
      </c>
      <c r="G98" s="7">
        <v>35.746677398681641</v>
      </c>
      <c r="H98" s="7">
        <v>35.095699310302734</v>
      </c>
      <c r="I98" s="7">
        <v>34.646152496337891</v>
      </c>
      <c r="J98" s="7">
        <v>35.208396911621094</v>
      </c>
      <c r="K98" s="7">
        <v>35.946475982666016</v>
      </c>
      <c r="L98" s="7">
        <v>35.621261596679688</v>
      </c>
      <c r="M98" s="7">
        <v>36.099998474121094</v>
      </c>
      <c r="N98" s="7">
        <v>36.102851867675781</v>
      </c>
      <c r="O98" s="7">
        <v>36.865570068359375</v>
      </c>
      <c r="P98" s="7">
        <v>36.925846099853516</v>
      </c>
      <c r="Q98" s="7">
        <v>36.707012176513672</v>
      </c>
      <c r="R98" s="7">
        <v>35.820785522460938</v>
      </c>
      <c r="S98" s="7">
        <v>34.187343597412109</v>
      </c>
      <c r="T98" s="7">
        <v>34.435359954833984</v>
      </c>
      <c r="U98" s="7">
        <v>34.265914916992188</v>
      </c>
      <c r="V98" s="7">
        <v>34.533943176269531</v>
      </c>
      <c r="W98" s="7">
        <v>34.218124389648438</v>
      </c>
      <c r="X98" s="7">
        <v>33.850887298583984</v>
      </c>
      <c r="Y98" s="7">
        <v>33.725849151611328</v>
      </c>
      <c r="Z98" s="7">
        <v>33.394962310791016</v>
      </c>
      <c r="AA98" s="7">
        <v>33.300506591796875</v>
      </c>
      <c r="AB98" s="7">
        <v>33.701213836669922</v>
      </c>
      <c r="AC98" s="7">
        <v>33.484809875488281</v>
      </c>
      <c r="AD98" s="7">
        <v>33.373264312744141</v>
      </c>
      <c r="AE98" s="7">
        <v>33.372982025146484</v>
      </c>
      <c r="AG98" s="7">
        <f t="shared" si="1"/>
        <v>34.130444613370031</v>
      </c>
    </row>
    <row r="99" spans="1:33" x14ac:dyDescent="0.2">
      <c r="A99" s="5" t="s">
        <v>121</v>
      </c>
      <c r="B99" s="5" t="s">
        <v>315</v>
      </c>
      <c r="C99" s="6"/>
      <c r="D99" s="6"/>
      <c r="E99" s="6"/>
      <c r="F99" s="7">
        <v>23.707670211791992</v>
      </c>
      <c r="G99" s="7">
        <v>23.926769256591797</v>
      </c>
      <c r="H99" s="7">
        <v>23.692289352416992</v>
      </c>
      <c r="I99" s="7">
        <v>23.799074172973633</v>
      </c>
      <c r="J99" s="7">
        <v>23.449844360351563</v>
      </c>
      <c r="K99" s="7">
        <v>23.204095840454102</v>
      </c>
      <c r="L99" s="7">
        <v>23.470846176147461</v>
      </c>
      <c r="M99" s="7">
        <v>23.100000381469727</v>
      </c>
      <c r="N99" s="7">
        <v>22.707065582275391</v>
      </c>
      <c r="O99" s="7">
        <v>22.875879287719727</v>
      </c>
      <c r="P99" s="7">
        <v>22.648674011230469</v>
      </c>
      <c r="Q99" s="7">
        <v>22.815280914306641</v>
      </c>
      <c r="R99" s="7">
        <v>23.152875900268555</v>
      </c>
      <c r="S99" s="7">
        <v>22.718786239624023</v>
      </c>
      <c r="T99" s="7">
        <v>21.638351440429688</v>
      </c>
      <c r="U99" s="7">
        <v>21.25645637512207</v>
      </c>
      <c r="V99" s="7">
        <v>21.875314712524414</v>
      </c>
      <c r="W99" s="7">
        <v>21.729770660400391</v>
      </c>
      <c r="X99" s="7">
        <v>21.473197937011719</v>
      </c>
      <c r="Y99" s="7">
        <v>21.411190032958984</v>
      </c>
      <c r="Z99" s="7">
        <v>21.818557739257813</v>
      </c>
      <c r="AA99" s="7">
        <v>21.657354354858398</v>
      </c>
      <c r="AB99" s="7">
        <v>21.569997787475586</v>
      </c>
      <c r="AC99" s="7">
        <v>21.612016677856445</v>
      </c>
      <c r="AD99" s="7">
        <v>21.35638427734375</v>
      </c>
      <c r="AE99" s="7">
        <v>21.257339477539063</v>
      </c>
      <c r="AG99" s="7">
        <f t="shared" si="1"/>
        <v>21.845623016357422</v>
      </c>
    </row>
    <row r="100" spans="1:33" x14ac:dyDescent="0.2">
      <c r="A100" s="5" t="s">
        <v>112</v>
      </c>
      <c r="B100" s="5" t="s">
        <v>305</v>
      </c>
      <c r="C100" s="6"/>
      <c r="D100" s="6"/>
      <c r="E100" s="6"/>
      <c r="F100" s="7">
        <v>31.830097198486328</v>
      </c>
      <c r="G100" s="7">
        <v>31.813283920288086</v>
      </c>
      <c r="H100" s="7">
        <v>33.121131896972656</v>
      </c>
      <c r="I100" s="7">
        <v>31.889715194702148</v>
      </c>
      <c r="J100" s="7">
        <v>30.979131698608398</v>
      </c>
      <c r="K100" s="7">
        <v>30.412363052368164</v>
      </c>
      <c r="L100" s="7">
        <v>30.332366943359375</v>
      </c>
      <c r="M100" s="7">
        <v>30.100000381469727</v>
      </c>
      <c r="N100" s="7">
        <v>30.432212829589844</v>
      </c>
      <c r="O100" s="7">
        <v>30.854354858398438</v>
      </c>
      <c r="P100" s="7">
        <v>31.187431335449219</v>
      </c>
      <c r="Q100" s="7">
        <v>30.934709548950195</v>
      </c>
      <c r="R100" s="7">
        <v>30.868692398071289</v>
      </c>
      <c r="S100" s="7">
        <v>30.297483444213867</v>
      </c>
      <c r="T100" s="7">
        <v>30.130899429321289</v>
      </c>
      <c r="U100" s="7">
        <v>30.286228179931641</v>
      </c>
      <c r="V100" s="7">
        <v>32.017990112304688</v>
      </c>
      <c r="W100" s="7">
        <v>31.503332138061523</v>
      </c>
      <c r="X100" s="7">
        <v>30.997442245483398</v>
      </c>
      <c r="Y100" s="7">
        <v>30.602994918823242</v>
      </c>
      <c r="Z100" s="7">
        <v>30.67869758605957</v>
      </c>
      <c r="AA100" s="7">
        <v>30.690389633178711</v>
      </c>
      <c r="AB100" s="7">
        <v>30.29536247253418</v>
      </c>
      <c r="AC100" s="7">
        <v>29.959562301635742</v>
      </c>
      <c r="AD100" s="7">
        <v>29.837440490722656</v>
      </c>
      <c r="AE100" s="7">
        <v>29.855869293212891</v>
      </c>
      <c r="AG100" s="7">
        <f t="shared" si="1"/>
        <v>30.760864777998492</v>
      </c>
    </row>
    <row r="101" spans="1:33" x14ac:dyDescent="0.2">
      <c r="A101" s="5" t="s">
        <v>109</v>
      </c>
      <c r="B101" s="5" t="s">
        <v>302</v>
      </c>
      <c r="C101" s="6"/>
      <c r="D101" s="6"/>
      <c r="E101" s="6"/>
      <c r="F101" s="7">
        <v>42.625019073486328</v>
      </c>
      <c r="G101" s="7">
        <v>45.657047271728516</v>
      </c>
      <c r="H101" s="7">
        <v>46.199733734130859</v>
      </c>
      <c r="I101" s="7">
        <v>45.783714294433594</v>
      </c>
      <c r="J101" s="7">
        <v>45.704151153564453</v>
      </c>
      <c r="K101" s="7">
        <v>45.895317077636719</v>
      </c>
      <c r="L101" s="7">
        <v>45.671012878417969</v>
      </c>
      <c r="M101" s="7">
        <v>45.099998474121094</v>
      </c>
      <c r="N101" s="7">
        <v>44.647590637207031</v>
      </c>
      <c r="O101" s="7">
        <v>45.185367584228516</v>
      </c>
      <c r="P101" s="7">
        <v>45.199489593505859</v>
      </c>
      <c r="Q101" s="7">
        <v>44.503376007080078</v>
      </c>
      <c r="R101" s="7">
        <v>44.042522430419922</v>
      </c>
      <c r="S101" s="7">
        <v>44.408912658691406</v>
      </c>
      <c r="T101" s="7">
        <v>43.864387512207031</v>
      </c>
      <c r="U101" s="7">
        <v>43.227870941162109</v>
      </c>
      <c r="V101" s="7">
        <v>44.182182312011719</v>
      </c>
      <c r="W101" s="7">
        <v>43.288368225097656</v>
      </c>
      <c r="X101" s="7">
        <v>42.4923095703125</v>
      </c>
      <c r="Y101" s="7">
        <v>42.26690673828125</v>
      </c>
      <c r="Z101" s="7">
        <v>41.152095794677734</v>
      </c>
      <c r="AA101" s="7">
        <v>40.371208190917969</v>
      </c>
      <c r="AB101" s="7">
        <v>41.082244873046875</v>
      </c>
      <c r="AC101" s="7">
        <v>40.868495941162109</v>
      </c>
      <c r="AD101" s="7">
        <v>40.367893218994141</v>
      </c>
      <c r="AE101" s="7">
        <v>39.752227783203125</v>
      </c>
      <c r="AG101" s="7">
        <f t="shared" si="1"/>
        <v>42.761728113347836</v>
      </c>
    </row>
    <row r="102" spans="1:33" x14ac:dyDescent="0.2">
      <c r="A102" s="5" t="s">
        <v>118</v>
      </c>
      <c r="B102" s="5" t="s">
        <v>312</v>
      </c>
      <c r="C102" s="6"/>
      <c r="D102" s="6"/>
      <c r="E102" s="6"/>
      <c r="F102" s="7">
        <v>19.032470703125</v>
      </c>
      <c r="G102" s="7">
        <v>19.624017715454102</v>
      </c>
      <c r="H102" s="7">
        <v>18.381254196166992</v>
      </c>
      <c r="I102" s="7">
        <v>18.301122665405273</v>
      </c>
      <c r="J102" s="7">
        <v>18.21571159362793</v>
      </c>
      <c r="K102" s="7">
        <v>18.45551872253418</v>
      </c>
      <c r="L102" s="7">
        <v>18.349916458129883</v>
      </c>
      <c r="M102" s="7">
        <v>18.399999618530273</v>
      </c>
      <c r="N102" s="7">
        <v>18.477346420288086</v>
      </c>
      <c r="O102" s="7">
        <v>18.351560592651367</v>
      </c>
      <c r="P102" s="7">
        <v>18.26652717590332</v>
      </c>
      <c r="Q102" s="7">
        <v>18.35650634765625</v>
      </c>
      <c r="R102" s="7">
        <v>18.009027481079102</v>
      </c>
      <c r="S102" s="7">
        <v>17.776256561279297</v>
      </c>
      <c r="T102" s="7">
        <v>18.044826507568359</v>
      </c>
      <c r="U102" s="7">
        <v>17.80506706237793</v>
      </c>
      <c r="V102" s="7">
        <v>17.943504333496094</v>
      </c>
      <c r="W102" s="7">
        <v>17.777454376220703</v>
      </c>
      <c r="X102" s="7">
        <v>17.211887359619141</v>
      </c>
      <c r="Y102" s="7">
        <v>17.2099609375</v>
      </c>
      <c r="Z102" s="7">
        <v>16.951791763305664</v>
      </c>
      <c r="AA102" s="7">
        <v>16.67253303527832</v>
      </c>
      <c r="AB102" s="7">
        <v>16.711179733276367</v>
      </c>
      <c r="AC102" s="7">
        <v>17.023897171020508</v>
      </c>
      <c r="AD102" s="7">
        <v>16.726535797119141</v>
      </c>
      <c r="AE102" s="7">
        <v>16.461061477661133</v>
      </c>
      <c r="AG102" s="7">
        <f t="shared" si="1"/>
        <v>17.464862650090996</v>
      </c>
    </row>
    <row r="103" spans="1:33" x14ac:dyDescent="0.2">
      <c r="A103" s="5" t="s">
        <v>108</v>
      </c>
      <c r="B103" s="5" t="s">
        <v>301</v>
      </c>
      <c r="C103" s="6"/>
      <c r="D103" s="6"/>
      <c r="E103" s="6"/>
      <c r="F103" s="7">
        <v>37.364059448242188</v>
      </c>
      <c r="G103" s="7">
        <v>36.777164459228516</v>
      </c>
      <c r="H103" s="7">
        <v>37.494663238525391</v>
      </c>
      <c r="I103" s="7">
        <v>35.930900573730469</v>
      </c>
      <c r="J103" s="7">
        <v>36.541862487792969</v>
      </c>
      <c r="K103" s="7">
        <v>35.673091888427734</v>
      </c>
      <c r="L103" s="7">
        <v>36.105503082275391</v>
      </c>
      <c r="M103" s="7">
        <v>36.400001525878906</v>
      </c>
      <c r="N103" s="7">
        <v>36.287689208984375</v>
      </c>
      <c r="O103" s="7">
        <v>36.109291076660156</v>
      </c>
      <c r="P103" s="7">
        <v>35.785728454589844</v>
      </c>
      <c r="Q103" s="7">
        <v>35.695476531982422</v>
      </c>
      <c r="R103" s="7">
        <v>36.430049896240234</v>
      </c>
      <c r="S103" s="7">
        <v>35.220993041992188</v>
      </c>
      <c r="T103" s="7">
        <v>34.994472503662109</v>
      </c>
      <c r="U103" s="7">
        <v>34.367336273193359</v>
      </c>
      <c r="V103" s="7">
        <v>34.745563507080078</v>
      </c>
      <c r="W103" s="7">
        <v>34.335182189941406</v>
      </c>
      <c r="X103" s="7">
        <v>34.602165222167969</v>
      </c>
      <c r="Y103" s="7">
        <v>34.761508941650391</v>
      </c>
      <c r="Z103" s="7">
        <v>34.515666961669922</v>
      </c>
      <c r="AA103" s="7">
        <v>34.695198059082031</v>
      </c>
      <c r="AB103" s="7">
        <v>34.081493377685547</v>
      </c>
      <c r="AC103" s="7">
        <v>34.245403289794922</v>
      </c>
      <c r="AD103" s="7">
        <v>34.160285949707031</v>
      </c>
      <c r="AE103" s="7">
        <v>34.077693939208984</v>
      </c>
      <c r="AG103" s="7">
        <f t="shared" si="1"/>
        <v>34.795420906760476</v>
      </c>
    </row>
    <row r="104" spans="1:33" x14ac:dyDescent="0.2">
      <c r="A104" s="5" t="s">
        <v>119</v>
      </c>
      <c r="B104" s="5" t="s">
        <v>313</v>
      </c>
      <c r="C104" s="6"/>
      <c r="D104" s="6"/>
      <c r="E104" s="6"/>
      <c r="F104" s="7">
        <v>42.080047607421875</v>
      </c>
      <c r="G104" s="7">
        <v>43.040397644042969</v>
      </c>
      <c r="H104" s="7">
        <v>41.3443603515625</v>
      </c>
      <c r="I104" s="7">
        <v>39.907855987548828</v>
      </c>
      <c r="J104" s="7">
        <v>40.108329772949219</v>
      </c>
      <c r="K104" s="7">
        <v>40.180675506591797</v>
      </c>
      <c r="L104" s="7">
        <v>40.290622711181641</v>
      </c>
      <c r="M104" s="7">
        <v>40.299999237060547</v>
      </c>
      <c r="N104" s="7">
        <v>40.016445159912109</v>
      </c>
      <c r="O104" s="7">
        <v>39.520046234130859</v>
      </c>
      <c r="P104" s="7">
        <v>39.529296875</v>
      </c>
      <c r="Q104" s="7">
        <v>39.627811431884766</v>
      </c>
      <c r="R104" s="7">
        <v>39.334171295166016</v>
      </c>
      <c r="S104" s="7">
        <v>39.102237701416016</v>
      </c>
      <c r="T104" s="7">
        <v>38.67901611328125</v>
      </c>
      <c r="U104" s="7">
        <v>38.546932220458984</v>
      </c>
      <c r="V104" s="7">
        <v>38.594398498535156</v>
      </c>
      <c r="W104" s="7">
        <v>38.532238006591797</v>
      </c>
      <c r="X104" s="7">
        <v>38.554115295410156</v>
      </c>
      <c r="Y104" s="7">
        <v>38.484901428222656</v>
      </c>
      <c r="Z104" s="7">
        <v>38.593948364257813</v>
      </c>
      <c r="AA104" s="7">
        <v>38.953716278076172</v>
      </c>
      <c r="AB104" s="7">
        <v>38.705368041992188</v>
      </c>
      <c r="AC104" s="7">
        <v>38.830837249755859</v>
      </c>
      <c r="AD104" s="7">
        <v>38.545936584472656</v>
      </c>
      <c r="AE104" s="7">
        <v>38.103740692138672</v>
      </c>
      <c r="AG104" s="7">
        <f t="shared" si="1"/>
        <v>38.734640294855289</v>
      </c>
    </row>
    <row r="105" spans="1:33" x14ac:dyDescent="0.2">
      <c r="A105" s="5" t="s">
        <v>116</v>
      </c>
      <c r="B105" s="5" t="s">
        <v>310</v>
      </c>
      <c r="C105" s="6"/>
      <c r="D105" s="6"/>
      <c r="E105" s="6"/>
      <c r="F105" s="7">
        <v>52.695556640625</v>
      </c>
      <c r="G105" s="7">
        <v>52.534500122070313</v>
      </c>
      <c r="H105" s="7">
        <v>52.250526428222656</v>
      </c>
      <c r="I105" s="7">
        <v>52.007156372070313</v>
      </c>
      <c r="J105" s="7">
        <v>51.832962036132813</v>
      </c>
      <c r="K105" s="7">
        <v>53.781505584716797</v>
      </c>
      <c r="L105" s="7">
        <v>52.816513061523438</v>
      </c>
      <c r="M105" s="7">
        <v>52.599998474121094</v>
      </c>
      <c r="N105" s="7">
        <v>51.945137023925781</v>
      </c>
      <c r="O105" s="7">
        <v>51.3182373046875</v>
      </c>
      <c r="P105" s="7">
        <v>50.572200775146484</v>
      </c>
      <c r="Q105" s="7">
        <v>50.904544830322266</v>
      </c>
      <c r="R105" s="7">
        <v>50.679431915283203</v>
      </c>
      <c r="S105" s="7">
        <v>50.535449981689453</v>
      </c>
      <c r="T105" s="7">
        <v>49.966285705566406</v>
      </c>
      <c r="U105" s="7">
        <v>49.869834899902344</v>
      </c>
      <c r="V105" s="7">
        <v>49.743213653564453</v>
      </c>
      <c r="W105" s="7">
        <v>49.684326171875</v>
      </c>
      <c r="X105" s="7">
        <v>49.679481506347656</v>
      </c>
      <c r="Y105" s="7">
        <v>49.654434204101563</v>
      </c>
      <c r="Z105" s="7">
        <v>49.921829223632813</v>
      </c>
      <c r="AA105" s="7">
        <v>49.769748687744141</v>
      </c>
      <c r="AB105" s="7">
        <v>49.254505157470703</v>
      </c>
      <c r="AC105" s="7">
        <v>48.856674194335938</v>
      </c>
      <c r="AD105" s="7">
        <v>48.409832000732422</v>
      </c>
      <c r="AE105" s="7">
        <v>48.053455352783203</v>
      </c>
      <c r="AG105" s="7">
        <f t="shared" si="1"/>
        <v>49.887140100652523</v>
      </c>
    </row>
    <row r="106" spans="1:33" x14ac:dyDescent="0.2">
      <c r="A106" s="5" t="s">
        <v>124</v>
      </c>
      <c r="B106" s="5" t="s">
        <v>318</v>
      </c>
      <c r="C106" s="6"/>
      <c r="D106" s="6"/>
      <c r="E106" s="6"/>
      <c r="F106" s="7">
        <v>32.255603790283203</v>
      </c>
      <c r="G106" s="7">
        <v>31.686069488525391</v>
      </c>
      <c r="H106" s="7">
        <v>32.012561798095703</v>
      </c>
      <c r="I106" s="7">
        <v>31.362155914306641</v>
      </c>
      <c r="J106" s="7">
        <v>31.475849151611328</v>
      </c>
      <c r="K106" s="7">
        <v>31.520318984985352</v>
      </c>
      <c r="L106" s="7">
        <v>31.672954559326172</v>
      </c>
      <c r="M106" s="7">
        <v>31.399999618530273</v>
      </c>
      <c r="N106" s="7">
        <v>31.326719284057617</v>
      </c>
      <c r="O106" s="7">
        <v>30.761375427246094</v>
      </c>
      <c r="P106" s="7">
        <v>30.635852813720703</v>
      </c>
      <c r="Q106" s="7">
        <v>30.138875961303711</v>
      </c>
      <c r="R106" s="7">
        <v>29.802467346191406</v>
      </c>
      <c r="S106" s="7">
        <v>29.528535842895508</v>
      </c>
      <c r="T106" s="7">
        <v>30.260381698608398</v>
      </c>
      <c r="U106" s="7">
        <v>30.457931518554688</v>
      </c>
      <c r="V106" s="7">
        <v>30.782249450683594</v>
      </c>
      <c r="W106" s="7">
        <v>30.684316635131836</v>
      </c>
      <c r="X106" s="7">
        <v>29.795738220214844</v>
      </c>
      <c r="Y106" s="7">
        <v>29.729087829589844</v>
      </c>
      <c r="Z106" s="7">
        <v>29.786609649658203</v>
      </c>
      <c r="AA106" s="7">
        <v>29.694051742553711</v>
      </c>
      <c r="AB106" s="7">
        <v>29.120283126831055</v>
      </c>
      <c r="AC106" s="7">
        <v>29.131166458129883</v>
      </c>
      <c r="AD106" s="7">
        <v>28.972673416137695</v>
      </c>
      <c r="AE106" s="7">
        <v>29.195957183837891</v>
      </c>
      <c r="AG106" s="7">
        <f t="shared" si="1"/>
        <v>29.967423005537555</v>
      </c>
    </row>
    <row r="107" spans="1:33" x14ac:dyDescent="0.2">
      <c r="A107" s="5" t="s">
        <v>131</v>
      </c>
      <c r="B107" s="5" t="s">
        <v>325</v>
      </c>
      <c r="C107" s="6"/>
      <c r="D107" s="6"/>
      <c r="E107" s="6"/>
      <c r="F107" s="7">
        <v>37.525547027587891</v>
      </c>
      <c r="G107" s="7">
        <v>37.122177124023438</v>
      </c>
      <c r="H107" s="7">
        <v>37.862686157226563</v>
      </c>
      <c r="I107" s="7">
        <v>38.258255004882813</v>
      </c>
      <c r="J107" s="7">
        <v>37.779701232910156</v>
      </c>
      <c r="K107" s="7">
        <v>37.761062622070313</v>
      </c>
      <c r="L107" s="7">
        <v>36.774036407470703</v>
      </c>
      <c r="M107" s="7">
        <v>36.799999237060547</v>
      </c>
      <c r="N107" s="7">
        <v>36.734413146972656</v>
      </c>
      <c r="O107" s="7">
        <v>36.579769134521484</v>
      </c>
      <c r="P107" s="7">
        <v>36.351272583007813</v>
      </c>
      <c r="Q107" s="7">
        <v>36.445049285888672</v>
      </c>
      <c r="R107" s="7">
        <v>36.726619720458984</v>
      </c>
      <c r="S107" s="7">
        <v>36.572166442871094</v>
      </c>
      <c r="T107" s="7">
        <v>36.527671813964844</v>
      </c>
      <c r="U107" s="7">
        <v>36.925483703613281</v>
      </c>
      <c r="V107" s="7">
        <v>37.361072540283203</v>
      </c>
      <c r="W107" s="7">
        <v>36.636077880859375</v>
      </c>
      <c r="X107" s="7">
        <v>36.264820098876953</v>
      </c>
      <c r="Y107" s="7">
        <v>36.682746887207031</v>
      </c>
      <c r="Z107" s="7">
        <v>35.922687530517578</v>
      </c>
      <c r="AA107" s="7">
        <v>35.639614105224609</v>
      </c>
      <c r="AB107" s="7">
        <v>35.984302520751953</v>
      </c>
      <c r="AC107" s="7">
        <v>36.067676544189453</v>
      </c>
      <c r="AD107" s="7">
        <v>35.477474212646484</v>
      </c>
      <c r="AE107" s="7">
        <v>35.361030578613281</v>
      </c>
      <c r="AG107" s="7">
        <f t="shared" si="1"/>
        <v>36.476660294966265</v>
      </c>
    </row>
    <row r="108" spans="1:33" x14ac:dyDescent="0.2">
      <c r="A108" s="5" t="s">
        <v>129</v>
      </c>
      <c r="B108" s="5" t="s">
        <v>323</v>
      </c>
      <c r="C108" s="6"/>
      <c r="D108" s="6"/>
      <c r="E108" s="6"/>
      <c r="F108" s="7">
        <v>14.50444507598877</v>
      </c>
      <c r="G108" s="7">
        <v>14.457326889038086</v>
      </c>
      <c r="H108" s="7">
        <v>14.358869552612305</v>
      </c>
      <c r="I108" s="7">
        <v>14.038469314575195</v>
      </c>
      <c r="J108" s="7">
        <v>13.775131225585938</v>
      </c>
      <c r="K108" s="7">
        <v>13.511862754821777</v>
      </c>
      <c r="L108" s="7">
        <v>13.284341812133789</v>
      </c>
      <c r="M108" s="7">
        <v>13.100000381469727</v>
      </c>
      <c r="N108" s="7">
        <v>13.075545310974121</v>
      </c>
      <c r="O108" s="7">
        <v>13.265688896179199</v>
      </c>
      <c r="P108" s="7">
        <v>13.402470588684082</v>
      </c>
      <c r="Q108" s="7">
        <v>13.302602767944336</v>
      </c>
      <c r="R108" s="7">
        <v>13.301456451416016</v>
      </c>
      <c r="S108" s="7">
        <v>13.31474494934082</v>
      </c>
      <c r="T108" s="7">
        <v>13.165707588195801</v>
      </c>
      <c r="U108" s="7">
        <v>13.112761497497559</v>
      </c>
      <c r="V108" s="7">
        <v>13.581013679504395</v>
      </c>
      <c r="W108" s="7">
        <v>13.63746166229248</v>
      </c>
      <c r="X108" s="7">
        <v>13.497766494750977</v>
      </c>
      <c r="Y108" s="7">
        <v>13.619500160217285</v>
      </c>
      <c r="Z108" s="7">
        <v>13.705997467041016</v>
      </c>
      <c r="AA108" s="7">
        <v>13.638104438781738</v>
      </c>
      <c r="AB108" s="7">
        <v>13.578673362731934</v>
      </c>
      <c r="AC108" s="7">
        <v>13.425085067749023</v>
      </c>
      <c r="AD108" s="7">
        <v>13.20561695098877</v>
      </c>
      <c r="AE108" s="7">
        <v>13.0498046875</v>
      </c>
      <c r="AG108" s="7">
        <f t="shared" si="1"/>
        <v>13.468471613797275</v>
      </c>
    </row>
    <row r="109" spans="1:33" x14ac:dyDescent="0.2">
      <c r="A109" s="5" t="s">
        <v>132</v>
      </c>
      <c r="B109" s="5" t="s">
        <v>326</v>
      </c>
      <c r="C109" s="6"/>
      <c r="D109" s="6"/>
      <c r="E109" s="6"/>
      <c r="F109" s="7">
        <v>13.583328247070313</v>
      </c>
      <c r="G109" s="7">
        <v>13.211451530456543</v>
      </c>
      <c r="H109" s="7">
        <v>12.997607231140137</v>
      </c>
      <c r="I109" s="7">
        <v>12.879841804504395</v>
      </c>
      <c r="J109" s="7">
        <v>12.958155632019043</v>
      </c>
      <c r="K109" s="7">
        <v>13.165830612182617</v>
      </c>
      <c r="L109" s="7">
        <v>12.943758010864258</v>
      </c>
      <c r="M109" s="7">
        <v>12.800000190734863</v>
      </c>
      <c r="N109" s="7">
        <v>12.593494415283203</v>
      </c>
      <c r="O109" s="7">
        <v>12.437593460083008</v>
      </c>
      <c r="P109" s="7">
        <v>12.263771057128906</v>
      </c>
      <c r="Q109" s="7">
        <v>12.070721626281738</v>
      </c>
      <c r="R109" s="7">
        <v>12.313309669494629</v>
      </c>
      <c r="S109" s="7">
        <v>12.45999813079834</v>
      </c>
      <c r="T109" s="7">
        <v>12.32388973236084</v>
      </c>
      <c r="U109" s="7">
        <v>12.659830093383789</v>
      </c>
      <c r="V109" s="7">
        <v>12.686853408813477</v>
      </c>
      <c r="W109" s="7">
        <v>12.705865859985352</v>
      </c>
      <c r="X109" s="7">
        <v>12.577823638916016</v>
      </c>
      <c r="Y109" s="7">
        <v>12.568890571594238</v>
      </c>
      <c r="Z109" s="7">
        <v>12.376603126525879</v>
      </c>
      <c r="AA109" s="7">
        <v>12.13021183013916</v>
      </c>
      <c r="AB109" s="7">
        <v>12.07243824005127</v>
      </c>
      <c r="AC109" s="7">
        <v>11.96082592010498</v>
      </c>
      <c r="AD109" s="7">
        <v>11.954894065856934</v>
      </c>
      <c r="AE109" s="7">
        <v>12.00825309753418</v>
      </c>
      <c r="AG109" s="7">
        <f t="shared" si="1"/>
        <v>12.443246754732998</v>
      </c>
    </row>
    <row r="110" spans="1:33" x14ac:dyDescent="0.2">
      <c r="A110" s="5" t="s">
        <v>128</v>
      </c>
      <c r="B110" s="5" t="s">
        <v>322</v>
      </c>
      <c r="C110" s="6"/>
      <c r="D110" s="6"/>
      <c r="E110" s="6"/>
      <c r="F110" s="7">
        <v>48.380290985107422</v>
      </c>
      <c r="G110" s="7">
        <v>45.979904174804688</v>
      </c>
      <c r="H110" s="7">
        <v>45.978347778320313</v>
      </c>
      <c r="I110" s="7">
        <v>45.125679016113281</v>
      </c>
      <c r="J110" s="7">
        <v>44.841579437255859</v>
      </c>
      <c r="K110" s="7">
        <v>44.967399597167969</v>
      </c>
      <c r="L110" s="7">
        <v>44.978977203369141</v>
      </c>
      <c r="M110" s="7">
        <v>45.200000762939453</v>
      </c>
      <c r="N110" s="7">
        <v>45.224361419677734</v>
      </c>
      <c r="O110" s="7">
        <v>45.299488067626953</v>
      </c>
      <c r="P110" s="7">
        <v>45.752952575683594</v>
      </c>
      <c r="Q110" s="7">
        <v>45.227165222167969</v>
      </c>
      <c r="R110" s="7">
        <v>44.957916259765625</v>
      </c>
      <c r="S110" s="7">
        <v>45.963882446289063</v>
      </c>
      <c r="T110" s="7">
        <v>45.479564666748047</v>
      </c>
      <c r="U110" s="7">
        <v>45.532215118408203</v>
      </c>
      <c r="V110" s="7">
        <v>46.398174285888672</v>
      </c>
      <c r="W110" s="7">
        <v>46.341720581054688</v>
      </c>
      <c r="X110" s="7">
        <v>45.644027709960938</v>
      </c>
      <c r="Y110" s="7">
        <v>44.984786987304688</v>
      </c>
      <c r="Z110" s="7">
        <v>44.041202545166016</v>
      </c>
      <c r="AA110" s="7">
        <v>43.863639831542969</v>
      </c>
      <c r="AB110" s="7">
        <v>43.477588653564453</v>
      </c>
      <c r="AC110" s="7">
        <v>42.742874145507813</v>
      </c>
      <c r="AD110" s="7">
        <v>42.147903442382813</v>
      </c>
      <c r="AE110" s="7">
        <v>43.725582122802734</v>
      </c>
      <c r="AG110" s="7">
        <f t="shared" si="1"/>
        <v>45.153156280517578</v>
      </c>
    </row>
    <row r="111" spans="1:33" x14ac:dyDescent="0.2">
      <c r="A111" s="5" t="s">
        <v>126</v>
      </c>
      <c r="B111" s="5" t="s">
        <v>320</v>
      </c>
      <c r="C111" s="6"/>
      <c r="D111" s="6"/>
      <c r="E111" s="6"/>
      <c r="F111" s="7">
        <v>42.616859436035156</v>
      </c>
      <c r="G111" s="7">
        <v>42.585559844970703</v>
      </c>
      <c r="H111" s="7">
        <v>41.9154052734375</v>
      </c>
      <c r="I111" s="7">
        <v>41.477413177490234</v>
      </c>
      <c r="J111" s="7">
        <v>42.574085235595703</v>
      </c>
      <c r="K111" s="7">
        <v>41.067413330078125</v>
      </c>
      <c r="L111" s="7">
        <v>42.142967224121094</v>
      </c>
      <c r="M111" s="7">
        <v>41.900001525878906</v>
      </c>
      <c r="N111" s="7">
        <v>40.880588531494141</v>
      </c>
      <c r="O111" s="7">
        <v>40.797023773193359</v>
      </c>
      <c r="P111" s="7">
        <v>41.621543884277344</v>
      </c>
      <c r="Q111" s="7">
        <v>42.580223083496094</v>
      </c>
      <c r="R111" s="7">
        <v>43.025928497314453</v>
      </c>
      <c r="S111" s="7">
        <v>42.4453125</v>
      </c>
      <c r="T111" s="7">
        <v>42.821571350097656</v>
      </c>
      <c r="U111" s="7">
        <v>41.850677490234375</v>
      </c>
      <c r="V111" s="7">
        <v>43.166385650634766</v>
      </c>
      <c r="W111" s="7">
        <v>41.323444366455078</v>
      </c>
      <c r="X111" s="7">
        <v>41.909423828125</v>
      </c>
      <c r="Y111" s="7">
        <v>40.005245208740234</v>
      </c>
      <c r="Z111" s="7">
        <v>39.772022247314453</v>
      </c>
      <c r="AA111" s="7">
        <v>39.514591217041016</v>
      </c>
      <c r="AB111" s="7">
        <v>40.295398712158203</v>
      </c>
      <c r="AC111" s="7">
        <v>39.580398559570313</v>
      </c>
      <c r="AD111" s="7">
        <v>38.930782318115234</v>
      </c>
      <c r="AE111" s="7">
        <v>37.834983825683594</v>
      </c>
      <c r="AG111" s="7">
        <f t="shared" si="1"/>
        <v>41.466363733465023</v>
      </c>
    </row>
    <row r="112" spans="1:33" x14ac:dyDescent="0.2">
      <c r="A112" s="5" t="s">
        <v>127</v>
      </c>
      <c r="B112" s="5" t="s">
        <v>321</v>
      </c>
      <c r="C112" s="6"/>
      <c r="D112" s="6"/>
      <c r="E112" s="6"/>
      <c r="F112" s="7">
        <v>57.888980865478516</v>
      </c>
      <c r="G112" s="7">
        <v>58.044582366943359</v>
      </c>
      <c r="H112" s="7">
        <v>58.040874481201172</v>
      </c>
      <c r="I112" s="7">
        <v>57.426128387451172</v>
      </c>
      <c r="J112" s="7">
        <v>57.794464111328125</v>
      </c>
      <c r="K112" s="7">
        <v>58.311714172363281</v>
      </c>
      <c r="L112" s="7">
        <v>58.112579345703125</v>
      </c>
      <c r="M112" s="7">
        <v>57.900001525878906</v>
      </c>
      <c r="N112" s="7">
        <v>57.80230712890625</v>
      </c>
      <c r="O112" s="7">
        <v>57.037300109863281</v>
      </c>
      <c r="P112" s="7">
        <v>56.309967041015625</v>
      </c>
      <c r="Q112" s="7">
        <v>56.886634826660156</v>
      </c>
      <c r="R112" s="7">
        <v>56.329742431640625</v>
      </c>
      <c r="S112" s="7">
        <v>56.556060791015625</v>
      </c>
      <c r="T112" s="7">
        <v>57.751869201660156</v>
      </c>
      <c r="U112" s="7">
        <v>57.151737213134766</v>
      </c>
      <c r="V112" s="7">
        <v>57.454006195068359</v>
      </c>
      <c r="W112" s="7">
        <v>56.844215393066406</v>
      </c>
      <c r="X112" s="7">
        <v>56.248199462890625</v>
      </c>
      <c r="Y112" s="7">
        <v>55.580047607421875</v>
      </c>
      <c r="Z112" s="7">
        <v>54.882492065429688</v>
      </c>
      <c r="AA112" s="7">
        <v>55.11700439453125</v>
      </c>
      <c r="AB112" s="7">
        <v>54.628215789794922</v>
      </c>
      <c r="AC112" s="7">
        <v>55.900505065917969</v>
      </c>
      <c r="AD112" s="7">
        <v>55.828037261962891</v>
      </c>
      <c r="AE112" s="7">
        <v>56.235744476318359</v>
      </c>
      <c r="AG112" s="7">
        <f t="shared" si="1"/>
        <v>56.231235504150391</v>
      </c>
    </row>
    <row r="113" spans="1:33" x14ac:dyDescent="0.2">
      <c r="A113" s="5" t="s">
        <v>408</v>
      </c>
      <c r="B113" s="5" t="s">
        <v>307</v>
      </c>
      <c r="C113" s="6"/>
      <c r="D113" s="6"/>
      <c r="E113" s="6"/>
      <c r="F113" s="7">
        <v>39.132328033447266</v>
      </c>
      <c r="G113" s="7">
        <v>38.735092163085938</v>
      </c>
      <c r="H113" s="7">
        <v>38.679908752441406</v>
      </c>
      <c r="I113" s="7">
        <v>38.887504577636719</v>
      </c>
      <c r="J113" s="7">
        <v>39.410415649414063</v>
      </c>
      <c r="K113" s="7">
        <v>39.325870513916016</v>
      </c>
      <c r="L113" s="7">
        <v>39.159065246582031</v>
      </c>
      <c r="M113" s="7">
        <v>38.200000762939453</v>
      </c>
      <c r="N113" s="7">
        <v>40.277530670166016</v>
      </c>
      <c r="O113" s="7">
        <v>39.287136077880859</v>
      </c>
      <c r="P113" s="7">
        <v>38.556842803955078</v>
      </c>
      <c r="Q113" s="7">
        <v>38.006843566894531</v>
      </c>
      <c r="R113" s="7">
        <v>37.499217987060547</v>
      </c>
      <c r="S113" s="7">
        <v>37.069450378417969</v>
      </c>
      <c r="T113" s="7">
        <v>36.774188995361328</v>
      </c>
      <c r="U113" s="7">
        <v>36.751930236816406</v>
      </c>
      <c r="V113" s="7">
        <v>36.857414245605469</v>
      </c>
      <c r="W113" s="7">
        <v>36.413959503173828</v>
      </c>
      <c r="X113" s="7">
        <v>36.180576324462891</v>
      </c>
      <c r="Y113" s="7">
        <v>36.326641082763672</v>
      </c>
      <c r="Z113" s="7">
        <v>35.644451141357422</v>
      </c>
      <c r="AA113" s="7">
        <v>35.061504364013672</v>
      </c>
      <c r="AB113" s="7">
        <v>34.632881164550781</v>
      </c>
      <c r="AC113" s="7">
        <v>33.815109252929688</v>
      </c>
      <c r="AD113" s="7">
        <v>33.526847839355469</v>
      </c>
      <c r="AE113" s="7">
        <v>33.359638214111328</v>
      </c>
      <c r="AG113" s="7">
        <f t="shared" si="1"/>
        <v>36.29201958396218</v>
      </c>
    </row>
    <row r="114" spans="1:33" x14ac:dyDescent="0.2">
      <c r="A114" s="5" t="s">
        <v>130</v>
      </c>
      <c r="B114" s="5" t="s">
        <v>324</v>
      </c>
      <c r="C114" s="6"/>
      <c r="D114" s="6"/>
      <c r="E114" s="6"/>
      <c r="F114" s="7">
        <v>21.557796478271484</v>
      </c>
      <c r="G114" s="7">
        <v>21.115396499633789</v>
      </c>
      <c r="H114" s="7">
        <v>20.706182479858398</v>
      </c>
      <c r="I114" s="7">
        <v>20.188297271728516</v>
      </c>
      <c r="J114" s="7">
        <v>19.645698547363281</v>
      </c>
      <c r="K114" s="7">
        <v>19.629734039306641</v>
      </c>
      <c r="L114" s="7">
        <v>19.558116912841797</v>
      </c>
      <c r="M114" s="7">
        <v>19.100000381469727</v>
      </c>
      <c r="N114" s="7">
        <v>19.214912414550781</v>
      </c>
      <c r="O114" s="7">
        <v>19.537372589111328</v>
      </c>
      <c r="P114" s="7">
        <v>19.652015686035156</v>
      </c>
      <c r="Q114" s="7">
        <v>18.861856460571289</v>
      </c>
      <c r="R114" s="7">
        <v>18.893455505371094</v>
      </c>
      <c r="S114" s="7">
        <v>18.400335311889648</v>
      </c>
      <c r="T114" s="7">
        <v>17.857872009277344</v>
      </c>
      <c r="U114" s="7">
        <v>18.223838806152344</v>
      </c>
      <c r="V114" s="7">
        <v>19.129404067993164</v>
      </c>
      <c r="W114" s="7">
        <v>19.119108200073242</v>
      </c>
      <c r="X114" s="7">
        <v>19.089311599731445</v>
      </c>
      <c r="Y114" s="7">
        <v>18.80955696105957</v>
      </c>
      <c r="Z114" s="7">
        <v>18.985355377197266</v>
      </c>
      <c r="AA114" s="7">
        <v>19.152395248413086</v>
      </c>
      <c r="AB114" s="7">
        <v>19.437492370605469</v>
      </c>
      <c r="AC114" s="7">
        <v>19.687807083129883</v>
      </c>
      <c r="AD114" s="7">
        <v>19.215763092041016</v>
      </c>
      <c r="AE114" s="7">
        <v>19.175691604614258</v>
      </c>
      <c r="AG114" s="7">
        <f t="shared" si="1"/>
        <v>18.827102314342152</v>
      </c>
    </row>
    <row r="115" spans="1:33" x14ac:dyDescent="0.2">
      <c r="A115" s="5" t="s">
        <v>133</v>
      </c>
      <c r="B115" s="5" t="s">
        <v>327</v>
      </c>
      <c r="C115" s="6"/>
      <c r="D115" s="6"/>
      <c r="E115" s="6"/>
      <c r="F115" s="7">
        <v>20.5142822265625</v>
      </c>
      <c r="G115" s="7">
        <v>20.432271957397461</v>
      </c>
      <c r="H115" s="7">
        <v>20.249212265014648</v>
      </c>
      <c r="I115" s="7">
        <v>19.890735626220703</v>
      </c>
      <c r="J115" s="7">
        <v>19.401689529418945</v>
      </c>
      <c r="K115" s="7">
        <v>19.456705093383789</v>
      </c>
      <c r="L115" s="7">
        <v>19.450649261474609</v>
      </c>
      <c r="M115" s="7">
        <v>18.899999618530273</v>
      </c>
      <c r="N115" s="7">
        <v>18.674633026123047</v>
      </c>
      <c r="O115" s="7">
        <v>18.963207244873047</v>
      </c>
      <c r="P115" s="7">
        <v>19.220634460449219</v>
      </c>
      <c r="Q115" s="7">
        <v>19.347925186157227</v>
      </c>
      <c r="R115" s="7">
        <v>19.398677825927734</v>
      </c>
      <c r="S115" s="7">
        <v>18.973880767822266</v>
      </c>
      <c r="T115" s="7">
        <v>18.813661575317383</v>
      </c>
      <c r="U115" s="7">
        <v>17.831518173217773</v>
      </c>
      <c r="V115" s="7">
        <v>18.14433479309082</v>
      </c>
      <c r="W115" s="7">
        <v>18.125181198120117</v>
      </c>
      <c r="X115" s="7">
        <v>19.059347152709961</v>
      </c>
      <c r="Y115" s="7">
        <v>18.982866287231445</v>
      </c>
      <c r="Z115" s="7">
        <v>19.500778198242188</v>
      </c>
      <c r="AA115" s="7">
        <v>20.086919784545898</v>
      </c>
      <c r="AB115" s="7">
        <v>20.624727249145508</v>
      </c>
      <c r="AC115" s="7">
        <v>20.558897018432617</v>
      </c>
      <c r="AD115" s="7">
        <v>20.526351928710938</v>
      </c>
      <c r="AE115" s="7">
        <v>20.561939239501953</v>
      </c>
      <c r="AG115" s="7">
        <f t="shared" si="1"/>
        <v>19.049263000488281</v>
      </c>
    </row>
    <row r="116" spans="1:33" x14ac:dyDescent="0.2">
      <c r="A116" s="5" t="s">
        <v>134</v>
      </c>
      <c r="B116" s="5" t="s">
        <v>328</v>
      </c>
      <c r="C116" s="6"/>
      <c r="D116" s="6"/>
      <c r="E116" s="6"/>
      <c r="F116" s="7">
        <v>38.233291625976563</v>
      </c>
      <c r="G116" s="7">
        <v>37.76300048828125</v>
      </c>
      <c r="H116" s="7">
        <v>37.646823883056641</v>
      </c>
      <c r="I116" s="7">
        <v>37.892341613769531</v>
      </c>
      <c r="J116" s="7">
        <v>37.759971618652344</v>
      </c>
      <c r="K116" s="7">
        <v>37.401515960693359</v>
      </c>
      <c r="L116" s="7">
        <v>37.19488525390625</v>
      </c>
      <c r="M116" s="7">
        <v>36.799999237060547</v>
      </c>
      <c r="N116" s="7">
        <v>36.423965454101563</v>
      </c>
      <c r="O116" s="7">
        <v>36.676769256591797</v>
      </c>
      <c r="P116" s="7">
        <v>36.477916717529297</v>
      </c>
      <c r="Q116" s="7">
        <v>35.863716125488281</v>
      </c>
      <c r="R116" s="7">
        <v>35.188694000244141</v>
      </c>
      <c r="S116" s="7">
        <v>35.459102630615234</v>
      </c>
      <c r="T116" s="7">
        <v>34.920337677001953</v>
      </c>
      <c r="U116" s="7">
        <v>35.273323059082031</v>
      </c>
      <c r="V116" s="7">
        <v>35.677761077880859</v>
      </c>
      <c r="W116" s="7">
        <v>35.581043243408203</v>
      </c>
      <c r="X116" s="7">
        <v>35.386989593505859</v>
      </c>
      <c r="Y116" s="7">
        <v>35.483333587646484</v>
      </c>
      <c r="Z116" s="7">
        <v>35.481830596923828</v>
      </c>
      <c r="AA116" s="7">
        <v>35.109752655029297</v>
      </c>
      <c r="AB116" s="7">
        <v>34.969486236572266</v>
      </c>
      <c r="AC116" s="7">
        <v>34.779216766357422</v>
      </c>
      <c r="AD116" s="7">
        <v>34.353523254394531</v>
      </c>
      <c r="AE116" s="7">
        <v>34.196392059326172</v>
      </c>
      <c r="AG116" s="7">
        <f t="shared" si="1"/>
        <v>35.321059487082742</v>
      </c>
    </row>
    <row r="117" spans="1:33" x14ac:dyDescent="0.2">
      <c r="A117" s="5" t="s">
        <v>135</v>
      </c>
      <c r="B117" s="5" t="s">
        <v>329</v>
      </c>
      <c r="C117" s="6"/>
      <c r="D117" s="6"/>
      <c r="E117" s="6"/>
      <c r="F117" s="7">
        <v>65.386558532714844</v>
      </c>
      <c r="G117" s="7">
        <v>65.244247436523438</v>
      </c>
      <c r="H117" s="7">
        <v>65.429725646972656</v>
      </c>
      <c r="I117" s="7">
        <v>65.00640869140625</v>
      </c>
      <c r="J117" s="7">
        <v>63.879978179931641</v>
      </c>
      <c r="K117" s="7">
        <v>63.599876403808594</v>
      </c>
      <c r="L117" s="7">
        <v>63.667995452880859</v>
      </c>
      <c r="M117" s="7">
        <v>64.099998474121094</v>
      </c>
      <c r="N117" s="7">
        <v>65.002189636230469</v>
      </c>
      <c r="O117" s="7">
        <v>65.800178527832031</v>
      </c>
      <c r="P117" s="7">
        <v>65.368820190429688</v>
      </c>
      <c r="Q117" s="7">
        <v>64.786689758300781</v>
      </c>
      <c r="R117" s="7">
        <v>63.630165100097656</v>
      </c>
      <c r="S117" s="7">
        <v>62.674163818359375</v>
      </c>
      <c r="T117" s="7">
        <v>61.293128967285156</v>
      </c>
      <c r="U117" s="7">
        <v>60.529548645019531</v>
      </c>
      <c r="V117" s="7">
        <v>60.543972015380859</v>
      </c>
      <c r="W117" s="7">
        <v>60.666786193847656</v>
      </c>
      <c r="X117" s="7">
        <v>59.51434326171875</v>
      </c>
      <c r="Y117" s="7">
        <v>57.702728271484375</v>
      </c>
      <c r="Z117" s="7">
        <v>57.201725006103516</v>
      </c>
      <c r="AA117" s="7">
        <v>56.628391265869141</v>
      </c>
      <c r="AB117" s="7">
        <v>56.360111236572266</v>
      </c>
      <c r="AC117" s="7">
        <v>56.789619445800781</v>
      </c>
      <c r="AD117" s="7">
        <v>57.031055450439453</v>
      </c>
      <c r="AE117" s="7">
        <v>58.259449005126953</v>
      </c>
      <c r="AG117" s="7">
        <f t="shared" si="1"/>
        <v>59.70409670743075</v>
      </c>
    </row>
    <row r="118" spans="1:33" x14ac:dyDescent="0.2">
      <c r="A118" s="5" t="s">
        <v>138</v>
      </c>
      <c r="B118" s="5" t="s">
        <v>332</v>
      </c>
      <c r="C118" s="6"/>
      <c r="D118" s="6"/>
      <c r="E118" s="6"/>
      <c r="F118" s="7">
        <v>35.949031829833984</v>
      </c>
      <c r="G118" s="7">
        <v>35.073257446289063</v>
      </c>
      <c r="H118" s="7">
        <v>35.702064514160156</v>
      </c>
      <c r="I118" s="7">
        <v>34.888317108154297</v>
      </c>
      <c r="J118" s="7">
        <v>35.811408996582031</v>
      </c>
      <c r="K118" s="7">
        <v>35.817420959472656</v>
      </c>
      <c r="L118" s="7">
        <v>35.750576019287109</v>
      </c>
      <c r="M118" s="7">
        <v>36.099998474121094</v>
      </c>
      <c r="N118" s="7">
        <v>36.098041534423828</v>
      </c>
      <c r="O118" s="7">
        <v>36.126331329345703</v>
      </c>
      <c r="P118" s="7">
        <v>36.191486358642578</v>
      </c>
      <c r="Q118" s="7">
        <v>36.357021331787109</v>
      </c>
      <c r="R118" s="7">
        <v>36.453018188476563</v>
      </c>
      <c r="S118" s="7">
        <v>36.154579162597656</v>
      </c>
      <c r="T118" s="7">
        <v>35.479442596435547</v>
      </c>
      <c r="U118" s="7">
        <v>35.577167510986328</v>
      </c>
      <c r="V118" s="7">
        <v>35.514816284179688</v>
      </c>
      <c r="W118" s="7">
        <v>34.515312194824219</v>
      </c>
      <c r="X118" s="7">
        <v>34.747215270996094</v>
      </c>
      <c r="Y118" s="7">
        <v>35.038135528564453</v>
      </c>
      <c r="Z118" s="7">
        <v>36.006198883056641</v>
      </c>
      <c r="AA118" s="7">
        <v>34.881317138671875</v>
      </c>
      <c r="AB118" s="7">
        <v>32.963401794433594</v>
      </c>
      <c r="AC118" s="7">
        <v>32.999271392822266</v>
      </c>
      <c r="AD118" s="7"/>
      <c r="AE118" s="7"/>
      <c r="AG118" s="7">
        <f t="shared" si="1"/>
        <v>35.211873141202062</v>
      </c>
    </row>
    <row r="119" spans="1:33" x14ac:dyDescent="0.2">
      <c r="A119" s="5" t="s">
        <v>142</v>
      </c>
      <c r="B119" s="5" t="s">
        <v>336</v>
      </c>
      <c r="C119" s="6"/>
      <c r="D119" s="6"/>
      <c r="E119" s="6"/>
      <c r="F119" s="7">
        <v>38.463050842285156</v>
      </c>
      <c r="G119" s="7">
        <v>38.204418182373047</v>
      </c>
      <c r="H119" s="7">
        <v>37.351268768310547</v>
      </c>
      <c r="I119" s="7">
        <v>37.892436981201172</v>
      </c>
      <c r="J119" s="7">
        <v>38.248153686523438</v>
      </c>
      <c r="K119" s="7">
        <v>38.591854095458984</v>
      </c>
      <c r="L119" s="7">
        <v>38.997547149658203</v>
      </c>
      <c r="M119" s="7">
        <v>39.799999237060547</v>
      </c>
      <c r="N119" s="7">
        <v>39.542819976806641</v>
      </c>
      <c r="O119" s="7">
        <v>39.664463043212891</v>
      </c>
      <c r="P119" s="7">
        <v>38.570163726806641</v>
      </c>
      <c r="Q119" s="7">
        <v>38.21893310546875</v>
      </c>
      <c r="R119" s="7">
        <v>37.885318756103516</v>
      </c>
      <c r="S119" s="7">
        <v>38.145149230957031</v>
      </c>
      <c r="T119" s="7">
        <v>37.235729217529297</v>
      </c>
      <c r="U119" s="7">
        <v>36.667182922363281</v>
      </c>
      <c r="V119" s="7">
        <v>37.732620239257813</v>
      </c>
      <c r="W119" s="7">
        <v>36.774543762207031</v>
      </c>
      <c r="X119" s="7">
        <v>36.563827514648438</v>
      </c>
      <c r="Y119" s="7">
        <v>37.612052917480469</v>
      </c>
      <c r="Z119" s="7">
        <v>36.776336669921875</v>
      </c>
      <c r="AA119" s="7">
        <v>36.554691314697266</v>
      </c>
      <c r="AB119" s="7">
        <v>36.465343475341797</v>
      </c>
      <c r="AC119" s="7">
        <v>35.834114074707031</v>
      </c>
      <c r="AD119" s="7">
        <v>35.258815765380859</v>
      </c>
      <c r="AE119" s="7">
        <v>34.655487060546875</v>
      </c>
      <c r="AG119" s="7">
        <f t="shared" si="1"/>
        <v>37.128436001864344</v>
      </c>
    </row>
    <row r="120" spans="1:33" x14ac:dyDescent="0.2">
      <c r="A120" s="5" t="s">
        <v>136</v>
      </c>
      <c r="B120" s="5" t="s">
        <v>330</v>
      </c>
      <c r="C120" s="6"/>
      <c r="D120" s="6"/>
      <c r="E120" s="6"/>
      <c r="F120" s="7">
        <v>58.909141540527344</v>
      </c>
      <c r="G120" s="7">
        <v>58.379558563232422</v>
      </c>
      <c r="H120" s="7">
        <v>58.962688446044922</v>
      </c>
      <c r="I120" s="7">
        <v>59.181247711181641</v>
      </c>
      <c r="J120" s="7">
        <v>58.308486938476563</v>
      </c>
      <c r="K120" s="7">
        <v>58.674892425537109</v>
      </c>
      <c r="L120" s="7">
        <v>59.806411743164063</v>
      </c>
      <c r="M120" s="7">
        <v>59.900001525878906</v>
      </c>
      <c r="N120" s="7">
        <v>59.829681396484375</v>
      </c>
      <c r="O120" s="7">
        <v>59.679298400878906</v>
      </c>
      <c r="P120" s="7">
        <v>60.074298858642578</v>
      </c>
      <c r="Q120" s="7">
        <v>59.445056915283203</v>
      </c>
      <c r="R120" s="7">
        <v>59.439952850341797</v>
      </c>
      <c r="S120" s="7">
        <v>58.542522430419922</v>
      </c>
      <c r="T120" s="7">
        <v>57.480792999267578</v>
      </c>
      <c r="U120" s="7">
        <v>56.620574951171875</v>
      </c>
      <c r="V120" s="7">
        <v>57.424453735351563</v>
      </c>
      <c r="W120" s="7">
        <v>55.723663330078125</v>
      </c>
      <c r="X120" s="7">
        <v>55.09564208984375</v>
      </c>
      <c r="Y120" s="7">
        <v>54.889373779296875</v>
      </c>
      <c r="Z120" s="7">
        <v>55.020412445068359</v>
      </c>
      <c r="AA120" s="7">
        <v>55.849620819091797</v>
      </c>
      <c r="AB120" s="7">
        <v>56.935768127441406</v>
      </c>
      <c r="AC120" s="7">
        <v>56.905063629150391</v>
      </c>
      <c r="AD120" s="7">
        <v>56.755207061767578</v>
      </c>
      <c r="AE120" s="7">
        <v>56.624565124511719</v>
      </c>
      <c r="AG120" s="7">
        <f t="shared" si="1"/>
        <v>56.638434323397547</v>
      </c>
    </row>
    <row r="121" spans="1:33" x14ac:dyDescent="0.2">
      <c r="A121" s="5" t="s">
        <v>137</v>
      </c>
      <c r="B121" s="5" t="s">
        <v>331</v>
      </c>
      <c r="C121" s="6"/>
      <c r="D121" s="6"/>
      <c r="E121" s="6"/>
      <c r="F121" s="7">
        <v>42.508522033691406</v>
      </c>
      <c r="G121" s="7">
        <v>42.708442687988281</v>
      </c>
      <c r="H121" s="7">
        <v>42.920429229736328</v>
      </c>
      <c r="I121" s="7">
        <v>43.375980377197266</v>
      </c>
      <c r="J121" s="7">
        <v>43.638729095458984</v>
      </c>
      <c r="K121" s="7">
        <v>43.726425170898438</v>
      </c>
      <c r="L121" s="7">
        <v>43.331321716308594</v>
      </c>
      <c r="M121" s="7">
        <v>43.299999237060547</v>
      </c>
      <c r="N121" s="7">
        <v>43.009059906005859</v>
      </c>
      <c r="O121" s="7">
        <v>42.707901000976563</v>
      </c>
      <c r="P121" s="7">
        <v>42.277645111083984</v>
      </c>
      <c r="Q121" s="7">
        <v>41.993045806884766</v>
      </c>
      <c r="R121" s="7">
        <v>40.613670349121094</v>
      </c>
      <c r="S121" s="7">
        <v>40.731624603271484</v>
      </c>
      <c r="T121" s="7">
        <v>40.024093627929688</v>
      </c>
      <c r="U121" s="7">
        <v>39.741130828857422</v>
      </c>
      <c r="V121" s="7">
        <v>40.42449951171875</v>
      </c>
      <c r="W121" s="7">
        <v>39.919193267822266</v>
      </c>
      <c r="X121" s="7">
        <v>39.566719055175781</v>
      </c>
      <c r="Y121" s="7">
        <v>39.816764831542969</v>
      </c>
      <c r="Z121" s="7">
        <v>39.459068298339844</v>
      </c>
      <c r="AA121" s="7">
        <v>38.856590270996094</v>
      </c>
      <c r="AB121" s="7">
        <v>38.754867553710938</v>
      </c>
      <c r="AC121" s="7">
        <v>38.6661376953125</v>
      </c>
      <c r="AD121" s="7">
        <v>38.331348419189453</v>
      </c>
      <c r="AE121" s="7">
        <v>38.056636810302734</v>
      </c>
      <c r="AG121" s="7">
        <f t="shared" si="1"/>
        <v>39.809838381680578</v>
      </c>
    </row>
    <row r="122" spans="1:33" x14ac:dyDescent="0.2">
      <c r="A122" s="5" t="s">
        <v>139</v>
      </c>
      <c r="B122" s="5" t="s">
        <v>333</v>
      </c>
      <c r="C122" s="6"/>
      <c r="D122" s="6"/>
      <c r="E122" s="6"/>
      <c r="F122" s="7">
        <v>30.312187194824219</v>
      </c>
      <c r="G122" s="7">
        <v>28.66264533996582</v>
      </c>
      <c r="H122" s="7">
        <v>28.481906890869141</v>
      </c>
      <c r="I122" s="7">
        <v>27.980300903320313</v>
      </c>
      <c r="J122" s="7">
        <v>27.586706161499023</v>
      </c>
      <c r="K122" s="7">
        <v>27.275154113769531</v>
      </c>
      <c r="L122" s="7">
        <v>27.403480529785156</v>
      </c>
      <c r="M122" s="7">
        <v>27.600000381469727</v>
      </c>
      <c r="N122" s="7">
        <v>28.030490875244141</v>
      </c>
      <c r="O122" s="7">
        <v>28.116519927978516</v>
      </c>
      <c r="P122" s="7">
        <v>28.09295654296875</v>
      </c>
      <c r="Q122" s="7">
        <v>27.727672576904297</v>
      </c>
      <c r="R122" s="7">
        <v>27.560995101928711</v>
      </c>
      <c r="S122" s="7">
        <v>27.428564071655273</v>
      </c>
      <c r="T122" s="7">
        <v>26.812393188476563</v>
      </c>
      <c r="U122" s="7">
        <v>26.687343597412109</v>
      </c>
      <c r="V122" s="7">
        <v>26.62309455871582</v>
      </c>
      <c r="W122" s="7">
        <v>26.61674690246582</v>
      </c>
      <c r="X122" s="7">
        <v>25.934940338134766</v>
      </c>
      <c r="Y122" s="7">
        <v>25.764541625976563</v>
      </c>
      <c r="Z122" s="7">
        <v>25.761785507202148</v>
      </c>
      <c r="AA122" s="7">
        <v>25.456199645996094</v>
      </c>
      <c r="AB122" s="7">
        <v>25.333209991455078</v>
      </c>
      <c r="AC122" s="7">
        <v>25.194816589355469</v>
      </c>
      <c r="AD122" s="7">
        <v>24.903894424438477</v>
      </c>
      <c r="AE122" s="7">
        <v>24.655708312988281</v>
      </c>
      <c r="AG122" s="7">
        <f t="shared" si="1"/>
        <v>26.361801320856269</v>
      </c>
    </row>
    <row r="123" spans="1:33" x14ac:dyDescent="0.2">
      <c r="A123" s="5" t="s">
        <v>141</v>
      </c>
      <c r="B123" s="5" t="s">
        <v>335</v>
      </c>
      <c r="C123" s="6"/>
      <c r="D123" s="6"/>
      <c r="E123" s="6"/>
      <c r="F123" s="7">
        <v>24.153495788574219</v>
      </c>
      <c r="G123" s="7">
        <v>24.172082901000977</v>
      </c>
      <c r="H123" s="7">
        <v>23.858766555786133</v>
      </c>
      <c r="I123" s="7">
        <v>23.474882125854492</v>
      </c>
      <c r="J123" s="7">
        <v>23.177158355712891</v>
      </c>
      <c r="K123" s="7">
        <v>22.880544662475586</v>
      </c>
      <c r="L123" s="7">
        <v>22.698989868164063</v>
      </c>
      <c r="M123" s="7">
        <v>22.700000762939453</v>
      </c>
      <c r="N123" s="7">
        <v>22.589710235595703</v>
      </c>
      <c r="O123" s="7">
        <v>22.592563629150391</v>
      </c>
      <c r="P123" s="7">
        <v>22.967681884765625</v>
      </c>
      <c r="Q123" s="7">
        <v>23.043920516967773</v>
      </c>
      <c r="R123" s="7">
        <v>23.187883377075195</v>
      </c>
      <c r="S123" s="7">
        <v>23.084957122802734</v>
      </c>
      <c r="T123" s="7">
        <v>22.656179428100586</v>
      </c>
      <c r="U123" s="7">
        <v>22.453767776489258</v>
      </c>
      <c r="V123" s="7">
        <v>23.189002990722656</v>
      </c>
      <c r="W123" s="7">
        <v>23.06309700012207</v>
      </c>
      <c r="X123" s="7">
        <v>23.136272430419922</v>
      </c>
      <c r="Y123" s="7">
        <v>23.15557861328125</v>
      </c>
      <c r="Z123" s="7">
        <v>23.146377563476563</v>
      </c>
      <c r="AA123" s="7">
        <v>23.072483062744141</v>
      </c>
      <c r="AB123" s="7">
        <v>22.374616622924805</v>
      </c>
      <c r="AC123" s="7">
        <v>22.029930114746094</v>
      </c>
      <c r="AD123" s="7">
        <v>21.315744400024414</v>
      </c>
      <c r="AE123" s="7">
        <v>21.044055938720703</v>
      </c>
      <c r="AG123" s="7">
        <f t="shared" si="1"/>
        <v>22.956383271650836</v>
      </c>
    </row>
    <row r="124" spans="1:33" x14ac:dyDescent="0.2">
      <c r="A124" s="5" t="s">
        <v>145</v>
      </c>
      <c r="B124" s="5" t="s">
        <v>339</v>
      </c>
      <c r="C124" s="6"/>
      <c r="D124" s="6"/>
      <c r="E124" s="6"/>
      <c r="F124" s="7">
        <v>20.667341232299805</v>
      </c>
      <c r="G124" s="7">
        <v>20.629730224609375</v>
      </c>
      <c r="H124" s="7">
        <v>20.497766494750977</v>
      </c>
      <c r="I124" s="7">
        <v>20.511396408081055</v>
      </c>
      <c r="J124" s="7">
        <v>19.606863021850586</v>
      </c>
      <c r="K124" s="7">
        <v>19.284543991088867</v>
      </c>
      <c r="L124" s="7">
        <v>19.143970489501953</v>
      </c>
      <c r="M124" s="7">
        <v>19</v>
      </c>
      <c r="N124" s="7">
        <v>18.866476058959961</v>
      </c>
      <c r="O124" s="7">
        <v>18.614984512329102</v>
      </c>
      <c r="P124" s="7">
        <v>18.846958160400391</v>
      </c>
      <c r="Q124" s="7">
        <v>18.544332504272461</v>
      </c>
      <c r="R124" s="7">
        <v>18.814949035644531</v>
      </c>
      <c r="S124" s="7">
        <v>18.337810516357422</v>
      </c>
      <c r="T124" s="7">
        <v>18.216230392456055</v>
      </c>
      <c r="U124" s="7">
        <v>17.981063842773438</v>
      </c>
      <c r="V124" s="7">
        <v>18.114246368408203</v>
      </c>
      <c r="W124" s="7">
        <v>17.845104217529297</v>
      </c>
      <c r="X124" s="7">
        <v>17.698846817016602</v>
      </c>
      <c r="Y124" s="7">
        <v>17.75701904296875</v>
      </c>
      <c r="Z124" s="7">
        <v>17.787897109985352</v>
      </c>
      <c r="AA124" s="7">
        <v>17.942461013793945</v>
      </c>
      <c r="AB124" s="7">
        <v>18.125802993774414</v>
      </c>
      <c r="AC124" s="7">
        <v>18.276369094848633</v>
      </c>
      <c r="AD124" s="7">
        <v>18.230398178100586</v>
      </c>
      <c r="AE124" s="7">
        <v>18.266189575195313</v>
      </c>
      <c r="AG124" s="7">
        <f t="shared" si="1"/>
        <v>18.056493759155273</v>
      </c>
    </row>
    <row r="125" spans="1:33" x14ac:dyDescent="0.2">
      <c r="A125" s="5" t="s">
        <v>146</v>
      </c>
      <c r="B125" s="5" t="s">
        <v>340</v>
      </c>
      <c r="C125" s="6"/>
      <c r="D125" s="6"/>
      <c r="E125" s="6"/>
      <c r="F125" s="7">
        <v>33.422595977783203</v>
      </c>
      <c r="G125" s="7">
        <v>33.74066162109375</v>
      </c>
      <c r="H125" s="7">
        <v>33.045982360839844</v>
      </c>
      <c r="I125" s="7">
        <v>32.453815460205078</v>
      </c>
      <c r="J125" s="7">
        <v>32.819446563720703</v>
      </c>
      <c r="K125" s="7">
        <v>32.847511291503906</v>
      </c>
      <c r="L125" s="7">
        <v>34.374576568603516</v>
      </c>
      <c r="M125" s="7">
        <v>34.400001525878906</v>
      </c>
      <c r="N125" s="7">
        <v>33.677265167236328</v>
      </c>
      <c r="O125" s="7">
        <v>33.398830413818359</v>
      </c>
      <c r="P125" s="7">
        <v>33.527141571044922</v>
      </c>
      <c r="Q125" s="7">
        <v>32.882354736328125</v>
      </c>
      <c r="R125" s="7">
        <v>33.228137969970703</v>
      </c>
      <c r="S125" s="7">
        <v>32.717308044433594</v>
      </c>
      <c r="T125" s="7">
        <v>32.181289672851563</v>
      </c>
      <c r="U125" s="7">
        <v>31.764217376708984</v>
      </c>
      <c r="V125" s="7">
        <v>32.356365203857422</v>
      </c>
      <c r="W125" s="7">
        <v>32.247791290283203</v>
      </c>
      <c r="X125" s="7">
        <v>31.881767272949219</v>
      </c>
      <c r="Y125" s="7">
        <v>31.74085807800293</v>
      </c>
      <c r="Z125" s="7">
        <v>31.144191741943359</v>
      </c>
      <c r="AA125" s="7">
        <v>30.884061813354492</v>
      </c>
      <c r="AB125" s="7">
        <v>30.577678680419922</v>
      </c>
      <c r="AC125" s="7">
        <v>30.701507568359375</v>
      </c>
      <c r="AD125" s="7">
        <v>30.283464431762695</v>
      </c>
      <c r="AE125" s="7">
        <v>30.269315719604492</v>
      </c>
      <c r="AG125" s="7">
        <f t="shared" si="1"/>
        <v>31.883969740434125</v>
      </c>
    </row>
    <row r="126" spans="1:33" x14ac:dyDescent="0.2">
      <c r="A126" s="5" t="s">
        <v>147</v>
      </c>
      <c r="B126" s="5" t="s">
        <v>341</v>
      </c>
      <c r="C126" s="6"/>
      <c r="D126" s="6"/>
      <c r="E126" s="6"/>
      <c r="F126" s="7">
        <v>46.985279083251953</v>
      </c>
      <c r="G126" s="7">
        <v>47.454952239990234</v>
      </c>
      <c r="H126" s="7">
        <v>47.803607940673828</v>
      </c>
      <c r="I126" s="7">
        <v>48.135852813720703</v>
      </c>
      <c r="J126" s="7">
        <v>49.288383483886719</v>
      </c>
      <c r="K126" s="7">
        <v>48.790904998779297</v>
      </c>
      <c r="L126" s="7">
        <v>46.579627990722656</v>
      </c>
      <c r="M126" s="7">
        <v>46.099998474121094</v>
      </c>
      <c r="N126" s="7">
        <v>45.988021850585938</v>
      </c>
      <c r="O126" s="7">
        <v>46.018283843994141</v>
      </c>
      <c r="P126" s="7">
        <v>45.823448181152344</v>
      </c>
      <c r="Q126" s="7">
        <v>45.010528564453125</v>
      </c>
      <c r="R126" s="7">
        <v>44.594123840332031</v>
      </c>
      <c r="S126" s="7">
        <v>44.259132385253906</v>
      </c>
      <c r="T126" s="7">
        <v>43.461936950683594</v>
      </c>
      <c r="U126" s="7">
        <v>43.349033355712891</v>
      </c>
      <c r="V126" s="7">
        <v>45.629447937011719</v>
      </c>
      <c r="W126" s="7">
        <v>44.327236175537109</v>
      </c>
      <c r="X126" s="7">
        <v>43.350135803222656</v>
      </c>
      <c r="Y126" s="7">
        <v>43.066764831542969</v>
      </c>
      <c r="Z126" s="7">
        <v>43.1806640625</v>
      </c>
      <c r="AA126" s="7">
        <v>42.575553894042969</v>
      </c>
      <c r="AB126" s="7">
        <v>42.841815948486328</v>
      </c>
      <c r="AC126" s="7">
        <v>43.104988098144531</v>
      </c>
      <c r="AD126" s="7">
        <v>42.678352355957031</v>
      </c>
      <c r="AE126" s="7">
        <v>42.117359161376953</v>
      </c>
      <c r="AG126" s="7">
        <f t="shared" si="1"/>
        <v>43.694167744029649</v>
      </c>
    </row>
    <row r="127" spans="1:33" x14ac:dyDescent="0.2">
      <c r="A127" s="5" t="s">
        <v>148</v>
      </c>
      <c r="B127" s="5" t="s">
        <v>342</v>
      </c>
      <c r="C127" s="6"/>
      <c r="D127" s="6"/>
      <c r="E127" s="6"/>
      <c r="F127" s="7">
        <v>38.862274169921875</v>
      </c>
      <c r="G127" s="7">
        <v>39.664005279541016</v>
      </c>
      <c r="H127" s="7">
        <v>38.870048522949219</v>
      </c>
      <c r="I127" s="7">
        <v>39.315555572509766</v>
      </c>
      <c r="J127" s="7">
        <v>38.726467132568359</v>
      </c>
      <c r="K127" s="7">
        <v>38.735935211181641</v>
      </c>
      <c r="L127" s="7">
        <v>40.458736419677734</v>
      </c>
      <c r="M127" s="7">
        <v>40.299999237060547</v>
      </c>
      <c r="N127" s="7">
        <v>40.2640380859375</v>
      </c>
      <c r="O127" s="7">
        <v>40.235031127929688</v>
      </c>
      <c r="P127" s="7">
        <v>40.036041259765625</v>
      </c>
      <c r="Q127" s="7">
        <v>39.633224487304688</v>
      </c>
      <c r="R127" s="7">
        <v>39.561611175537109</v>
      </c>
      <c r="S127" s="7">
        <v>38.762535095214844</v>
      </c>
      <c r="T127" s="7">
        <v>38.196319580078125</v>
      </c>
      <c r="U127" s="7">
        <v>37.478126525878906</v>
      </c>
      <c r="V127" s="7">
        <v>37.424373626708984</v>
      </c>
      <c r="W127" s="7">
        <v>37.271675109863281</v>
      </c>
      <c r="X127" s="7">
        <v>36.736328125</v>
      </c>
      <c r="Y127" s="7">
        <v>36.707141876220703</v>
      </c>
      <c r="Z127" s="7">
        <v>36.539569854736328</v>
      </c>
      <c r="AA127" s="7">
        <v>36.686344146728516</v>
      </c>
      <c r="AB127" s="7">
        <v>36.1146240234375</v>
      </c>
      <c r="AC127" s="7">
        <v>35.726615905761719</v>
      </c>
      <c r="AD127" s="7">
        <v>35.111095428466797</v>
      </c>
      <c r="AE127" s="7">
        <v>34.41357421875</v>
      </c>
      <c r="AG127" s="7">
        <f t="shared" si="1"/>
        <v>37.407149921764024</v>
      </c>
    </row>
    <row r="128" spans="1:33" x14ac:dyDescent="0.2">
      <c r="A128" s="5" t="s">
        <v>149</v>
      </c>
      <c r="B128" s="5" t="s">
        <v>343</v>
      </c>
      <c r="C128" s="6"/>
      <c r="D128" s="6"/>
      <c r="E128" s="6"/>
      <c r="F128" s="7">
        <v>18.155952453613281</v>
      </c>
      <c r="G128" s="7">
        <v>17.880186080932617</v>
      </c>
      <c r="H128" s="7">
        <v>18.131103515625</v>
      </c>
      <c r="I128" s="7">
        <v>18.348880767822266</v>
      </c>
      <c r="J128" s="7">
        <v>18.633159637451172</v>
      </c>
      <c r="K128" s="7">
        <v>18.803562164306641</v>
      </c>
      <c r="L128" s="7">
        <v>18.556423187255859</v>
      </c>
      <c r="M128" s="7">
        <v>18.399999618530273</v>
      </c>
      <c r="N128" s="7">
        <v>18.884683609008789</v>
      </c>
      <c r="O128" s="7">
        <v>19.390903472900391</v>
      </c>
      <c r="P128" s="7">
        <v>18.782869338989258</v>
      </c>
      <c r="Q128" s="7">
        <v>18.241437911987305</v>
      </c>
      <c r="R128" s="7">
        <v>17.878593444824219</v>
      </c>
      <c r="S128" s="7">
        <v>17.946020126342773</v>
      </c>
      <c r="T128" s="7">
        <v>17.733211517333984</v>
      </c>
      <c r="U128" s="7">
        <v>16.987714767456055</v>
      </c>
      <c r="V128" s="7">
        <v>17.936906814575195</v>
      </c>
      <c r="W128" s="7">
        <v>17.525928497314453</v>
      </c>
      <c r="X128" s="7">
        <v>17.07432746887207</v>
      </c>
      <c r="Y128" s="7">
        <v>16.694295883178711</v>
      </c>
      <c r="Z128" s="7">
        <v>16.966775894165039</v>
      </c>
      <c r="AA128" s="7">
        <v>17.135272979736328</v>
      </c>
      <c r="AB128" s="7">
        <v>17.323928833007813</v>
      </c>
      <c r="AC128" s="7">
        <v>16.982015609741211</v>
      </c>
      <c r="AD128" s="7">
        <v>17.190176010131836</v>
      </c>
      <c r="AE128" s="7">
        <v>17.1502685546875</v>
      </c>
      <c r="AG128" s="7">
        <f t="shared" si="1"/>
        <v>17.382088747891512</v>
      </c>
    </row>
    <row r="129" spans="1:33" x14ac:dyDescent="0.2">
      <c r="A129" s="5" t="s">
        <v>151</v>
      </c>
      <c r="B129" s="5" t="s">
        <v>345</v>
      </c>
      <c r="C129" s="6"/>
      <c r="D129" s="6"/>
      <c r="E129" s="6"/>
      <c r="F129" s="7">
        <v>48.3916015625</v>
      </c>
      <c r="G129" s="7">
        <v>47.411018371582031</v>
      </c>
      <c r="H129" s="7">
        <v>46.310321807861328</v>
      </c>
      <c r="I129" s="7">
        <v>46.619335174560547</v>
      </c>
      <c r="J129" s="7">
        <v>46.311473846435547</v>
      </c>
      <c r="K129" s="7">
        <v>45.143684387207031</v>
      </c>
      <c r="L129" s="7">
        <v>45.108631134033203</v>
      </c>
      <c r="M129" s="7">
        <v>45.099998474121094</v>
      </c>
      <c r="N129" s="7">
        <v>44.399864196777344</v>
      </c>
      <c r="O129" s="7">
        <v>43.705596923828125</v>
      </c>
      <c r="P129" s="7">
        <v>44.414794921875</v>
      </c>
      <c r="Q129" s="7">
        <v>44.394950866699219</v>
      </c>
      <c r="R129" s="7">
        <v>44.031345367431641</v>
      </c>
      <c r="S129" s="7">
        <v>44.683063507080078</v>
      </c>
      <c r="T129" s="7">
        <v>44.481800079345703</v>
      </c>
      <c r="U129" s="7">
        <v>43.499862670898438</v>
      </c>
      <c r="V129" s="7">
        <v>44.885181427001953</v>
      </c>
      <c r="W129" s="7">
        <v>45.034786224365234</v>
      </c>
      <c r="X129" s="7">
        <v>46.084041595458984</v>
      </c>
      <c r="Y129" s="7">
        <v>45.521358489990234</v>
      </c>
      <c r="Z129" s="7">
        <v>45.512741088867188</v>
      </c>
      <c r="AA129" s="7">
        <v>44.658882141113281</v>
      </c>
      <c r="AB129" s="7">
        <v>43.603118896484375</v>
      </c>
      <c r="AC129" s="7">
        <v>42.938549041748047</v>
      </c>
      <c r="AD129" s="7">
        <v>42.136493682861328</v>
      </c>
      <c r="AE129" s="7">
        <v>41.104961395263672</v>
      </c>
      <c r="AG129" s="7">
        <f t="shared" si="1"/>
        <v>44.726925589821555</v>
      </c>
    </row>
    <row r="130" spans="1:33" x14ac:dyDescent="0.2">
      <c r="A130" s="5" t="s">
        <v>154</v>
      </c>
      <c r="B130" s="5" t="s">
        <v>348</v>
      </c>
      <c r="C130" s="6"/>
      <c r="D130" s="6"/>
      <c r="E130" s="6"/>
      <c r="F130" s="7">
        <v>46.002849578857422</v>
      </c>
      <c r="G130" s="7">
        <v>46.363731384277344</v>
      </c>
      <c r="H130" s="7">
        <v>46.074306488037109</v>
      </c>
      <c r="I130" s="7">
        <v>47.169467926025391</v>
      </c>
      <c r="J130" s="7">
        <v>46.757156372070313</v>
      </c>
      <c r="K130" s="7">
        <v>46.655277252197266</v>
      </c>
      <c r="L130" s="7">
        <v>47.941509246826172</v>
      </c>
      <c r="M130" s="7">
        <v>48.599998474121094</v>
      </c>
      <c r="N130" s="7">
        <v>48.692520141601563</v>
      </c>
      <c r="O130" s="7">
        <v>48.044303894042969</v>
      </c>
      <c r="P130" s="7">
        <v>46.512310028076172</v>
      </c>
      <c r="Q130" s="7">
        <v>45.604183197021484</v>
      </c>
      <c r="R130" s="7">
        <v>45.967193603515625</v>
      </c>
      <c r="S130" s="7">
        <v>45.454044342041016</v>
      </c>
      <c r="T130" s="7">
        <v>44.595684051513672</v>
      </c>
      <c r="U130" s="7">
        <v>44.797763824462891</v>
      </c>
      <c r="V130" s="7">
        <v>45.210792541503906</v>
      </c>
      <c r="W130" s="7">
        <v>44.96881103515625</v>
      </c>
      <c r="X130" s="7">
        <v>44.475856781005859</v>
      </c>
      <c r="Y130" s="7">
        <v>43.596832275390625</v>
      </c>
      <c r="Z130" s="7">
        <v>41.347038269042969</v>
      </c>
      <c r="AA130" s="7">
        <v>40.162979125976563</v>
      </c>
      <c r="AB130" s="7">
        <v>43.757156372070313</v>
      </c>
      <c r="AC130" s="7">
        <v>43.99560546875</v>
      </c>
      <c r="AD130" s="7">
        <v>42.697021484375</v>
      </c>
      <c r="AE130" s="7">
        <v>41.743335723876953</v>
      </c>
      <c r="AG130" s="7">
        <f t="shared" si="1"/>
        <v>44.030377474698156</v>
      </c>
    </row>
    <row r="131" spans="1:33" x14ac:dyDescent="0.2">
      <c r="A131" s="5" t="s">
        <v>152</v>
      </c>
      <c r="B131" s="5" t="s">
        <v>346</v>
      </c>
      <c r="C131" s="6"/>
      <c r="D131" s="6"/>
      <c r="E131" s="6"/>
      <c r="F131" s="7">
        <v>12.99838924407959</v>
      </c>
      <c r="G131" s="7">
        <v>12.742885589599609</v>
      </c>
      <c r="H131" s="7">
        <v>12.712040901184082</v>
      </c>
      <c r="I131" s="7">
        <v>12.899501800537109</v>
      </c>
      <c r="J131" s="7">
        <v>12.737865447998047</v>
      </c>
      <c r="K131" s="7">
        <v>13.059102058410645</v>
      </c>
      <c r="L131" s="7">
        <v>12.989335060119629</v>
      </c>
      <c r="M131" s="7">
        <v>13.100000381469727</v>
      </c>
      <c r="N131" s="7">
        <v>13.473324775695801</v>
      </c>
      <c r="O131" s="7">
        <v>13.67566967010498</v>
      </c>
      <c r="P131" s="7">
        <v>13.488665580749512</v>
      </c>
      <c r="Q131" s="7">
        <v>13.039670944213867</v>
      </c>
      <c r="R131" s="7">
        <v>12.86296272277832</v>
      </c>
      <c r="S131" s="7">
        <v>12.583736419677734</v>
      </c>
      <c r="T131" s="7">
        <v>12.198532104492188</v>
      </c>
      <c r="U131" s="7">
        <v>12.448550224304199</v>
      </c>
      <c r="V131" s="7">
        <v>12.655759811401367</v>
      </c>
      <c r="W131" s="7">
        <v>12.289392471313477</v>
      </c>
      <c r="X131" s="7">
        <v>12.143460273742676</v>
      </c>
      <c r="Y131" s="7">
        <v>12.010462760925293</v>
      </c>
      <c r="Z131" s="7">
        <v>12.168017387390137</v>
      </c>
      <c r="AA131" s="7">
        <v>12.056629180908203</v>
      </c>
      <c r="AB131" s="7">
        <v>11.983684539794922</v>
      </c>
      <c r="AC131" s="7">
        <v>12.020499229431152</v>
      </c>
      <c r="AD131" s="7">
        <v>11.958630561828613</v>
      </c>
      <c r="AE131" s="7">
        <v>11.893574714660645</v>
      </c>
      <c r="AG131" s="7">
        <f t="shared" ref="AG131:AG159" si="2">AVERAGE($R131:$AB131)</f>
        <v>12.309198899702592</v>
      </c>
    </row>
    <row r="132" spans="1:33" x14ac:dyDescent="0.2">
      <c r="A132" s="5" t="s">
        <v>160</v>
      </c>
      <c r="B132" s="5" t="s">
        <v>354</v>
      </c>
      <c r="C132" s="6"/>
      <c r="D132" s="6"/>
      <c r="E132" s="6"/>
      <c r="F132" s="7">
        <v>19.682401657104492</v>
      </c>
      <c r="G132" s="7">
        <v>19.253177642822266</v>
      </c>
      <c r="H132" s="7">
        <v>19.13420295715332</v>
      </c>
      <c r="I132" s="7">
        <v>19.325336456298828</v>
      </c>
      <c r="J132" s="7">
        <v>19.007736206054688</v>
      </c>
      <c r="K132" s="7">
        <v>18.967283248901367</v>
      </c>
      <c r="L132" s="7">
        <v>18.883380889892578</v>
      </c>
      <c r="M132" s="7">
        <v>18.899999618530273</v>
      </c>
      <c r="N132" s="7">
        <v>18.883720397949219</v>
      </c>
      <c r="O132" s="7">
        <v>18.733854293823242</v>
      </c>
      <c r="P132" s="7">
        <v>18.553369522094727</v>
      </c>
      <c r="Q132" s="7">
        <v>18.168598175048828</v>
      </c>
      <c r="R132" s="7">
        <v>17.897087097167969</v>
      </c>
      <c r="S132" s="7">
        <v>17.678899765014648</v>
      </c>
      <c r="T132" s="7">
        <v>17.308609008789063</v>
      </c>
      <c r="U132" s="7">
        <v>17.06334114074707</v>
      </c>
      <c r="V132" s="7">
        <v>17.544448852539063</v>
      </c>
      <c r="W132" s="7">
        <v>17.451667785644531</v>
      </c>
      <c r="X132" s="7">
        <v>17.260740280151367</v>
      </c>
      <c r="Y132" s="7">
        <v>17.169496536254883</v>
      </c>
      <c r="Z132" s="7">
        <v>17.22700309753418</v>
      </c>
      <c r="AA132" s="7">
        <v>17.094982147216797</v>
      </c>
      <c r="AB132" s="7">
        <v>16.956695556640625</v>
      </c>
      <c r="AC132" s="7">
        <v>16.816644668579102</v>
      </c>
      <c r="AD132" s="7">
        <v>16.74351692199707</v>
      </c>
      <c r="AE132" s="7">
        <v>16.606727600097656</v>
      </c>
      <c r="AG132" s="7">
        <f t="shared" si="2"/>
        <v>17.332088297063653</v>
      </c>
    </row>
    <row r="133" spans="1:33" x14ac:dyDescent="0.2">
      <c r="A133" s="5" t="s">
        <v>161</v>
      </c>
      <c r="B133" s="5" t="s">
        <v>355</v>
      </c>
      <c r="C133" s="6"/>
      <c r="D133" s="6"/>
      <c r="E133" s="6"/>
      <c r="F133" s="7">
        <v>28.836803436279297</v>
      </c>
      <c r="G133" s="7">
        <v>28.191984176635742</v>
      </c>
      <c r="H133" s="7">
        <v>27.372505187988281</v>
      </c>
      <c r="I133" s="7">
        <v>27.271509170532227</v>
      </c>
      <c r="J133" s="7">
        <v>27.050983428955078</v>
      </c>
      <c r="K133" s="7">
        <v>27.056652069091797</v>
      </c>
      <c r="L133" s="7">
        <v>26.953182220458984</v>
      </c>
      <c r="M133" s="7">
        <v>27.100000381469727</v>
      </c>
      <c r="N133" s="7">
        <v>26.867486953735352</v>
      </c>
      <c r="O133" s="7">
        <v>26.614837646484375</v>
      </c>
      <c r="P133" s="7">
        <v>26.380640029907227</v>
      </c>
      <c r="Q133" s="7">
        <v>26.348567962646484</v>
      </c>
      <c r="R133" s="7">
        <v>26.271371841430664</v>
      </c>
      <c r="S133" s="7">
        <v>25.726627349853516</v>
      </c>
      <c r="T133" s="7">
        <v>24.728076934814453</v>
      </c>
      <c r="U133" s="7">
        <v>24.477727890014648</v>
      </c>
      <c r="V133" s="7">
        <v>26.098567962646484</v>
      </c>
      <c r="W133" s="7">
        <v>26.499780654907227</v>
      </c>
      <c r="X133" s="7">
        <v>26.706371307373047</v>
      </c>
      <c r="Y133" s="7">
        <v>26.796590805053711</v>
      </c>
      <c r="Z133" s="7">
        <v>26.750141143798828</v>
      </c>
      <c r="AA133" s="7">
        <v>26.193328857421875</v>
      </c>
      <c r="AB133" s="7">
        <v>26.024402618408203</v>
      </c>
      <c r="AC133" s="7">
        <v>25.658231735229492</v>
      </c>
      <c r="AD133" s="7">
        <v>24.84168815612793</v>
      </c>
      <c r="AE133" s="7">
        <v>24.425432205200195</v>
      </c>
      <c r="AG133" s="7">
        <f t="shared" si="2"/>
        <v>26.024817033247515</v>
      </c>
    </row>
    <row r="134" spans="1:33" x14ac:dyDescent="0.2">
      <c r="A134" s="5" t="s">
        <v>153</v>
      </c>
      <c r="B134" s="5" t="s">
        <v>347</v>
      </c>
      <c r="C134" s="6"/>
      <c r="D134" s="6"/>
      <c r="E134" s="6"/>
      <c r="F134" s="7">
        <v>32.450332641601563</v>
      </c>
      <c r="G134" s="7">
        <v>30.971776962280273</v>
      </c>
      <c r="H134" s="7">
        <v>30.866493225097656</v>
      </c>
      <c r="I134" s="7">
        <v>31.146827697753906</v>
      </c>
      <c r="J134" s="7">
        <v>31.172483444213867</v>
      </c>
      <c r="K134" s="7">
        <v>30.687528610229492</v>
      </c>
      <c r="L134" s="7">
        <v>31.165668487548828</v>
      </c>
      <c r="M134" s="7">
        <v>33.400001525878906</v>
      </c>
      <c r="N134" s="7">
        <v>34.230567932128906</v>
      </c>
      <c r="O134" s="7">
        <v>34.464588165283203</v>
      </c>
      <c r="P134" s="7">
        <v>33.998813629150391</v>
      </c>
      <c r="Q134" s="7">
        <v>33.789886474609375</v>
      </c>
      <c r="R134" s="7">
        <v>33.649051666259766</v>
      </c>
      <c r="S134" s="7">
        <v>33.91131591796875</v>
      </c>
      <c r="T134" s="7">
        <v>33.480449676513672</v>
      </c>
      <c r="U134" s="7">
        <v>32.858066558837891</v>
      </c>
      <c r="V134" s="7">
        <v>33.935703277587891</v>
      </c>
      <c r="W134" s="7">
        <v>33.708805084228516</v>
      </c>
      <c r="X134" s="7">
        <v>31.553895950317383</v>
      </c>
      <c r="Y134" s="7">
        <v>31.421627044677734</v>
      </c>
      <c r="Z134" s="7">
        <v>31.546903610229492</v>
      </c>
      <c r="AA134" s="7">
        <v>31.77436637878418</v>
      </c>
      <c r="AB134" s="7">
        <v>31.875137329101563</v>
      </c>
      <c r="AC134" s="7">
        <v>31.793096542358398</v>
      </c>
      <c r="AD134" s="7"/>
      <c r="AE134" s="7"/>
      <c r="AG134" s="7">
        <f t="shared" si="2"/>
        <v>32.701392954046078</v>
      </c>
    </row>
    <row r="135" spans="1:33" x14ac:dyDescent="0.2">
      <c r="A135" s="5" t="s">
        <v>190</v>
      </c>
      <c r="B135" s="5" t="s">
        <v>384</v>
      </c>
      <c r="C135" s="6"/>
      <c r="D135" s="6"/>
      <c r="E135" s="6"/>
      <c r="F135" s="7">
        <v>29.567928314208984</v>
      </c>
      <c r="G135" s="7">
        <v>29.111024856567383</v>
      </c>
      <c r="H135" s="7">
        <v>28.009424209594727</v>
      </c>
      <c r="I135" s="7">
        <v>28.240095138549805</v>
      </c>
      <c r="J135" s="7">
        <v>28.560903549194336</v>
      </c>
      <c r="K135" s="7">
        <v>28.796939849853516</v>
      </c>
      <c r="L135" s="7">
        <v>28.59465217590332</v>
      </c>
      <c r="M135" s="7">
        <v>28.399999618530273</v>
      </c>
      <c r="N135" s="7">
        <v>28.288116455078125</v>
      </c>
      <c r="O135" s="7">
        <v>28.409791946411133</v>
      </c>
      <c r="P135" s="7">
        <v>28.372867584228516</v>
      </c>
      <c r="Q135" s="7">
        <v>28.021167755126953</v>
      </c>
      <c r="R135" s="7">
        <v>27.784208297729492</v>
      </c>
      <c r="S135" s="7">
        <v>26.935676574707031</v>
      </c>
      <c r="T135" s="7">
        <v>26.41071891784668</v>
      </c>
      <c r="U135" s="7">
        <v>26.623100280761719</v>
      </c>
      <c r="V135" s="7">
        <v>27.512639999389648</v>
      </c>
      <c r="W135" s="7">
        <v>27.699150085449219</v>
      </c>
      <c r="X135" s="7">
        <v>27.378631591796875</v>
      </c>
      <c r="Y135" s="7">
        <v>27.575691223144531</v>
      </c>
      <c r="Z135" s="7">
        <v>27.52659797668457</v>
      </c>
      <c r="AA135" s="7">
        <v>27.725803375244141</v>
      </c>
      <c r="AB135" s="7">
        <v>27.669252395629883</v>
      </c>
      <c r="AC135" s="7">
        <v>28.013759613037109</v>
      </c>
      <c r="AD135" s="7">
        <v>28.075172424316406</v>
      </c>
      <c r="AE135" s="7">
        <v>28.280643463134766</v>
      </c>
      <c r="AG135" s="7">
        <f t="shared" si="2"/>
        <v>27.349224610762164</v>
      </c>
    </row>
    <row r="136" spans="1:33" x14ac:dyDescent="0.2">
      <c r="A136" s="5" t="s">
        <v>56</v>
      </c>
      <c r="B136" s="5" t="s">
        <v>249</v>
      </c>
      <c r="C136" s="6"/>
      <c r="D136" s="6"/>
      <c r="E136" s="6"/>
      <c r="F136" s="7">
        <v>25.053363800048828</v>
      </c>
      <c r="G136" s="7">
        <v>24.826555252075195</v>
      </c>
      <c r="H136" s="7">
        <v>24.608465194702148</v>
      </c>
      <c r="I136" s="7">
        <v>24.261659622192383</v>
      </c>
      <c r="J136" s="7">
        <v>23.886709213256836</v>
      </c>
      <c r="K136" s="7">
        <v>23.524791717529297</v>
      </c>
      <c r="L136" s="7">
        <v>23.125659942626953</v>
      </c>
      <c r="M136" s="7">
        <v>22.700000762939453</v>
      </c>
      <c r="N136" s="7">
        <v>22.308286666870117</v>
      </c>
      <c r="O136" s="7">
        <v>22.240375518798828</v>
      </c>
      <c r="P136" s="7">
        <v>22.176017761230469</v>
      </c>
      <c r="Q136" s="7">
        <v>22.373041152954102</v>
      </c>
      <c r="R136" s="7">
        <v>22.148414611816406</v>
      </c>
      <c r="S136" s="7">
        <v>22.214155197143555</v>
      </c>
      <c r="T136" s="7">
        <v>22.095075607299805</v>
      </c>
      <c r="U136" s="7">
        <v>22.557336807250977</v>
      </c>
      <c r="V136" s="7">
        <v>23.580841064453125</v>
      </c>
      <c r="W136" s="7">
        <v>23.643590927124023</v>
      </c>
      <c r="X136" s="7">
        <v>23.775285720825195</v>
      </c>
      <c r="Y136" s="7">
        <v>23.896209716796875</v>
      </c>
      <c r="Z136" s="7">
        <v>23.97349739074707</v>
      </c>
      <c r="AA136" s="7">
        <v>23.737594604492188</v>
      </c>
      <c r="AB136" s="7">
        <v>23.320302963256836</v>
      </c>
      <c r="AC136" s="7">
        <v>22.934915542602539</v>
      </c>
      <c r="AD136" s="7">
        <v>22.571914672851563</v>
      </c>
      <c r="AE136" s="7">
        <v>22.355960845947266</v>
      </c>
      <c r="AG136" s="7">
        <f t="shared" si="2"/>
        <v>23.176573146473277</v>
      </c>
    </row>
    <row r="137" spans="1:33" x14ac:dyDescent="0.2">
      <c r="A137" s="5" t="s">
        <v>103</v>
      </c>
      <c r="B137" s="5" t="s">
        <v>296</v>
      </c>
      <c r="C137" s="6"/>
      <c r="D137" s="6"/>
      <c r="E137" s="6"/>
      <c r="F137" s="7">
        <v>45.532260894775391</v>
      </c>
      <c r="G137" s="7">
        <v>45.487850189208984</v>
      </c>
      <c r="H137" s="7">
        <v>45.742122650146484</v>
      </c>
      <c r="I137" s="7">
        <v>45.259803771972656</v>
      </c>
      <c r="J137" s="7">
        <v>45.193691253662109</v>
      </c>
      <c r="K137" s="7">
        <v>44.993350982666016</v>
      </c>
      <c r="L137" s="7">
        <v>44.607936859130859</v>
      </c>
      <c r="M137" s="7">
        <v>44.599998474121094</v>
      </c>
      <c r="N137" s="7">
        <v>44.349876403808594</v>
      </c>
      <c r="O137" s="7">
        <v>44.648300170898438</v>
      </c>
      <c r="P137" s="7">
        <v>44.653305053710938</v>
      </c>
      <c r="Q137" s="7">
        <v>45.118473052978516</v>
      </c>
      <c r="R137" s="7">
        <v>44.727500915527344</v>
      </c>
      <c r="S137" s="7">
        <v>44.560348510742188</v>
      </c>
      <c r="T137" s="7">
        <v>44.086662292480469</v>
      </c>
      <c r="U137" s="7">
        <v>44.090839385986328</v>
      </c>
      <c r="V137" s="7">
        <v>44.436176300048828</v>
      </c>
      <c r="W137" s="7">
        <v>41.946609497070313</v>
      </c>
      <c r="X137" s="7">
        <v>41.350933074951172</v>
      </c>
      <c r="Y137" s="7">
        <v>40.860054016113281</v>
      </c>
      <c r="Z137" s="7">
        <v>40.710296630859375</v>
      </c>
      <c r="AA137" s="7">
        <v>40.156051635742188</v>
      </c>
      <c r="AB137" s="7">
        <v>40.202369689941406</v>
      </c>
      <c r="AC137" s="7">
        <v>39.878101348876953</v>
      </c>
      <c r="AD137" s="7">
        <v>39.986911773681641</v>
      </c>
      <c r="AE137" s="7">
        <v>40.168220520019531</v>
      </c>
      <c r="AG137" s="7">
        <f t="shared" si="2"/>
        <v>42.466167449951172</v>
      </c>
    </row>
    <row r="138" spans="1:33" x14ac:dyDescent="0.2">
      <c r="A138" s="5" t="s">
        <v>159</v>
      </c>
      <c r="B138" s="5" t="s">
        <v>353</v>
      </c>
      <c r="C138" s="6"/>
      <c r="D138" s="6"/>
      <c r="E138" s="6"/>
      <c r="F138" s="7">
        <v>41.098762512207031</v>
      </c>
      <c r="G138" s="7">
        <v>39.730548858642578</v>
      </c>
      <c r="H138" s="7">
        <v>41.176139831542969</v>
      </c>
      <c r="I138" s="7">
        <v>40.541412353515625</v>
      </c>
      <c r="J138" s="7">
        <v>40.680644989013672</v>
      </c>
      <c r="K138" s="7">
        <v>40.930500030517578</v>
      </c>
      <c r="L138" s="7">
        <v>39.131809234619141</v>
      </c>
      <c r="M138" s="7">
        <v>39.799999237060547</v>
      </c>
      <c r="N138" s="7">
        <v>39.140983581542969</v>
      </c>
      <c r="O138" s="7">
        <v>39.181747436523438</v>
      </c>
      <c r="P138" s="7">
        <v>39.550064086914063</v>
      </c>
      <c r="Q138" s="7">
        <v>38.196769714355469</v>
      </c>
      <c r="R138" s="7">
        <v>37.454765319824219</v>
      </c>
      <c r="S138" s="7">
        <v>37.805271148681641</v>
      </c>
      <c r="T138" s="7">
        <v>36.772773742675781</v>
      </c>
      <c r="U138" s="7">
        <v>36.435436248779297</v>
      </c>
      <c r="V138" s="7">
        <v>36.832332611083984</v>
      </c>
      <c r="W138" s="7">
        <v>36.445022583007813</v>
      </c>
      <c r="X138" s="7">
        <v>35.886150360107422</v>
      </c>
      <c r="Y138" s="7">
        <v>35.659229278564453</v>
      </c>
      <c r="Z138" s="7">
        <v>35.370433807373047</v>
      </c>
      <c r="AA138" s="7">
        <v>35.664546966552734</v>
      </c>
      <c r="AB138" s="7">
        <v>36.618484497070313</v>
      </c>
      <c r="AC138" s="7">
        <v>37.148540496826172</v>
      </c>
      <c r="AD138" s="7">
        <v>37.410568237304688</v>
      </c>
      <c r="AE138" s="7">
        <v>37.380516052246094</v>
      </c>
      <c r="AG138" s="7">
        <f t="shared" si="2"/>
        <v>36.449495142156429</v>
      </c>
    </row>
    <row r="139" spans="1:33" x14ac:dyDescent="0.2">
      <c r="A139" s="5" t="s">
        <v>162</v>
      </c>
      <c r="B139" s="5" t="s">
        <v>356</v>
      </c>
      <c r="C139" s="6"/>
      <c r="D139" s="6"/>
      <c r="E139" s="6"/>
      <c r="F139" s="7">
        <v>21.730503082275391</v>
      </c>
      <c r="G139" s="7">
        <v>21.218547821044922</v>
      </c>
      <c r="H139" s="7">
        <v>20.650861740112305</v>
      </c>
      <c r="I139" s="7">
        <v>20.80372428894043</v>
      </c>
      <c r="J139" s="7">
        <v>20.46672248840332</v>
      </c>
      <c r="K139" s="7">
        <v>20.161205291748047</v>
      </c>
      <c r="L139" s="7">
        <v>19.886863708496094</v>
      </c>
      <c r="M139" s="7">
        <v>19.200000762939453</v>
      </c>
      <c r="N139" s="7">
        <v>19.119335174560547</v>
      </c>
      <c r="O139" s="7">
        <v>19.315528869628906</v>
      </c>
      <c r="P139" s="7">
        <v>19.336307525634766</v>
      </c>
      <c r="Q139" s="7">
        <v>18.903497695922852</v>
      </c>
      <c r="R139" s="7">
        <v>19.137174606323242</v>
      </c>
      <c r="S139" s="7">
        <v>18.890260696411133</v>
      </c>
      <c r="T139" s="7">
        <v>18.202194213867188</v>
      </c>
      <c r="U139" s="7">
        <v>18.526813507080078</v>
      </c>
      <c r="V139" s="7">
        <v>19.410194396972656</v>
      </c>
      <c r="W139" s="7">
        <v>18.824811935424805</v>
      </c>
      <c r="X139" s="7">
        <v>18.651821136474609</v>
      </c>
      <c r="Y139" s="7">
        <v>19.097034454345703</v>
      </c>
      <c r="Z139" s="7">
        <v>19.338577270507813</v>
      </c>
      <c r="AA139" s="7">
        <v>19.319408416748047</v>
      </c>
      <c r="AB139" s="7">
        <v>18.938587188720703</v>
      </c>
      <c r="AC139" s="7">
        <v>19.123174667358398</v>
      </c>
      <c r="AD139" s="7">
        <v>18.834775924682617</v>
      </c>
      <c r="AE139" s="7">
        <v>18.737398147583008</v>
      </c>
      <c r="AG139" s="7">
        <f t="shared" si="2"/>
        <v>18.939716165715996</v>
      </c>
    </row>
    <row r="140" spans="1:33" x14ac:dyDescent="0.2">
      <c r="A140" s="5" t="s">
        <v>32</v>
      </c>
      <c r="B140" s="5" t="s">
        <v>225</v>
      </c>
      <c r="C140" s="6"/>
      <c r="D140" s="6"/>
      <c r="E140" s="6"/>
      <c r="F140" s="7">
        <v>9.3442859649658203</v>
      </c>
      <c r="G140" s="7">
        <v>9.3301353454589844</v>
      </c>
      <c r="H140" s="7">
        <v>9.2390937805175781</v>
      </c>
      <c r="I140" s="7">
        <v>9.4004487991333008</v>
      </c>
      <c r="J140" s="7">
        <v>9.2015209197998047</v>
      </c>
      <c r="K140" s="7">
        <v>8.9247798919677734</v>
      </c>
      <c r="L140" s="7">
        <v>8.8300724029541016</v>
      </c>
      <c r="M140" s="7">
        <v>8.6000003814697266</v>
      </c>
      <c r="N140" s="7">
        <v>8.6058254241943359</v>
      </c>
      <c r="O140" s="7">
        <v>8.8239679336547852</v>
      </c>
      <c r="P140" s="7">
        <v>9.1280727386474609</v>
      </c>
      <c r="Q140" s="7">
        <v>8.8084955215454102</v>
      </c>
      <c r="R140" s="7">
        <v>8.8243494033813477</v>
      </c>
      <c r="S140" s="7">
        <v>8.3598442077636719</v>
      </c>
      <c r="T140" s="7">
        <v>8.065394401550293</v>
      </c>
      <c r="U140" s="7">
        <v>8.0664148330688477</v>
      </c>
      <c r="V140" s="7">
        <v>8.5917797088623047</v>
      </c>
      <c r="W140" s="7">
        <v>8.5294733047485352</v>
      </c>
      <c r="X140" s="7">
        <v>8.4923810958862305</v>
      </c>
      <c r="Y140" s="7">
        <v>8.5707435607910156</v>
      </c>
      <c r="Z140" s="7">
        <v>8.625767707824707</v>
      </c>
      <c r="AA140" s="7">
        <v>8.4641323089599609</v>
      </c>
      <c r="AB140" s="7">
        <v>8.5084342956542969</v>
      </c>
      <c r="AC140" s="7">
        <v>8.5160369873046875</v>
      </c>
      <c r="AD140" s="7">
        <v>8.4596681594848633</v>
      </c>
      <c r="AE140" s="7">
        <v>8.2989778518676758</v>
      </c>
      <c r="AG140" s="7">
        <f t="shared" si="2"/>
        <v>8.4635195298628378</v>
      </c>
    </row>
    <row r="141" spans="1:33" x14ac:dyDescent="0.2">
      <c r="A141" s="5" t="s">
        <v>165</v>
      </c>
      <c r="B141" s="5" t="s">
        <v>359</v>
      </c>
      <c r="C141" s="6"/>
      <c r="D141" s="6"/>
      <c r="E141" s="6"/>
      <c r="F141" s="7">
        <v>19.421669006347656</v>
      </c>
      <c r="G141" s="7">
        <v>19.237274169921875</v>
      </c>
      <c r="H141" s="7">
        <v>19.065912246704102</v>
      </c>
      <c r="I141" s="7">
        <v>18.756755828857422</v>
      </c>
      <c r="J141" s="7">
        <v>18.700981140136719</v>
      </c>
      <c r="K141" s="7">
        <v>18.406780242919922</v>
      </c>
      <c r="L141" s="7">
        <v>18.68132209777832</v>
      </c>
      <c r="M141" s="7">
        <v>19.299999237060547</v>
      </c>
      <c r="N141" s="7">
        <v>19.448766708374023</v>
      </c>
      <c r="O141" s="7">
        <v>19.236429214477539</v>
      </c>
      <c r="P141" s="7">
        <v>19.714515686035156</v>
      </c>
      <c r="Q141" s="7">
        <v>20.014724731445313</v>
      </c>
      <c r="R141" s="7">
        <v>19.371078491210938</v>
      </c>
      <c r="S141" s="7">
        <v>18.51362419128418</v>
      </c>
      <c r="T141" s="7">
        <v>18.541891098022461</v>
      </c>
      <c r="U141" s="7">
        <v>18.344099044799805</v>
      </c>
      <c r="V141" s="7">
        <v>18.062540054321289</v>
      </c>
      <c r="W141" s="7">
        <v>18.07697868347168</v>
      </c>
      <c r="X141" s="7">
        <v>18.689697265625</v>
      </c>
      <c r="Y141" s="7">
        <v>20.077383041381836</v>
      </c>
      <c r="Z141" s="7">
        <v>21.146354675292969</v>
      </c>
      <c r="AA141" s="7">
        <v>20.961503982543945</v>
      </c>
      <c r="AB141" s="7">
        <v>19.759984970092773</v>
      </c>
      <c r="AC141" s="7">
        <v>19.873941421508789</v>
      </c>
      <c r="AD141" s="7">
        <v>19.821720123291016</v>
      </c>
      <c r="AE141" s="7">
        <v>19.742767333984375</v>
      </c>
      <c r="AG141" s="7">
        <f t="shared" si="2"/>
        <v>19.231375954367898</v>
      </c>
    </row>
    <row r="142" spans="1:33" x14ac:dyDescent="0.2">
      <c r="A142" s="5" t="s">
        <v>170</v>
      </c>
      <c r="B142" s="5" t="s">
        <v>364</v>
      </c>
      <c r="C142" s="6"/>
      <c r="D142" s="6"/>
      <c r="E142" s="6"/>
      <c r="F142" s="7">
        <v>43.826000213623047</v>
      </c>
      <c r="G142" s="7">
        <v>43.732959747314453</v>
      </c>
      <c r="H142" s="7">
        <v>44.157463073730469</v>
      </c>
      <c r="I142" s="7">
        <v>44.923576354980469</v>
      </c>
      <c r="J142" s="7">
        <v>44.926933288574219</v>
      </c>
      <c r="K142" s="7">
        <v>43.839790344238281</v>
      </c>
      <c r="L142" s="7">
        <v>43.818572998046875</v>
      </c>
      <c r="M142" s="7">
        <v>43.200000762939453</v>
      </c>
      <c r="N142" s="7">
        <v>43.14349365234375</v>
      </c>
      <c r="O142" s="7">
        <v>43.140987396240234</v>
      </c>
      <c r="P142" s="7">
        <v>42.496894836425781</v>
      </c>
      <c r="Q142" s="7">
        <v>42.580345153808594</v>
      </c>
      <c r="R142" s="7">
        <v>42.989471435546875</v>
      </c>
      <c r="S142" s="7">
        <v>42.035274505615234</v>
      </c>
      <c r="T142" s="7">
        <v>41.433555603027344</v>
      </c>
      <c r="U142" s="7">
        <v>40.9683837890625</v>
      </c>
      <c r="V142" s="7">
        <v>41.616661071777344</v>
      </c>
      <c r="W142" s="7">
        <v>41.001121520996094</v>
      </c>
      <c r="X142" s="7">
        <v>41.09625244140625</v>
      </c>
      <c r="Y142" s="7">
        <v>40.489788055419922</v>
      </c>
      <c r="Z142" s="7">
        <v>40.556064605712891</v>
      </c>
      <c r="AA142" s="7">
        <v>39.864971160888672</v>
      </c>
      <c r="AB142" s="7">
        <v>39.887172698974609</v>
      </c>
      <c r="AC142" s="7">
        <v>39.682575225830078</v>
      </c>
      <c r="AD142" s="7">
        <v>40.077610015869141</v>
      </c>
      <c r="AE142" s="7">
        <v>38.740318298339844</v>
      </c>
      <c r="AG142" s="7">
        <f t="shared" si="2"/>
        <v>41.085337898947976</v>
      </c>
    </row>
    <row r="143" spans="1:33" x14ac:dyDescent="0.2">
      <c r="A143" s="5" t="s">
        <v>177</v>
      </c>
      <c r="B143" s="5" t="s">
        <v>371</v>
      </c>
      <c r="C143" s="6"/>
      <c r="D143" s="6"/>
      <c r="E143" s="6"/>
      <c r="F143" s="7">
        <v>62.293701171875</v>
      </c>
      <c r="G143" s="7">
        <v>61.704395294189453</v>
      </c>
      <c r="H143" s="7">
        <v>60.263156890869141</v>
      </c>
      <c r="I143" s="7">
        <v>60.598899841308594</v>
      </c>
      <c r="J143" s="7">
        <v>58.990909576416016</v>
      </c>
      <c r="K143" s="7">
        <v>58.650794982910156</v>
      </c>
      <c r="L143" s="7">
        <v>58.241603851318359</v>
      </c>
      <c r="M143" s="7">
        <v>58.299999237060547</v>
      </c>
      <c r="N143" s="7">
        <v>58.116588592529297</v>
      </c>
      <c r="O143" s="7">
        <v>57.42138671875</v>
      </c>
      <c r="P143" s="7">
        <v>57.588634490966797</v>
      </c>
      <c r="Q143" s="7">
        <v>57.577163696289063</v>
      </c>
      <c r="R143" s="7">
        <v>57.022190093994141</v>
      </c>
      <c r="S143" s="7">
        <v>57.468734741210938</v>
      </c>
      <c r="T143" s="7">
        <v>56.557216644287109</v>
      </c>
      <c r="U143" s="7">
        <v>56.258708953857422</v>
      </c>
      <c r="V143" s="7">
        <v>56.685768127441406</v>
      </c>
      <c r="W143" s="7">
        <v>55.995574951171875</v>
      </c>
      <c r="X143" s="7">
        <v>55.753753662109375</v>
      </c>
      <c r="Y143" s="7">
        <v>55.827415466308594</v>
      </c>
      <c r="Z143" s="7">
        <v>55.278377532958984</v>
      </c>
      <c r="AA143" s="7">
        <v>54.805252075195313</v>
      </c>
      <c r="AB143" s="7">
        <v>54.356365203857422</v>
      </c>
      <c r="AC143" s="7">
        <v>53.523624420166016</v>
      </c>
      <c r="AD143" s="7">
        <v>53.175872802734375</v>
      </c>
      <c r="AE143" s="7">
        <v>54.10040283203125</v>
      </c>
      <c r="AG143" s="7">
        <f t="shared" si="2"/>
        <v>56.000850677490234</v>
      </c>
    </row>
    <row r="144" spans="1:33" x14ac:dyDescent="0.2">
      <c r="A144" s="5" t="s">
        <v>169</v>
      </c>
      <c r="B144" s="5" t="s">
        <v>363</v>
      </c>
      <c r="C144" s="6"/>
      <c r="D144" s="6"/>
      <c r="E144" s="6"/>
      <c r="F144" s="7">
        <v>51.533199310302734</v>
      </c>
      <c r="G144" s="7">
        <v>51.098670959472656</v>
      </c>
      <c r="H144" s="7">
        <v>50.744903564453125</v>
      </c>
      <c r="I144" s="7">
        <v>50.876331329345703</v>
      </c>
      <c r="J144" s="7">
        <v>51.347076416015625</v>
      </c>
      <c r="K144" s="7">
        <v>53.669437408447266</v>
      </c>
      <c r="L144" s="7">
        <v>53.285018920898438</v>
      </c>
      <c r="M144" s="7">
        <v>52.599998474121094</v>
      </c>
      <c r="N144" s="7">
        <v>52.362918853759766</v>
      </c>
      <c r="O144" s="7">
        <v>51.366203308105469</v>
      </c>
      <c r="P144" s="7">
        <v>50.538951873779297</v>
      </c>
      <c r="Q144" s="7">
        <v>50.407222747802734</v>
      </c>
      <c r="R144" s="7">
        <v>50.008247375488281</v>
      </c>
      <c r="S144" s="7">
        <v>49.408351898193359</v>
      </c>
      <c r="T144" s="7">
        <v>49.495391845703125</v>
      </c>
      <c r="U144" s="7">
        <v>50.01251220703125</v>
      </c>
      <c r="V144" s="7">
        <v>50.743434906005859</v>
      </c>
      <c r="W144" s="7">
        <v>50.119850158691406</v>
      </c>
      <c r="X144" s="7">
        <v>50.008769989013672</v>
      </c>
      <c r="Y144" s="7">
        <v>49.458747863769531</v>
      </c>
      <c r="Z144" s="7">
        <v>49.187191009521484</v>
      </c>
      <c r="AA144" s="7">
        <v>49.164573669433594</v>
      </c>
      <c r="AB144" s="7">
        <v>48.944370269775391</v>
      </c>
      <c r="AC144" s="7">
        <v>48.661876678466797</v>
      </c>
      <c r="AD144" s="7">
        <v>48.020420074462891</v>
      </c>
      <c r="AE144" s="7">
        <v>47.630985260009766</v>
      </c>
      <c r="AG144" s="7">
        <f t="shared" si="2"/>
        <v>49.686494653875179</v>
      </c>
    </row>
    <row r="145" spans="1:33" x14ac:dyDescent="0.2">
      <c r="A145" s="5" t="s">
        <v>168</v>
      </c>
      <c r="B145" s="5" t="s">
        <v>362</v>
      </c>
      <c r="C145" s="6"/>
      <c r="D145" s="6"/>
      <c r="E145" s="6"/>
      <c r="F145" s="7">
        <v>38.783355712890625</v>
      </c>
      <c r="G145" s="7">
        <v>36.469440460205078</v>
      </c>
      <c r="H145" s="7">
        <v>36.045669555664063</v>
      </c>
      <c r="I145" s="7">
        <v>34.982547760009766</v>
      </c>
      <c r="J145" s="7">
        <v>33.733692169189453</v>
      </c>
      <c r="K145" s="7">
        <v>34.688526153564453</v>
      </c>
      <c r="L145" s="7">
        <v>34.703086853027344</v>
      </c>
      <c r="M145" s="7">
        <v>35.099998474121094</v>
      </c>
      <c r="N145" s="7">
        <v>35.573677062988281</v>
      </c>
      <c r="O145" s="7">
        <v>35.705345153808594</v>
      </c>
      <c r="P145" s="7">
        <v>35.565147399902344</v>
      </c>
      <c r="Q145" s="7">
        <v>35.823741912841797</v>
      </c>
      <c r="R145" s="7">
        <v>36.127540588378906</v>
      </c>
      <c r="S145" s="7">
        <v>36.096893310546875</v>
      </c>
      <c r="T145" s="7">
        <v>35.890022277832031</v>
      </c>
      <c r="U145" s="7">
        <v>36.393516540527344</v>
      </c>
      <c r="V145" s="7">
        <v>35.395977020263672</v>
      </c>
      <c r="W145" s="7">
        <v>34.773761749267578</v>
      </c>
      <c r="X145" s="7">
        <v>34.534900665283203</v>
      </c>
      <c r="Y145" s="7">
        <v>34.643661499023438</v>
      </c>
      <c r="Z145" s="7">
        <v>34.341831207275391</v>
      </c>
      <c r="AA145" s="7">
        <v>34.234619140625</v>
      </c>
      <c r="AB145" s="7">
        <v>34.135215759277344</v>
      </c>
      <c r="AC145" s="7">
        <v>33.494281768798828</v>
      </c>
      <c r="AD145" s="7">
        <v>33.505565643310547</v>
      </c>
      <c r="AE145" s="7">
        <v>33.010009765625</v>
      </c>
      <c r="AG145" s="7">
        <f t="shared" si="2"/>
        <v>35.142539978027344</v>
      </c>
    </row>
    <row r="146" spans="1:33" x14ac:dyDescent="0.2">
      <c r="A146" s="5" t="s">
        <v>173</v>
      </c>
      <c r="B146" s="5" t="s">
        <v>367</v>
      </c>
      <c r="C146" s="6"/>
      <c r="D146" s="6"/>
      <c r="E146" s="6"/>
      <c r="F146" s="7">
        <v>37.526268005371094</v>
      </c>
      <c r="G146" s="7">
        <v>36.830032348632813</v>
      </c>
      <c r="H146" s="7">
        <v>36.921283721923828</v>
      </c>
      <c r="I146" s="7">
        <v>37.22509765625</v>
      </c>
      <c r="J146" s="7">
        <v>36.572734832763672</v>
      </c>
      <c r="K146" s="7">
        <v>35.762065887451172</v>
      </c>
      <c r="L146" s="7">
        <v>35.486431121826172</v>
      </c>
      <c r="M146" s="7">
        <v>34.400001525878906</v>
      </c>
      <c r="N146" s="7">
        <v>34.779914855957031</v>
      </c>
      <c r="O146" s="7">
        <v>34.573886871337891</v>
      </c>
      <c r="P146" s="7">
        <v>33.748550415039063</v>
      </c>
      <c r="Q146" s="7">
        <v>33.379364013671875</v>
      </c>
      <c r="R146" s="7">
        <v>33.297676086425781</v>
      </c>
      <c r="S146" s="7">
        <v>32.640304565429688</v>
      </c>
      <c r="T146" s="7">
        <v>32.110622406005859</v>
      </c>
      <c r="U146" s="7">
        <v>31.705085754394531</v>
      </c>
      <c r="V146" s="7">
        <v>33.142299652099609</v>
      </c>
      <c r="W146" s="7">
        <v>32.8367919921875</v>
      </c>
      <c r="X146" s="7">
        <v>32.341018676757813</v>
      </c>
      <c r="Y146" s="7">
        <v>32.391277313232422</v>
      </c>
      <c r="Z146" s="7">
        <v>32.315311431884766</v>
      </c>
      <c r="AA146" s="7">
        <v>32.607681274414063</v>
      </c>
      <c r="AB146" s="7">
        <v>32.705780029296875</v>
      </c>
      <c r="AC146" s="7">
        <v>33.109573364257813</v>
      </c>
      <c r="AD146" s="7">
        <v>33.135543823242188</v>
      </c>
      <c r="AE146" s="7">
        <v>33.27960205078125</v>
      </c>
      <c r="AG146" s="7">
        <f t="shared" si="2"/>
        <v>32.553986289284445</v>
      </c>
    </row>
    <row r="147" spans="1:33" x14ac:dyDescent="0.2">
      <c r="A147" s="5" t="s">
        <v>174</v>
      </c>
      <c r="B147" s="5" t="s">
        <v>368</v>
      </c>
      <c r="C147" s="6"/>
      <c r="D147" s="6"/>
      <c r="E147" s="6"/>
      <c r="F147" s="7">
        <v>39.398529052734375</v>
      </c>
      <c r="G147" s="7">
        <v>39.475131988525391</v>
      </c>
      <c r="H147" s="7">
        <v>39.258037567138672</v>
      </c>
      <c r="I147" s="7">
        <v>38.762256622314453</v>
      </c>
      <c r="J147" s="7">
        <v>38.944583892822266</v>
      </c>
      <c r="K147" s="7">
        <v>39.009128570556641</v>
      </c>
      <c r="L147" s="7">
        <v>38.481689453125</v>
      </c>
      <c r="M147" s="7">
        <v>38.400001525878906</v>
      </c>
      <c r="N147" s="7">
        <v>38.061203002929688</v>
      </c>
      <c r="O147" s="7">
        <v>38.282909393310547</v>
      </c>
      <c r="P147" s="7">
        <v>37.966163635253906</v>
      </c>
      <c r="Q147" s="7">
        <v>37.493942260742188</v>
      </c>
      <c r="R147" s="7">
        <v>37.432880401611328</v>
      </c>
      <c r="S147" s="7">
        <v>36.562202453613281</v>
      </c>
      <c r="T147" s="7">
        <v>36.240219116210938</v>
      </c>
      <c r="U147" s="7">
        <v>36.010498046875</v>
      </c>
      <c r="V147" s="7">
        <v>36.169803619384766</v>
      </c>
      <c r="W147" s="7">
        <v>36.062122344970703</v>
      </c>
      <c r="X147" s="7">
        <v>37.941379547119141</v>
      </c>
      <c r="Y147" s="7">
        <v>37.056110382080078</v>
      </c>
      <c r="Z147" s="7">
        <v>36.979183197021484</v>
      </c>
      <c r="AA147" s="7">
        <v>36.887912750244141</v>
      </c>
      <c r="AB147" s="7">
        <v>37.557682037353516</v>
      </c>
      <c r="AC147" s="7">
        <v>38.047348022460938</v>
      </c>
      <c r="AD147" s="7">
        <v>38.000415802001953</v>
      </c>
      <c r="AE147" s="7">
        <v>37.823772430419922</v>
      </c>
      <c r="AG147" s="7">
        <f t="shared" si="2"/>
        <v>36.809090354225852</v>
      </c>
    </row>
    <row r="148" spans="1:33" x14ac:dyDescent="0.2">
      <c r="A148" s="5" t="s">
        <v>175</v>
      </c>
      <c r="B148" s="5" t="s">
        <v>369</v>
      </c>
      <c r="C148" s="6"/>
      <c r="D148" s="6"/>
      <c r="E148" s="6"/>
      <c r="F148" s="7">
        <v>33.034774780273438</v>
      </c>
      <c r="G148" s="7">
        <v>32.714042663574219</v>
      </c>
      <c r="H148" s="7">
        <v>32.062431335449219</v>
      </c>
      <c r="I148" s="7">
        <v>32.259067535400391</v>
      </c>
      <c r="J148" s="7">
        <v>32.446632385253906</v>
      </c>
      <c r="K148" s="7">
        <v>31.923221588134766</v>
      </c>
      <c r="L148" s="7">
        <v>32.820659637451172</v>
      </c>
      <c r="M148" s="7">
        <v>32.099998474121094</v>
      </c>
      <c r="N148" s="7">
        <v>32.837196350097656</v>
      </c>
      <c r="O148" s="7">
        <v>32.970661163330078</v>
      </c>
      <c r="P148" s="7">
        <v>32.791927337646484</v>
      </c>
      <c r="Q148" s="7">
        <v>32.493961334228516</v>
      </c>
      <c r="R148" s="7">
        <v>31.984888076782227</v>
      </c>
      <c r="S148" s="7">
        <v>31.998569488525391</v>
      </c>
      <c r="T148" s="7">
        <v>31.838798522949219</v>
      </c>
      <c r="U148" s="7">
        <v>32.058261871337891</v>
      </c>
      <c r="V148" s="7">
        <v>33.457553863525391</v>
      </c>
      <c r="W148" s="7">
        <v>32.586990356445313</v>
      </c>
      <c r="X148" s="7">
        <v>31.374244689941406</v>
      </c>
      <c r="Y148" s="7">
        <v>31.282899856567383</v>
      </c>
      <c r="Z148" s="7">
        <v>30.872257232666016</v>
      </c>
      <c r="AA148" s="7">
        <v>30.757900238037109</v>
      </c>
      <c r="AB148" s="7">
        <v>30.710756301879883</v>
      </c>
      <c r="AC148" s="7">
        <v>31.233669281005859</v>
      </c>
      <c r="AD148" s="7">
        <v>30.733985900878906</v>
      </c>
      <c r="AE148" s="7">
        <v>30.861873626708984</v>
      </c>
      <c r="AG148" s="7">
        <f t="shared" si="2"/>
        <v>31.720283681696113</v>
      </c>
    </row>
    <row r="149" spans="1:33" x14ac:dyDescent="0.2">
      <c r="A149" s="5" t="s">
        <v>178</v>
      </c>
      <c r="B149" s="5" t="s">
        <v>372</v>
      </c>
      <c r="C149" s="6"/>
      <c r="D149" s="6"/>
      <c r="E149" s="6"/>
      <c r="F149" s="7">
        <v>43.620735168457031</v>
      </c>
      <c r="G149" s="7">
        <v>43.891674041748047</v>
      </c>
      <c r="H149" s="7">
        <v>43.203536987304688</v>
      </c>
      <c r="I149" s="7">
        <v>43.370555877685547</v>
      </c>
      <c r="J149" s="7">
        <v>43.509368896484375</v>
      </c>
      <c r="K149" s="7">
        <v>42.911678314208984</v>
      </c>
      <c r="L149" s="7">
        <v>42.701984405517578</v>
      </c>
      <c r="M149" s="7">
        <v>43.099998474121094</v>
      </c>
      <c r="N149" s="7">
        <v>43.148288726806641</v>
      </c>
      <c r="O149" s="7">
        <v>43.734519958496094</v>
      </c>
      <c r="P149" s="7">
        <v>43.028438568115234</v>
      </c>
      <c r="Q149" s="7">
        <v>42.126136779785156</v>
      </c>
      <c r="R149" s="7">
        <v>42.370815277099609</v>
      </c>
      <c r="S149" s="7">
        <v>42.546573638916016</v>
      </c>
      <c r="T149" s="7">
        <v>41.385204315185547</v>
      </c>
      <c r="U149" s="7">
        <v>41.353553771972656</v>
      </c>
      <c r="V149" s="7">
        <v>41.030300140380859</v>
      </c>
      <c r="W149" s="7">
        <v>40.684989929199219</v>
      </c>
      <c r="X149" s="7">
        <v>41.035114288330078</v>
      </c>
      <c r="Y149" s="7">
        <v>40.036411285400391</v>
      </c>
      <c r="Z149" s="7">
        <v>40.007392883300781</v>
      </c>
      <c r="AA149" s="7">
        <v>39.590354919433594</v>
      </c>
      <c r="AB149" s="7">
        <v>39.617637634277344</v>
      </c>
      <c r="AC149" s="7">
        <v>39.339935302734375</v>
      </c>
      <c r="AD149" s="7">
        <v>39.693302154541016</v>
      </c>
      <c r="AE149" s="7">
        <v>40.345607757568359</v>
      </c>
      <c r="AG149" s="7">
        <f t="shared" si="2"/>
        <v>40.878031643954188</v>
      </c>
    </row>
    <row r="150" spans="1:33" x14ac:dyDescent="0.2">
      <c r="A150" s="5" t="s">
        <v>179</v>
      </c>
      <c r="B150" s="5" t="s">
        <v>373</v>
      </c>
      <c r="C150" s="6"/>
      <c r="D150" s="6"/>
      <c r="E150" s="6"/>
      <c r="F150" s="7">
        <v>47.356559753417969</v>
      </c>
      <c r="G150" s="7">
        <v>50.042930603027344</v>
      </c>
      <c r="H150" s="7">
        <v>51.208358764648438</v>
      </c>
      <c r="I150" s="7">
        <v>52.127357482910156</v>
      </c>
      <c r="J150" s="7">
        <v>54.288742065429688</v>
      </c>
      <c r="K150" s="7">
        <v>54.029010772705078</v>
      </c>
      <c r="L150" s="7">
        <v>52.4146728515625</v>
      </c>
      <c r="M150" s="7">
        <v>52.200000762939453</v>
      </c>
      <c r="N150" s="7">
        <v>50.828758239746094</v>
      </c>
      <c r="O150" s="7">
        <v>49.877246856689453</v>
      </c>
      <c r="P150" s="7">
        <v>49.275642395019531</v>
      </c>
      <c r="Q150" s="7">
        <v>47.980060577392578</v>
      </c>
      <c r="R150" s="7">
        <v>47.799667358398438</v>
      </c>
      <c r="S150" s="7">
        <v>46.832115173339844</v>
      </c>
      <c r="T150" s="7">
        <v>46.317916870117188</v>
      </c>
      <c r="U150" s="7">
        <v>46.154262542724609</v>
      </c>
      <c r="V150" s="7">
        <v>48.717369079589844</v>
      </c>
      <c r="W150" s="7">
        <v>48.240211486816406</v>
      </c>
      <c r="X150" s="7">
        <v>47.208038330078125</v>
      </c>
      <c r="Y150" s="7">
        <v>46.960414886474609</v>
      </c>
      <c r="Z150" s="7">
        <v>47.025924682617188</v>
      </c>
      <c r="AA150" s="7">
        <v>46.696460723876953</v>
      </c>
      <c r="AB150" s="7">
        <v>47.144153594970703</v>
      </c>
      <c r="AC150" s="7">
        <v>46.951606750488281</v>
      </c>
      <c r="AD150" s="7">
        <v>47.083869934082031</v>
      </c>
      <c r="AE150" s="7">
        <v>46.602222442626953</v>
      </c>
      <c r="AG150" s="7">
        <f t="shared" si="2"/>
        <v>47.190594066273086</v>
      </c>
    </row>
    <row r="151" spans="1:33" x14ac:dyDescent="0.2">
      <c r="A151" s="5" t="s">
        <v>5</v>
      </c>
      <c r="B151" s="5" t="s">
        <v>198</v>
      </c>
      <c r="C151" s="6"/>
      <c r="D151" s="6"/>
      <c r="E151" s="6"/>
      <c r="F151" s="7">
        <v>26.992832183837891</v>
      </c>
      <c r="G151" s="7">
        <v>26.512683868408203</v>
      </c>
      <c r="H151" s="7">
        <v>26.277780532836914</v>
      </c>
      <c r="I151" s="7">
        <v>26.502462387084961</v>
      </c>
      <c r="J151" s="7">
        <v>26.421600341796875</v>
      </c>
      <c r="K151" s="7">
        <v>27.129093170166016</v>
      </c>
      <c r="L151" s="7">
        <v>27.148519515991211</v>
      </c>
      <c r="M151" s="7">
        <v>26.399999618530273</v>
      </c>
      <c r="N151" s="7">
        <v>26.230844497680664</v>
      </c>
      <c r="O151" s="7">
        <v>26.373083114624023</v>
      </c>
      <c r="P151" s="7">
        <v>26.243059158325195</v>
      </c>
      <c r="Q151" s="7">
        <v>26.183334350585938</v>
      </c>
      <c r="R151" s="7">
        <v>26.413795471191406</v>
      </c>
      <c r="S151" s="7">
        <v>26.448114395141602</v>
      </c>
      <c r="T151" s="7">
        <v>26.946992874145508</v>
      </c>
      <c r="U151" s="7">
        <v>27.597509384155273</v>
      </c>
      <c r="V151" s="7">
        <v>28.424911499023438</v>
      </c>
      <c r="W151" s="7">
        <v>28.625158309936523</v>
      </c>
      <c r="X151" s="7">
        <v>28.435853958129883</v>
      </c>
      <c r="Y151" s="7">
        <v>28.264137268066406</v>
      </c>
      <c r="Z151" s="7">
        <v>28.204988479614258</v>
      </c>
      <c r="AA151" s="7">
        <v>27.86775016784668</v>
      </c>
      <c r="AB151" s="7">
        <v>27.762371063232422</v>
      </c>
      <c r="AC151" s="7">
        <v>27.683551788330078</v>
      </c>
      <c r="AD151" s="7">
        <v>28.113393783569336</v>
      </c>
      <c r="AE151" s="7">
        <v>27.940013885498047</v>
      </c>
      <c r="AG151" s="7">
        <f t="shared" si="2"/>
        <v>27.726507533680309</v>
      </c>
    </row>
    <row r="152" spans="1:33" x14ac:dyDescent="0.2">
      <c r="A152" s="5" t="s">
        <v>64</v>
      </c>
      <c r="B152" s="5" t="s">
        <v>257</v>
      </c>
      <c r="C152" s="6"/>
      <c r="D152" s="6"/>
      <c r="E152" s="6"/>
      <c r="F152" s="7">
        <v>14.056303977966309</v>
      </c>
      <c r="G152" s="7">
        <v>13.869049072265625</v>
      </c>
      <c r="H152" s="7">
        <v>13.49135684967041</v>
      </c>
      <c r="I152" s="7">
        <v>13.243960380554199</v>
      </c>
      <c r="J152" s="7">
        <v>12.995709419250488</v>
      </c>
      <c r="K152" s="7">
        <v>12.825010299682617</v>
      </c>
      <c r="L152" s="7">
        <v>12.782944679260254</v>
      </c>
      <c r="M152" s="7">
        <v>12.699999809265137</v>
      </c>
      <c r="N152" s="7">
        <v>12.643010139465332</v>
      </c>
      <c r="O152" s="7">
        <v>12.688814163208008</v>
      </c>
      <c r="P152" s="7">
        <v>12.662185668945313</v>
      </c>
      <c r="Q152" s="7">
        <v>12.622561454772949</v>
      </c>
      <c r="R152" s="7">
        <v>12.612096786499023</v>
      </c>
      <c r="S152" s="7">
        <v>12.625350952148438</v>
      </c>
      <c r="T152" s="7">
        <v>12.544318199157715</v>
      </c>
      <c r="U152" s="7">
        <v>12.684004783630371</v>
      </c>
      <c r="V152" s="7">
        <v>13.256415367126465</v>
      </c>
      <c r="W152" s="7">
        <v>13.148591041564941</v>
      </c>
      <c r="X152" s="7">
        <v>13.037456512451172</v>
      </c>
      <c r="Y152" s="7">
        <v>13.000195503234863</v>
      </c>
      <c r="Z152" s="7">
        <v>12.86285400390625</v>
      </c>
      <c r="AA152" s="7">
        <v>12.632598876953125</v>
      </c>
      <c r="AB152" s="7">
        <v>12.429396629333496</v>
      </c>
      <c r="AC152" s="7">
        <v>12.373912811279297</v>
      </c>
      <c r="AD152" s="7">
        <v>12.329894065856934</v>
      </c>
      <c r="AE152" s="7">
        <v>12.294291496276855</v>
      </c>
      <c r="AG152" s="7">
        <f t="shared" si="2"/>
        <v>12.80302533236417</v>
      </c>
    </row>
    <row r="153" spans="1:33" x14ac:dyDescent="0.2">
      <c r="A153" s="5" t="s">
        <v>181</v>
      </c>
      <c r="B153" s="5" t="s">
        <v>375</v>
      </c>
      <c r="C153" s="6"/>
      <c r="D153" s="6"/>
      <c r="E153" s="6"/>
      <c r="F153" s="7">
        <v>9.6700210571289063</v>
      </c>
      <c r="G153" s="7">
        <v>9.4973506927490234</v>
      </c>
      <c r="H153" s="7">
        <v>9.3989334106445313</v>
      </c>
      <c r="I153" s="7">
        <v>9.2986431121826172</v>
      </c>
      <c r="J153" s="7">
        <v>9.0934762954711914</v>
      </c>
      <c r="K153" s="7">
        <v>8.8976144790649414</v>
      </c>
      <c r="L153" s="7">
        <v>8.7961025238037109</v>
      </c>
      <c r="M153" s="7">
        <v>8.6999998092651367</v>
      </c>
      <c r="N153" s="7">
        <v>8.8428926467895508</v>
      </c>
      <c r="O153" s="7">
        <v>8.9820089340209961</v>
      </c>
      <c r="P153" s="7">
        <v>9.0099620819091797</v>
      </c>
      <c r="Q153" s="7">
        <v>8.8199214935302734</v>
      </c>
      <c r="R153" s="7">
        <v>8.8259363174438477</v>
      </c>
      <c r="S153" s="7">
        <v>8.7193946838378906</v>
      </c>
      <c r="T153" s="7">
        <v>8.6955223083496094</v>
      </c>
      <c r="U153" s="7">
        <v>8.9231252670288086</v>
      </c>
      <c r="V153" s="7">
        <v>9.3541841506958008</v>
      </c>
      <c r="W153" s="7">
        <v>9.2785224914550781</v>
      </c>
      <c r="X153" s="7">
        <v>9.1482343673706055</v>
      </c>
      <c r="Y153" s="7">
        <v>8.96246337890625</v>
      </c>
      <c r="Z153" s="7">
        <v>8.8246078491210938</v>
      </c>
      <c r="AA153" s="7">
        <v>8.679931640625</v>
      </c>
      <c r="AB153" s="7">
        <v>8.5346126556396484</v>
      </c>
      <c r="AC153" s="7">
        <v>8.4725151062011719</v>
      </c>
      <c r="AD153" s="7">
        <v>8.3426246643066406</v>
      </c>
      <c r="AE153" s="7">
        <v>8.2382059097290039</v>
      </c>
      <c r="AG153" s="7">
        <f t="shared" si="2"/>
        <v>8.9042304645885118</v>
      </c>
    </row>
    <row r="154" spans="1:33" x14ac:dyDescent="0.2">
      <c r="A154" s="5" t="s">
        <v>180</v>
      </c>
      <c r="B154" s="5" t="s">
        <v>374</v>
      </c>
      <c r="C154" s="6"/>
      <c r="D154" s="6"/>
      <c r="E154" s="6"/>
      <c r="F154" s="7">
        <v>50.874942779541016</v>
      </c>
      <c r="G154" s="7">
        <v>50.307758331298828</v>
      </c>
      <c r="H154" s="7">
        <v>51.280204772949219</v>
      </c>
      <c r="I154" s="7">
        <v>51.289531707763672</v>
      </c>
      <c r="J154" s="7">
        <v>49.510746002197266</v>
      </c>
      <c r="K154" s="7">
        <v>49.254207611083984</v>
      </c>
      <c r="L154" s="7">
        <v>50.573383331298828</v>
      </c>
      <c r="M154" s="7">
        <v>51.099998474121094</v>
      </c>
      <c r="N154" s="7">
        <v>50.859210968017578</v>
      </c>
      <c r="O154" s="7">
        <v>50.616863250732422</v>
      </c>
      <c r="P154" s="7">
        <v>50.521881103515625</v>
      </c>
      <c r="Q154" s="7">
        <v>50.298568725585938</v>
      </c>
      <c r="R154" s="7">
        <v>49.345340728759766</v>
      </c>
      <c r="S154" s="7">
        <v>50.286087036132813</v>
      </c>
      <c r="T154" s="7">
        <v>49.088130950927734</v>
      </c>
      <c r="U154" s="7">
        <v>48.818923950195313</v>
      </c>
      <c r="V154" s="7">
        <v>48.561149597167969</v>
      </c>
      <c r="W154" s="7">
        <v>47.641674041748047</v>
      </c>
      <c r="X154" s="7">
        <v>47.384532928466797</v>
      </c>
      <c r="Y154" s="7">
        <v>47.94744873046875</v>
      </c>
      <c r="Z154" s="7">
        <v>47.732898712158203</v>
      </c>
      <c r="AA154" s="7">
        <v>47.541244506835938</v>
      </c>
      <c r="AB154" s="7">
        <v>47.548526763916016</v>
      </c>
      <c r="AC154" s="7">
        <v>47.785621643066406</v>
      </c>
      <c r="AD154" s="7">
        <v>48.165077209472656</v>
      </c>
      <c r="AE154" s="7">
        <v>47.719028472900391</v>
      </c>
      <c r="AG154" s="7">
        <f t="shared" si="2"/>
        <v>48.354177995161578</v>
      </c>
    </row>
    <row r="155" spans="1:33" x14ac:dyDescent="0.2">
      <c r="A155" s="5" t="s">
        <v>184</v>
      </c>
      <c r="B155" s="5" t="s">
        <v>378</v>
      </c>
      <c r="C155" s="6"/>
      <c r="D155" s="6"/>
      <c r="E155" s="6"/>
      <c r="F155" s="7">
        <v>31.812950134277344</v>
      </c>
      <c r="G155" s="7">
        <v>32.062572479248047</v>
      </c>
      <c r="H155" s="7">
        <v>32.019237518310547</v>
      </c>
      <c r="I155" s="7">
        <v>31.58680534362793</v>
      </c>
      <c r="J155" s="7">
        <v>32.942470550537109</v>
      </c>
      <c r="K155" s="7">
        <v>33.193000793457031</v>
      </c>
      <c r="L155" s="7">
        <v>33.818496704101563</v>
      </c>
      <c r="M155" s="7">
        <v>33.599998474121094</v>
      </c>
      <c r="N155" s="7">
        <v>33.924392700195313</v>
      </c>
      <c r="O155" s="7">
        <v>34.836021423339844</v>
      </c>
      <c r="P155" s="7">
        <v>35.448036193847656</v>
      </c>
      <c r="Q155" s="7">
        <v>34.230201721191406</v>
      </c>
      <c r="R155" s="7">
        <v>33.065036773681641</v>
      </c>
      <c r="S155" s="7">
        <v>32.514064788818359</v>
      </c>
      <c r="T155" s="7">
        <v>31.962106704711914</v>
      </c>
      <c r="U155" s="7">
        <v>31.493709564208984</v>
      </c>
      <c r="V155" s="7">
        <v>32.229717254638672</v>
      </c>
      <c r="W155" s="7">
        <v>32.15087890625</v>
      </c>
      <c r="X155" s="7">
        <v>32.034511566162109</v>
      </c>
      <c r="Y155" s="7">
        <v>31.77044677734375</v>
      </c>
      <c r="Z155" s="7">
        <v>31.790836334228516</v>
      </c>
      <c r="AA155" s="7">
        <v>32.792106628417969</v>
      </c>
      <c r="AB155" s="7">
        <v>32.829612731933594</v>
      </c>
      <c r="AC155" s="7">
        <v>34.12432861328125</v>
      </c>
      <c r="AD155" s="7">
        <v>35.120807647705078</v>
      </c>
      <c r="AE155" s="7">
        <v>36.051887512207031</v>
      </c>
      <c r="AG155" s="7">
        <f t="shared" si="2"/>
        <v>32.239366184581407</v>
      </c>
    </row>
    <row r="156" spans="1:33" x14ac:dyDescent="0.2">
      <c r="A156" s="5" t="s">
        <v>185</v>
      </c>
      <c r="B156" s="5" t="s">
        <v>379</v>
      </c>
      <c r="C156" s="6"/>
      <c r="D156" s="6"/>
      <c r="E156" s="6"/>
      <c r="F156" s="7">
        <v>16.367145538330078</v>
      </c>
      <c r="G156" s="7">
        <v>16.367038726806641</v>
      </c>
      <c r="H156" s="7">
        <v>16.145645141601563</v>
      </c>
      <c r="I156" s="7">
        <v>16.184534072875977</v>
      </c>
      <c r="J156" s="7">
        <v>16.403861999511719</v>
      </c>
      <c r="K156" s="7">
        <v>15.96208667755127</v>
      </c>
      <c r="L156" s="7">
        <v>15.728835105895996</v>
      </c>
      <c r="M156" s="7">
        <v>15.600000381469727</v>
      </c>
      <c r="N156" s="7">
        <v>15.718446731567383</v>
      </c>
      <c r="O156" s="7">
        <v>15.379960060119629</v>
      </c>
      <c r="P156" s="7">
        <v>15.423940658569336</v>
      </c>
      <c r="Q156" s="7">
        <v>15.315077781677246</v>
      </c>
      <c r="R156" s="7">
        <v>14.878508567810059</v>
      </c>
      <c r="S156" s="7">
        <v>14.906560897827148</v>
      </c>
      <c r="T156" s="7">
        <v>14.831469535827637</v>
      </c>
      <c r="U156" s="7">
        <v>14.811144828796387</v>
      </c>
      <c r="V156" s="7">
        <v>14.886651039123535</v>
      </c>
      <c r="W156" s="7">
        <v>14.866138458251953</v>
      </c>
      <c r="X156" s="7">
        <v>14.526834487915039</v>
      </c>
      <c r="Y156" s="7">
        <v>14.407346725463867</v>
      </c>
      <c r="Z156" s="7">
        <v>14.542328834533691</v>
      </c>
      <c r="AA156" s="7">
        <v>14.425045967102051</v>
      </c>
      <c r="AB156" s="7">
        <v>14.365779876708984</v>
      </c>
      <c r="AC156" s="7">
        <v>14.320169448852539</v>
      </c>
      <c r="AD156" s="7">
        <v>14.196490287780762</v>
      </c>
      <c r="AE156" s="7">
        <v>14.040266990661621</v>
      </c>
      <c r="AG156" s="7">
        <f t="shared" si="2"/>
        <v>14.677073565396396</v>
      </c>
    </row>
    <row r="157" spans="1:33" x14ac:dyDescent="0.2">
      <c r="A157" s="5" t="s">
        <v>189</v>
      </c>
      <c r="B157" s="5" t="s">
        <v>383</v>
      </c>
      <c r="C157" s="6"/>
      <c r="D157" s="6"/>
      <c r="E157" s="6"/>
      <c r="F157" s="7">
        <v>28.925380706787109</v>
      </c>
      <c r="G157" s="7">
        <v>29.031000137329102</v>
      </c>
      <c r="H157" s="7">
        <v>27.900279998779297</v>
      </c>
      <c r="I157" s="7">
        <v>27.561111450195313</v>
      </c>
      <c r="J157" s="7">
        <v>27.92051887512207</v>
      </c>
      <c r="K157" s="7">
        <v>28.054965972900391</v>
      </c>
      <c r="L157" s="7">
        <v>27.561796188354492</v>
      </c>
      <c r="M157" s="7">
        <v>27.399999618530273</v>
      </c>
      <c r="N157" s="7">
        <v>27.166465759277344</v>
      </c>
      <c r="O157" s="7">
        <v>27.160770416259766</v>
      </c>
      <c r="P157" s="7">
        <v>26.867099761962891</v>
      </c>
      <c r="Q157" s="7">
        <v>26.698095321655273</v>
      </c>
      <c r="R157" s="7">
        <v>26.68501091003418</v>
      </c>
      <c r="S157" s="7">
        <v>26.982442855834961</v>
      </c>
      <c r="T157" s="7">
        <v>27.311016082763672</v>
      </c>
      <c r="U157" s="7">
        <v>26.924079895019531</v>
      </c>
      <c r="V157" s="7">
        <v>27.070070266723633</v>
      </c>
      <c r="W157" s="7">
        <v>26.778032302856445</v>
      </c>
      <c r="X157" s="7">
        <v>28.268264770507813</v>
      </c>
      <c r="Y157" s="7">
        <v>28.774673461914063</v>
      </c>
      <c r="Z157" s="7">
        <v>28.829740524291992</v>
      </c>
      <c r="AA157" s="7">
        <v>28.778106689453125</v>
      </c>
      <c r="AB157" s="7">
        <v>29.644332885742188</v>
      </c>
      <c r="AC157" s="7">
        <v>30.454191207885742</v>
      </c>
      <c r="AD157" s="7">
        <v>30.776161193847656</v>
      </c>
      <c r="AE157" s="7">
        <v>31.083236694335938</v>
      </c>
      <c r="AG157" s="7">
        <f t="shared" si="2"/>
        <v>27.822342785921965</v>
      </c>
    </row>
    <row r="158" spans="1:33" x14ac:dyDescent="0.2">
      <c r="A158" s="5" t="s">
        <v>191</v>
      </c>
      <c r="B158" s="5" t="s">
        <v>385</v>
      </c>
      <c r="C158" s="6"/>
      <c r="D158" s="6"/>
      <c r="E158" s="6"/>
      <c r="F158" s="7">
        <v>51.287563323974609</v>
      </c>
      <c r="G158" s="7">
        <v>50.690879821777344</v>
      </c>
      <c r="H158" s="7">
        <v>50.892837524414063</v>
      </c>
      <c r="I158" s="7">
        <v>51.112251281738281</v>
      </c>
      <c r="J158" s="7">
        <v>50.574565887451172</v>
      </c>
      <c r="K158" s="7">
        <v>49.826972961425781</v>
      </c>
      <c r="L158" s="7">
        <v>49.361881256103516</v>
      </c>
      <c r="M158" s="7">
        <v>48.900001525878906</v>
      </c>
      <c r="N158" s="7">
        <v>49.045513153076172</v>
      </c>
      <c r="O158" s="7">
        <v>49.138393402099609</v>
      </c>
      <c r="P158" s="7">
        <v>49.40228271484375</v>
      </c>
      <c r="Q158" s="7">
        <v>49.668796539306641</v>
      </c>
      <c r="R158" s="7">
        <v>49.774940490722656</v>
      </c>
      <c r="S158" s="7">
        <v>49.221168518066406</v>
      </c>
      <c r="T158" s="7">
        <v>48.163219451904297</v>
      </c>
      <c r="U158" s="7">
        <v>48.5609130859375</v>
      </c>
      <c r="V158" s="7">
        <v>47.998710632324219</v>
      </c>
      <c r="W158" s="7">
        <v>47.081886291503906</v>
      </c>
      <c r="X158" s="7">
        <v>46.791046142578125</v>
      </c>
      <c r="Y158" s="7">
        <v>46.545078277587891</v>
      </c>
      <c r="Z158" s="7">
        <v>46.493022918701172</v>
      </c>
      <c r="AA158" s="7">
        <v>47.036979675292969</v>
      </c>
      <c r="AB158" s="7">
        <v>47.356960296630859</v>
      </c>
      <c r="AC158" s="7">
        <v>47.960037231445313</v>
      </c>
      <c r="AD158" s="7">
        <v>46.442955017089844</v>
      </c>
      <c r="AE158" s="7">
        <v>46.224048614501953</v>
      </c>
      <c r="AG158" s="7">
        <f t="shared" si="2"/>
        <v>47.729447798295453</v>
      </c>
    </row>
    <row r="159" spans="1:33" x14ac:dyDescent="0.2">
      <c r="A159" s="5" t="s">
        <v>192</v>
      </c>
      <c r="B159" s="5" t="s">
        <v>386</v>
      </c>
      <c r="C159" s="6"/>
      <c r="D159" s="6"/>
      <c r="E159" s="6"/>
      <c r="F159" s="7">
        <v>59.386306762695313</v>
      </c>
      <c r="G159" s="7">
        <v>58.190406799316406</v>
      </c>
      <c r="H159" s="7">
        <v>58.909702301025391</v>
      </c>
      <c r="I159" s="7">
        <v>57.311012268066406</v>
      </c>
      <c r="J159" s="7">
        <v>57.598072052001953</v>
      </c>
      <c r="K159" s="7">
        <v>56.97576904296875</v>
      </c>
      <c r="L159" s="7">
        <v>57.400249481201172</v>
      </c>
      <c r="M159" s="7">
        <v>59.400001525878906</v>
      </c>
      <c r="N159" s="7">
        <v>57.381801605224609</v>
      </c>
      <c r="O159" s="7">
        <v>58.442607879638672</v>
      </c>
      <c r="P159" s="7">
        <v>60.338001251220703</v>
      </c>
      <c r="Q159" s="7">
        <v>61.249111175537109</v>
      </c>
      <c r="R159" s="7">
        <v>61.399234771728516</v>
      </c>
      <c r="S159" s="7">
        <v>60.381172180175781</v>
      </c>
      <c r="T159" s="7">
        <v>60.317409515380859</v>
      </c>
      <c r="U159" s="7">
        <v>62.220550537109375</v>
      </c>
      <c r="V159" s="7">
        <v>63.29595947265625</v>
      </c>
      <c r="W159" s="7">
        <v>62.394996643066406</v>
      </c>
      <c r="X159" s="7">
        <v>61.752216339111328</v>
      </c>
      <c r="Y159" s="7">
        <v>60.489265441894531</v>
      </c>
      <c r="Z159" s="7">
        <v>60.143707275390625</v>
      </c>
      <c r="AA159" s="7">
        <v>60.275253295898438</v>
      </c>
      <c r="AB159" s="7">
        <v>60.070037841796875</v>
      </c>
      <c r="AC159" s="7">
        <v>59.994132995605469</v>
      </c>
      <c r="AD159" s="7">
        <v>60.103473663330078</v>
      </c>
      <c r="AE159" s="7">
        <v>58.677005767822266</v>
      </c>
      <c r="AG159" s="7">
        <f t="shared" si="2"/>
        <v>61.15816393765536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F54A-7AF1-4E5E-8749-1FDAD514A601}">
  <dimension ref="B4:D34"/>
  <sheetViews>
    <sheetView topLeftCell="A5" workbookViewId="0">
      <selection activeCell="I25" sqref="I25"/>
    </sheetView>
  </sheetViews>
  <sheetFormatPr defaultRowHeight="15" x14ac:dyDescent="0.25"/>
  <sheetData>
    <row r="4" spans="2:4" x14ac:dyDescent="0.25">
      <c r="B4" s="4" t="s">
        <v>410</v>
      </c>
      <c r="C4" s="5" t="s">
        <v>16</v>
      </c>
      <c r="D4" s="3" t="s">
        <v>16</v>
      </c>
    </row>
    <row r="5" spans="2:4" x14ac:dyDescent="0.25">
      <c r="B5" s="4" t="s">
        <v>402</v>
      </c>
      <c r="C5" s="5" t="s">
        <v>209</v>
      </c>
      <c r="D5" s="3" t="s">
        <v>209</v>
      </c>
    </row>
    <row r="6" spans="2:4" x14ac:dyDescent="0.25">
      <c r="B6" s="4">
        <v>1990</v>
      </c>
      <c r="C6" s="6"/>
      <c r="D6" s="8">
        <v>42.952110290527344</v>
      </c>
    </row>
    <row r="7" spans="2:4" x14ac:dyDescent="0.25">
      <c r="B7" s="4">
        <v>1991</v>
      </c>
      <c r="C7" s="6"/>
      <c r="D7" s="8">
        <v>42.664642333984375</v>
      </c>
    </row>
    <row r="8" spans="2:4" x14ac:dyDescent="0.25">
      <c r="B8" s="4">
        <v>1992</v>
      </c>
      <c r="C8" s="6"/>
      <c r="D8" s="8">
        <v>42.450149536132813</v>
      </c>
    </row>
    <row r="9" spans="2:4" x14ac:dyDescent="0.25">
      <c r="B9" s="4">
        <v>1993</v>
      </c>
      <c r="C9" s="7">
        <v>36.670768737792969</v>
      </c>
      <c r="D9" s="8">
        <v>42.107204437255859</v>
      </c>
    </row>
    <row r="10" spans="2:4" x14ac:dyDescent="0.25">
      <c r="B10" s="4">
        <v>1994</v>
      </c>
      <c r="C10" s="7">
        <v>36.484996795654297</v>
      </c>
      <c r="D10" s="8">
        <v>41.800094604492188</v>
      </c>
    </row>
    <row r="11" spans="2:4" x14ac:dyDescent="0.25">
      <c r="B11" s="4">
        <v>1995</v>
      </c>
      <c r="C11" s="7">
        <v>36.079761505126953</v>
      </c>
      <c r="D11" s="8">
        <v>41.484584808349609</v>
      </c>
    </row>
    <row r="12" spans="2:4" x14ac:dyDescent="0.25">
      <c r="B12" s="4">
        <v>1996</v>
      </c>
      <c r="C12" s="7">
        <v>35.634632110595703</v>
      </c>
      <c r="D12" s="8">
        <v>41.130989074707031</v>
      </c>
    </row>
    <row r="13" spans="2:4" x14ac:dyDescent="0.25">
      <c r="B13" s="4">
        <v>1997</v>
      </c>
      <c r="C13" s="7">
        <v>35.429027557373047</v>
      </c>
      <c r="D13" s="8">
        <v>40.773448944091797</v>
      </c>
    </row>
    <row r="14" spans="2:4" x14ac:dyDescent="0.25">
      <c r="B14" s="4">
        <v>1998</v>
      </c>
      <c r="C14" s="7">
        <v>35.365760803222656</v>
      </c>
      <c r="D14" s="8">
        <v>40.172473907470703</v>
      </c>
    </row>
    <row r="15" spans="2:4" x14ac:dyDescent="0.25">
      <c r="B15" s="4">
        <v>1999</v>
      </c>
      <c r="C15" s="7">
        <v>35.496166229248047</v>
      </c>
      <c r="D15" s="8">
        <v>39.560256958007813</v>
      </c>
    </row>
    <row r="16" spans="2:4" x14ac:dyDescent="0.25">
      <c r="B16" s="4">
        <v>2000</v>
      </c>
      <c r="C16" s="7">
        <v>35.599998474121094</v>
      </c>
      <c r="D16" s="8">
        <v>38.955913543701172</v>
      </c>
    </row>
    <row r="17" spans="2:4" x14ac:dyDescent="0.25">
      <c r="B17" s="4">
        <v>2001</v>
      </c>
      <c r="C17" s="7">
        <v>35.585887908935547</v>
      </c>
      <c r="D17" s="8">
        <v>38.389839172363281</v>
      </c>
    </row>
    <row r="18" spans="2:4" x14ac:dyDescent="0.25">
      <c r="B18" s="4">
        <v>2002</v>
      </c>
      <c r="C18" s="7">
        <v>36.180835723876953</v>
      </c>
      <c r="D18" s="8">
        <v>37.765056610107422</v>
      </c>
    </row>
    <row r="19" spans="2:4" x14ac:dyDescent="0.25">
      <c r="B19" s="4">
        <v>2003</v>
      </c>
      <c r="C19" s="7">
        <v>36.863773345947266</v>
      </c>
      <c r="D19" s="8">
        <v>37.098930358886719</v>
      </c>
    </row>
    <row r="20" spans="2:4" x14ac:dyDescent="0.25">
      <c r="B20" s="4">
        <v>2004</v>
      </c>
      <c r="C20" s="7">
        <v>37.213970184326172</v>
      </c>
      <c r="D20" s="8">
        <v>36.318214416503906</v>
      </c>
    </row>
    <row r="21" spans="2:4" x14ac:dyDescent="0.25">
      <c r="B21" s="4">
        <v>2005</v>
      </c>
      <c r="C21" s="7">
        <v>37.185455322265625</v>
      </c>
      <c r="D21" s="8">
        <v>35.509971618652344</v>
      </c>
    </row>
    <row r="22" spans="2:4" x14ac:dyDescent="0.25">
      <c r="B22" s="4">
        <v>2006</v>
      </c>
      <c r="C22" s="7">
        <v>36.700557708740234</v>
      </c>
      <c r="D22" s="8">
        <v>34.6885986328125</v>
      </c>
    </row>
    <row r="23" spans="2:4" x14ac:dyDescent="0.25">
      <c r="B23" s="4">
        <v>2007</v>
      </c>
      <c r="C23" s="7">
        <v>36.212722778320313</v>
      </c>
      <c r="D23" s="8">
        <v>34.100784301757813</v>
      </c>
    </row>
    <row r="24" spans="2:4" x14ac:dyDescent="0.25">
      <c r="B24" s="4">
        <v>2008</v>
      </c>
      <c r="C24" s="7">
        <v>35.932319641113281</v>
      </c>
      <c r="D24" s="8">
        <v>33.480823516845703</v>
      </c>
    </row>
    <row r="25" spans="2:4" x14ac:dyDescent="0.25">
      <c r="B25" s="4">
        <v>2009</v>
      </c>
      <c r="C25" s="7">
        <v>36.021945953369141</v>
      </c>
      <c r="D25" s="8">
        <v>32.828964233398438</v>
      </c>
    </row>
    <row r="26" spans="2:4" x14ac:dyDescent="0.25">
      <c r="B26" s="4">
        <v>2010</v>
      </c>
      <c r="C26" s="7">
        <v>35.54315185546875</v>
      </c>
      <c r="D26" s="8">
        <v>32.177204132080078</v>
      </c>
    </row>
    <row r="27" spans="2:4" x14ac:dyDescent="0.25">
      <c r="B27" s="4">
        <v>2011</v>
      </c>
      <c r="C27" s="7">
        <v>35.391773223876953</v>
      </c>
      <c r="D27" s="8">
        <v>31.500190734863281</v>
      </c>
    </row>
    <row r="28" spans="2:4" x14ac:dyDescent="0.25">
      <c r="B28" s="4">
        <v>2012</v>
      </c>
      <c r="C28" s="7">
        <v>35.19781494140625</v>
      </c>
      <c r="D28" s="8">
        <v>30.899021148681641</v>
      </c>
    </row>
    <row r="29" spans="2:4" x14ac:dyDescent="0.25">
      <c r="B29" s="4">
        <v>2013</v>
      </c>
      <c r="C29" s="7">
        <v>35.044219970703125</v>
      </c>
      <c r="D29" s="8">
        <v>30.204217910766602</v>
      </c>
    </row>
    <row r="30" spans="2:4" x14ac:dyDescent="0.25">
      <c r="B30" s="4">
        <v>2014</v>
      </c>
      <c r="C30" s="7">
        <v>34.929950714111328</v>
      </c>
      <c r="D30" s="8">
        <v>29.532600402832031</v>
      </c>
    </row>
    <row r="31" spans="2:4" x14ac:dyDescent="0.25">
      <c r="B31" s="4">
        <v>2015</v>
      </c>
      <c r="C31" s="7">
        <v>34.645957946777344</v>
      </c>
      <c r="D31" s="8">
        <v>28.897315979003906</v>
      </c>
    </row>
    <row r="32" spans="2:4" x14ac:dyDescent="0.25">
      <c r="B32" s="4">
        <v>2016</v>
      </c>
      <c r="C32" s="7">
        <v>34.769283294677734</v>
      </c>
      <c r="D32" s="8">
        <v>28.256935119628906</v>
      </c>
    </row>
    <row r="33" spans="2:4" x14ac:dyDescent="0.25">
      <c r="B33" s="4">
        <v>2017</v>
      </c>
      <c r="C33" s="7">
        <v>34.658210754394531</v>
      </c>
      <c r="D33" s="8">
        <v>27.63127326965332</v>
      </c>
    </row>
    <row r="34" spans="2:4" x14ac:dyDescent="0.25">
      <c r="B34" s="4">
        <v>2018</v>
      </c>
      <c r="C34" s="7">
        <v>34.65399169921875</v>
      </c>
      <c r="D34" s="8">
        <v>26.998659133911133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12FC-D7A9-4514-B12F-37917DF81E60}">
  <dimension ref="A1:AG178"/>
  <sheetViews>
    <sheetView workbookViewId="0">
      <pane xSplit="2" ySplit="1" topLeftCell="L148" activePane="bottomRight" state="frozen"/>
      <selection pane="topRight" activeCell="C1" sqref="C1"/>
      <selection pane="bottomLeft" activeCell="A2" sqref="A2"/>
      <selection pane="bottomRight" sqref="A1:AE178"/>
    </sheetView>
  </sheetViews>
  <sheetFormatPr defaultColWidth="9.140625" defaultRowHeight="12.75" x14ac:dyDescent="0.2"/>
  <cols>
    <col min="1" max="1" width="25.28515625" style="5" customWidth="1"/>
    <col min="2" max="16384" width="9.140625" style="5"/>
  </cols>
  <sheetData>
    <row r="1" spans="1:33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G1" s="4" t="s">
        <v>426</v>
      </c>
    </row>
    <row r="2" spans="1:33" x14ac:dyDescent="0.2">
      <c r="A2" s="5" t="s">
        <v>3</v>
      </c>
      <c r="B2" s="5" t="s">
        <v>196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>
        <v>65.301246643066406</v>
      </c>
      <c r="P2" s="7">
        <v>66.666664123535156</v>
      </c>
      <c r="Q2" s="7">
        <v>66.136833190917969</v>
      </c>
      <c r="R2" s="7">
        <v>57.190402984619141</v>
      </c>
      <c r="S2" s="7"/>
      <c r="T2" s="7">
        <v>65.400001525878906</v>
      </c>
      <c r="U2" s="7">
        <v>59.599998474121094</v>
      </c>
      <c r="V2" s="7">
        <v>58.599998474121094</v>
      </c>
      <c r="W2" s="7">
        <v>56.200000762939453</v>
      </c>
      <c r="X2" s="7">
        <v>60.099998474121094</v>
      </c>
      <c r="Y2" s="7">
        <v>62.900001525878906</v>
      </c>
      <c r="Z2" s="7">
        <v>59.799999237060547</v>
      </c>
      <c r="AA2" s="7">
        <v>58.400001525878906</v>
      </c>
      <c r="AB2" s="7">
        <v>59</v>
      </c>
      <c r="AC2" s="7">
        <v>58.799999237060547</v>
      </c>
      <c r="AD2" s="7">
        <v>55.900001525878906</v>
      </c>
      <c r="AE2" s="7">
        <v>55.5</v>
      </c>
      <c r="AG2" s="7">
        <f>AVERAGE($R2:$AB2)</f>
        <v>59.719040298461913</v>
      </c>
    </row>
    <row r="3" spans="1:33" x14ac:dyDescent="0.2">
      <c r="A3" s="5" t="s">
        <v>52</v>
      </c>
      <c r="B3" s="5" t="s">
        <v>245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34.999977111816406</v>
      </c>
      <c r="Q3" s="7">
        <v>39.897956848144531</v>
      </c>
      <c r="R3" s="7">
        <v>34.374931335449219</v>
      </c>
      <c r="S3" s="7">
        <v>39.900306701660156</v>
      </c>
      <c r="T3" s="7">
        <v>34.969978332519531</v>
      </c>
      <c r="U3" s="7">
        <v>34.248222351074219</v>
      </c>
      <c r="V3" s="7">
        <v>34.153293609619141</v>
      </c>
      <c r="W3" s="7">
        <v>33.394966125488281</v>
      </c>
      <c r="X3" s="7">
        <v>32.972183227539063</v>
      </c>
      <c r="Y3" s="7">
        <v>30.471977233886719</v>
      </c>
      <c r="Z3" s="7">
        <v>31.034482955932617</v>
      </c>
      <c r="AA3" s="7">
        <v>29.065338134765625</v>
      </c>
      <c r="AB3" s="7">
        <v>30.177459716796875</v>
      </c>
      <c r="AC3" s="7"/>
      <c r="AD3" s="7"/>
      <c r="AE3" s="7"/>
      <c r="AG3" s="7">
        <f t="shared" ref="AG3:AG66" si="0">AVERAGE($R3:$AB3)</f>
        <v>33.160285429521039</v>
      </c>
    </row>
    <row r="4" spans="1:33" x14ac:dyDescent="0.2">
      <c r="A4" s="5" t="s">
        <v>2</v>
      </c>
      <c r="B4" s="5" t="s">
        <v>195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v>79.199996948242188</v>
      </c>
      <c r="W4" s="7"/>
      <c r="X4" s="7"/>
      <c r="Y4" s="7"/>
      <c r="Z4" s="7"/>
      <c r="AA4" s="7">
        <v>56.996837615966797</v>
      </c>
      <c r="AB4" s="7"/>
      <c r="AC4" s="7"/>
      <c r="AD4" s="7"/>
      <c r="AE4" s="7"/>
      <c r="AG4" s="7">
        <f t="shared" si="0"/>
        <v>68.098417282104492</v>
      </c>
    </row>
    <row r="5" spans="1:33" x14ac:dyDescent="0.2">
      <c r="A5" s="5" t="s">
        <v>8</v>
      </c>
      <c r="B5" s="5" t="s">
        <v>201</v>
      </c>
      <c r="C5" s="7"/>
      <c r="D5" s="7">
        <v>18.600000381469727</v>
      </c>
      <c r="E5" s="7"/>
      <c r="F5" s="7"/>
      <c r="G5" s="7"/>
      <c r="H5" s="7"/>
      <c r="I5" s="7"/>
      <c r="J5" s="7"/>
      <c r="K5" s="7"/>
      <c r="L5" s="7"/>
      <c r="M5" s="7"/>
      <c r="N5" s="7">
        <v>11.699999809265137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G5" s="7" t="e">
        <f t="shared" si="0"/>
        <v>#DIV/0!</v>
      </c>
    </row>
    <row r="6" spans="1:33" x14ac:dyDescent="0.2">
      <c r="A6" s="5" t="s">
        <v>6</v>
      </c>
      <c r="B6" s="5" t="s">
        <v>199</v>
      </c>
      <c r="C6" s="7">
        <v>31</v>
      </c>
      <c r="D6" s="7">
        <v>29.700000762939453</v>
      </c>
      <c r="E6" s="7">
        <v>29.799999237060547</v>
      </c>
      <c r="F6" s="7">
        <v>31.200000762939453</v>
      </c>
      <c r="G6" s="7">
        <v>29.799999237060547</v>
      </c>
      <c r="H6" s="7">
        <v>29.399999618530273</v>
      </c>
      <c r="I6" s="7">
        <v>29.200000762939453</v>
      </c>
      <c r="J6" s="7">
        <v>28.200000762939453</v>
      </c>
      <c r="K6" s="7">
        <v>27.799999237060547</v>
      </c>
      <c r="L6" s="7">
        <v>27.600000381469727</v>
      </c>
      <c r="M6" s="7">
        <v>27.600000381469727</v>
      </c>
      <c r="N6" s="7">
        <v>28.200000762939453</v>
      </c>
      <c r="O6" s="7">
        <v>28.299999237060547</v>
      </c>
      <c r="P6" s="7">
        <v>26.299999237060547</v>
      </c>
      <c r="Q6" s="7">
        <v>25.899999618530273</v>
      </c>
      <c r="R6" s="7">
        <v>25.5</v>
      </c>
      <c r="S6" s="7">
        <v>24.200000762939453</v>
      </c>
      <c r="T6" s="7">
        <v>23.600000381469727</v>
      </c>
      <c r="U6" s="7">
        <v>23.700000762939453</v>
      </c>
      <c r="V6" s="7">
        <v>24</v>
      </c>
      <c r="W6" s="7">
        <v>23.600000381469727</v>
      </c>
      <c r="X6" s="7">
        <v>23.100000381469727</v>
      </c>
      <c r="Y6" s="7">
        <v>23</v>
      </c>
      <c r="Z6" s="7">
        <v>24.700000762939453</v>
      </c>
      <c r="AA6" s="7">
        <v>21.241369247436523</v>
      </c>
      <c r="AB6" s="7">
        <v>21.651369094848633</v>
      </c>
      <c r="AC6" s="7">
        <v>22.297369003295898</v>
      </c>
      <c r="AD6" s="7">
        <v>21.905370712280273</v>
      </c>
      <c r="AE6" s="7"/>
      <c r="AG6" s="7">
        <f t="shared" si="0"/>
        <v>23.481158343228426</v>
      </c>
    </row>
    <row r="7" spans="1:33" x14ac:dyDescent="0.2">
      <c r="A7" s="5" t="s">
        <v>7</v>
      </c>
      <c r="B7" s="5" t="s">
        <v>200</v>
      </c>
      <c r="C7" s="7"/>
      <c r="D7" s="7"/>
      <c r="E7" s="7"/>
      <c r="F7" s="7"/>
      <c r="G7" s="7"/>
      <c r="H7" s="7"/>
      <c r="I7" s="7"/>
      <c r="J7" s="7">
        <v>42.603118896484375</v>
      </c>
      <c r="K7" s="7">
        <v>44.948776245117188</v>
      </c>
      <c r="L7" s="7">
        <v>46.156215667724609</v>
      </c>
      <c r="M7" s="7">
        <v>47.178524017333984</v>
      </c>
      <c r="N7" s="7">
        <v>35.099922180175781</v>
      </c>
      <c r="O7" s="7">
        <v>49.963848114013672</v>
      </c>
      <c r="P7" s="7">
        <v>51.119537353515625</v>
      </c>
      <c r="Q7" s="7">
        <v>52.371269226074219</v>
      </c>
      <c r="R7" s="7">
        <v>51.785388946533203</v>
      </c>
      <c r="S7" s="7">
        <v>51.162578582763672</v>
      </c>
      <c r="T7" s="7">
        <v>41.799999237060547</v>
      </c>
      <c r="U7" s="7">
        <v>29.799999237060547</v>
      </c>
      <c r="V7" s="7">
        <v>25.700000762939453</v>
      </c>
      <c r="W7" s="7">
        <v>28</v>
      </c>
      <c r="X7" s="7">
        <v>30.399999618530273</v>
      </c>
      <c r="Y7" s="7">
        <v>29</v>
      </c>
      <c r="Z7" s="7">
        <v>42.799999237060547</v>
      </c>
      <c r="AA7" s="7">
        <v>44.200000762939453</v>
      </c>
      <c r="AB7" s="7">
        <v>42.799999237060547</v>
      </c>
      <c r="AC7" s="7">
        <v>42</v>
      </c>
      <c r="AD7" s="7">
        <v>40.400001525878906</v>
      </c>
      <c r="AE7" s="7">
        <v>37.400001525878906</v>
      </c>
      <c r="AG7" s="7">
        <f t="shared" si="0"/>
        <v>37.94981505654075</v>
      </c>
    </row>
    <row r="8" spans="1:33" x14ac:dyDescent="0.2">
      <c r="A8" s="5" t="s">
        <v>0</v>
      </c>
      <c r="B8" s="5" t="s">
        <v>193</v>
      </c>
      <c r="C8" s="7"/>
      <c r="D8" s="7">
        <v>7.6999998092651367</v>
      </c>
      <c r="E8" s="7"/>
      <c r="F8" s="7"/>
      <c r="G8" s="7"/>
      <c r="H8" s="7"/>
      <c r="I8" s="7"/>
      <c r="J8" s="7">
        <v>0.48192772269248962</v>
      </c>
      <c r="K8" s="7"/>
      <c r="L8" s="7"/>
      <c r="M8" s="7">
        <v>10</v>
      </c>
      <c r="N8" s="7"/>
      <c r="O8" s="7"/>
      <c r="P8" s="7"/>
      <c r="Q8" s="7"/>
      <c r="R8" s="7"/>
      <c r="S8" s="7"/>
      <c r="T8" s="7">
        <v>8.8999996185302734</v>
      </c>
      <c r="U8" s="7"/>
      <c r="V8" s="7"/>
      <c r="W8" s="7">
        <v>9.8000001907348633</v>
      </c>
      <c r="X8" s="7"/>
      <c r="Y8" s="7"/>
      <c r="Z8" s="7"/>
      <c r="AA8" s="7"/>
      <c r="AB8" s="7"/>
      <c r="AC8" s="7"/>
      <c r="AD8" s="7"/>
      <c r="AE8" s="7"/>
      <c r="AG8" s="7">
        <f t="shared" si="0"/>
        <v>9.3499999046325684</v>
      </c>
    </row>
    <row r="9" spans="1:33" x14ac:dyDescent="0.2">
      <c r="A9" s="5" t="s">
        <v>9</v>
      </c>
      <c r="B9" s="5" t="s">
        <v>202</v>
      </c>
      <c r="C9" s="7">
        <v>14.433659553527832</v>
      </c>
      <c r="D9" s="7">
        <v>14.94005012512207</v>
      </c>
      <c r="E9" s="7">
        <v>15.038430213928223</v>
      </c>
      <c r="F9" s="7">
        <v>15.354809761047363</v>
      </c>
      <c r="G9" s="7">
        <v>14.87992000579834</v>
      </c>
      <c r="H9" s="7">
        <v>14.558460235595703</v>
      </c>
      <c r="I9" s="7">
        <v>14.231040000915527</v>
      </c>
      <c r="J9" s="7">
        <v>14.17805004119873</v>
      </c>
      <c r="K9" s="7">
        <v>13.68025016784668</v>
      </c>
      <c r="L9" s="7">
        <v>13.668959617614746</v>
      </c>
      <c r="M9" s="7">
        <v>13.524279594421387</v>
      </c>
      <c r="N9" s="7">
        <v>13.360039710998535</v>
      </c>
      <c r="O9" s="7">
        <v>13.496479988098145</v>
      </c>
      <c r="P9" s="7">
        <v>13.129079818725586</v>
      </c>
      <c r="Q9" s="7">
        <v>12.791669845581055</v>
      </c>
      <c r="R9" s="7">
        <v>12.596969604492188</v>
      </c>
      <c r="S9" s="7">
        <v>12.08922004699707</v>
      </c>
      <c r="T9" s="7">
        <v>11.687549591064453</v>
      </c>
      <c r="U9" s="7">
        <v>11.470170021057129</v>
      </c>
      <c r="V9" s="7">
        <v>11.520730018615723</v>
      </c>
      <c r="W9" s="7">
        <v>11.516980171203613</v>
      </c>
      <c r="X9" s="7">
        <v>11.075149536132813</v>
      </c>
      <c r="Y9" s="7">
        <v>10.388099670410156</v>
      </c>
      <c r="Z9" s="7">
        <v>10.110969543457031</v>
      </c>
      <c r="AA9" s="7">
        <v>10.20160961151123</v>
      </c>
      <c r="AB9" s="7">
        <v>10.310219764709473</v>
      </c>
      <c r="AC9" s="7">
        <v>10.079580307006836</v>
      </c>
      <c r="AD9" s="7">
        <v>9.9490804672241211</v>
      </c>
      <c r="AE9" s="7">
        <v>9.6467227935791016</v>
      </c>
      <c r="AG9" s="7">
        <f t="shared" si="0"/>
        <v>11.178878870877353</v>
      </c>
    </row>
    <row r="10" spans="1:33" x14ac:dyDescent="0.2">
      <c r="A10" s="5" t="s">
        <v>10</v>
      </c>
      <c r="B10" s="5" t="s">
        <v>203</v>
      </c>
      <c r="C10" s="7">
        <v>14.199999809265137</v>
      </c>
      <c r="D10" s="7">
        <v>13.899999618530273</v>
      </c>
      <c r="E10" s="7">
        <v>13.399999618530273</v>
      </c>
      <c r="F10" s="7">
        <v>13.100000381469727</v>
      </c>
      <c r="G10" s="7">
        <v>13.800000190734863</v>
      </c>
      <c r="H10" s="7">
        <v>14.300000190734863</v>
      </c>
      <c r="I10" s="7">
        <v>14.399999618530273</v>
      </c>
      <c r="J10" s="7">
        <v>13.899999618530273</v>
      </c>
      <c r="K10" s="7">
        <v>13.800000190734863</v>
      </c>
      <c r="L10" s="7">
        <v>13.699999809265137</v>
      </c>
      <c r="M10" s="7">
        <v>13.5</v>
      </c>
      <c r="N10" s="7">
        <v>13.399999618530273</v>
      </c>
      <c r="O10" s="7">
        <v>13.5</v>
      </c>
      <c r="P10" s="7">
        <v>13</v>
      </c>
      <c r="Q10" s="7">
        <v>12.5</v>
      </c>
      <c r="R10" s="7">
        <v>13</v>
      </c>
      <c r="S10" s="7">
        <v>13</v>
      </c>
      <c r="T10" s="7">
        <v>13.699999809265137</v>
      </c>
      <c r="U10" s="7">
        <v>13.5</v>
      </c>
      <c r="V10" s="7">
        <v>13.600000381469727</v>
      </c>
      <c r="W10" s="7">
        <v>13.800000190734863</v>
      </c>
      <c r="X10" s="7">
        <v>13.300000190734863</v>
      </c>
      <c r="Y10" s="7">
        <v>13.100000381469727</v>
      </c>
      <c r="Z10" s="7">
        <v>13.199999809265137</v>
      </c>
      <c r="AA10" s="7">
        <v>13.300000190734863</v>
      </c>
      <c r="AB10" s="7">
        <v>12.997782707214355</v>
      </c>
      <c r="AC10" s="7">
        <v>12.721543312072754</v>
      </c>
      <c r="AD10" s="7">
        <v>12.377360343933105</v>
      </c>
      <c r="AE10" s="7">
        <v>12.005599975585938</v>
      </c>
      <c r="AG10" s="7">
        <f t="shared" si="0"/>
        <v>13.317980332808061</v>
      </c>
    </row>
    <row r="11" spans="1:33" x14ac:dyDescent="0.2">
      <c r="A11" s="5" t="s">
        <v>11</v>
      </c>
      <c r="B11" s="5" t="s">
        <v>204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67.300003051757813</v>
      </c>
      <c r="Q11" s="7">
        <v>66.800003051757813</v>
      </c>
      <c r="R11" s="7">
        <v>66.199996948242188</v>
      </c>
      <c r="S11" s="7">
        <v>59</v>
      </c>
      <c r="T11" s="7">
        <v>58.200000762939453</v>
      </c>
      <c r="U11" s="7">
        <v>57.599998474121094</v>
      </c>
      <c r="V11" s="7">
        <v>67.599998474121094</v>
      </c>
      <c r="W11" s="7">
        <v>68.099998474121094</v>
      </c>
      <c r="X11" s="7">
        <v>66.800003051757813</v>
      </c>
      <c r="Y11" s="7">
        <v>66.699996948242188</v>
      </c>
      <c r="Z11" s="7">
        <v>66.5</v>
      </c>
      <c r="AA11" s="7">
        <v>56.990158081054688</v>
      </c>
      <c r="AB11" s="7"/>
      <c r="AC11" s="7"/>
      <c r="AD11" s="7"/>
      <c r="AE11" s="7"/>
      <c r="AG11" s="7">
        <f t="shared" si="0"/>
        <v>63.36901512145996</v>
      </c>
    </row>
    <row r="12" spans="1:33" x14ac:dyDescent="0.2">
      <c r="A12" s="5" t="s">
        <v>19</v>
      </c>
      <c r="B12" s="5" t="s">
        <v>212</v>
      </c>
      <c r="C12" s="7"/>
      <c r="D12" s="7">
        <v>12.300000190734863</v>
      </c>
      <c r="E12" s="7">
        <v>13.100000381469727</v>
      </c>
      <c r="F12" s="7">
        <v>13</v>
      </c>
      <c r="G12" s="7">
        <v>14.300000190734863</v>
      </c>
      <c r="H12" s="7">
        <v>14.300000190734863</v>
      </c>
      <c r="I12" s="7">
        <v>16.5</v>
      </c>
      <c r="J12" s="7">
        <v>14.899999618530273</v>
      </c>
      <c r="K12" s="7">
        <v>14.800000190734863</v>
      </c>
      <c r="L12" s="7">
        <v>15.899999618530273</v>
      </c>
      <c r="M12" s="7"/>
      <c r="N12" s="7">
        <v>13.899999618530273</v>
      </c>
      <c r="O12" s="7">
        <v>15.399999618530273</v>
      </c>
      <c r="P12" s="7">
        <v>14.300000190734863</v>
      </c>
      <c r="Q12" s="7">
        <v>15</v>
      </c>
      <c r="R12" s="7"/>
      <c r="S12" s="7"/>
      <c r="T12" s="7"/>
      <c r="U12" s="7">
        <v>13.399999618530273</v>
      </c>
      <c r="V12" s="7">
        <v>13.371356010437012</v>
      </c>
      <c r="W12" s="7"/>
      <c r="X12" s="7">
        <v>14.199999809265137</v>
      </c>
      <c r="Y12" s="7"/>
      <c r="Z12" s="7"/>
      <c r="AA12" s="7"/>
      <c r="AB12" s="7"/>
      <c r="AC12" s="7"/>
      <c r="AD12" s="7"/>
      <c r="AE12" s="7"/>
      <c r="AG12" s="7">
        <f t="shared" si="0"/>
        <v>13.657118479410807</v>
      </c>
    </row>
    <row r="13" spans="1:33" x14ac:dyDescent="0.2">
      <c r="A13" s="5" t="s">
        <v>18</v>
      </c>
      <c r="B13" s="5" t="s">
        <v>211</v>
      </c>
      <c r="C13" s="7"/>
      <c r="D13" s="7">
        <v>6.6963005065917969</v>
      </c>
      <c r="E13" s="7"/>
      <c r="F13" s="7"/>
      <c r="G13" s="7"/>
      <c r="H13" s="7"/>
      <c r="I13" s="7"/>
      <c r="J13" s="7"/>
      <c r="K13" s="7"/>
      <c r="L13" s="7"/>
      <c r="M13" s="7"/>
      <c r="N13" s="7">
        <v>1.5785861015319824</v>
      </c>
      <c r="O13" s="7">
        <v>4.1999998092651367</v>
      </c>
      <c r="P13" s="7">
        <v>4.0999999046325684</v>
      </c>
      <c r="Q13" s="7">
        <v>4.3000001907348633</v>
      </c>
      <c r="R13" s="7">
        <v>4</v>
      </c>
      <c r="S13" s="7">
        <v>4.0999999046325684</v>
      </c>
      <c r="T13" s="7">
        <v>3.9000000953674316</v>
      </c>
      <c r="U13" s="7">
        <v>3.7999999523162842</v>
      </c>
      <c r="V13" s="7">
        <v>3.7000000476837158</v>
      </c>
      <c r="W13" s="7">
        <v>3.7999999523162842</v>
      </c>
      <c r="X13" s="7">
        <v>4.2427091598510742</v>
      </c>
      <c r="Y13" s="7">
        <v>4.5940160751342773</v>
      </c>
      <c r="Z13" s="7">
        <v>5.1793990135192871</v>
      </c>
      <c r="AA13" s="7">
        <v>5.6747517585754395</v>
      </c>
      <c r="AB13" s="7">
        <v>5.3443126678466797</v>
      </c>
      <c r="AC13" s="7">
        <v>4.3859624862670898</v>
      </c>
      <c r="AD13" s="7">
        <v>2.8388833999633789</v>
      </c>
      <c r="AE13" s="7">
        <v>2.1909134387969971</v>
      </c>
      <c r="AG13" s="7">
        <f t="shared" si="0"/>
        <v>4.3941080570220947</v>
      </c>
    </row>
    <row r="14" spans="1:33" x14ac:dyDescent="0.2">
      <c r="A14" s="5" t="s">
        <v>16</v>
      </c>
      <c r="B14" s="5" t="s">
        <v>209</v>
      </c>
      <c r="C14" s="7"/>
      <c r="D14" s="7"/>
      <c r="E14" s="7"/>
      <c r="F14" s="7"/>
      <c r="G14" s="7"/>
      <c r="H14" s="7"/>
      <c r="I14" s="7">
        <v>69.699996948242188</v>
      </c>
      <c r="J14" s="7"/>
      <c r="K14" s="7"/>
      <c r="L14" s="7"/>
      <c r="M14" s="7">
        <v>69</v>
      </c>
      <c r="N14" s="7"/>
      <c r="O14" s="7"/>
      <c r="P14" s="7">
        <v>83.5</v>
      </c>
      <c r="Q14" s="7"/>
      <c r="R14" s="7">
        <v>63.924049377441406</v>
      </c>
      <c r="S14" s="7"/>
      <c r="T14" s="7"/>
      <c r="U14" s="7"/>
      <c r="V14" s="7">
        <v>60.784313201904297</v>
      </c>
      <c r="W14" s="7">
        <v>62.700000762939453</v>
      </c>
      <c r="X14" s="7">
        <v>60.400001525878906</v>
      </c>
      <c r="Y14" s="7"/>
      <c r="Z14" s="7"/>
      <c r="AA14" s="7"/>
      <c r="AB14" s="7"/>
      <c r="AC14" s="7"/>
      <c r="AD14" s="7">
        <v>55.799999237060547</v>
      </c>
      <c r="AE14" s="7"/>
      <c r="AG14" s="7">
        <f t="shared" si="0"/>
        <v>61.952091217041016</v>
      </c>
    </row>
    <row r="15" spans="1:33" x14ac:dyDescent="0.2">
      <c r="A15" s="5" t="s">
        <v>26</v>
      </c>
      <c r="B15" s="5" t="s">
        <v>219</v>
      </c>
      <c r="C15" s="7">
        <v>12.5</v>
      </c>
      <c r="D15" s="7">
        <v>12.699999809265137</v>
      </c>
      <c r="E15" s="7">
        <v>13</v>
      </c>
      <c r="F15" s="7">
        <v>14.199999809265137</v>
      </c>
      <c r="G15" s="7">
        <v>13</v>
      </c>
      <c r="H15" s="7">
        <v>12.699999809265137</v>
      </c>
      <c r="I15" s="7">
        <v>12.699999809265137</v>
      </c>
      <c r="J15" s="7">
        <v>12</v>
      </c>
      <c r="K15" s="7">
        <v>12.5</v>
      </c>
      <c r="L15" s="7">
        <v>14</v>
      </c>
      <c r="M15" s="7">
        <v>12.699999809265137</v>
      </c>
      <c r="N15" s="7">
        <v>14.100000381469727</v>
      </c>
      <c r="O15" s="7">
        <v>14.100000381469727</v>
      </c>
      <c r="P15" s="7">
        <v>14.399999618530273</v>
      </c>
      <c r="Q15" s="7">
        <v>15.199999809265137</v>
      </c>
      <c r="R15" s="7"/>
      <c r="S15" s="7"/>
      <c r="T15" s="7"/>
      <c r="U15" s="7"/>
      <c r="V15" s="7"/>
      <c r="W15" s="7"/>
      <c r="X15" s="7"/>
      <c r="Y15" s="7"/>
      <c r="Z15" s="7">
        <v>16.700000762939453</v>
      </c>
      <c r="AA15" s="7"/>
      <c r="AB15" s="7"/>
      <c r="AC15" s="7"/>
      <c r="AD15" s="7"/>
      <c r="AE15" s="7"/>
      <c r="AG15" s="7">
        <f t="shared" si="0"/>
        <v>16.700000762939453</v>
      </c>
    </row>
    <row r="16" spans="1:33" x14ac:dyDescent="0.2">
      <c r="A16" s="5" t="s">
        <v>21</v>
      </c>
      <c r="B16" s="5" t="s">
        <v>214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3.0999999046325684</v>
      </c>
      <c r="W16" s="7"/>
      <c r="X16" s="7">
        <v>0</v>
      </c>
      <c r="Y16" s="7">
        <v>0</v>
      </c>
      <c r="Z16" s="7">
        <v>0</v>
      </c>
      <c r="AA16" s="7"/>
      <c r="AB16" s="7"/>
      <c r="AC16" s="7">
        <v>4.0999999046325684</v>
      </c>
      <c r="AD16" s="7">
        <v>4.4000000953674316</v>
      </c>
      <c r="AE16" s="7">
        <v>4.1999998092651367</v>
      </c>
      <c r="AG16" s="7">
        <f t="shared" si="0"/>
        <v>0.77499997615814209</v>
      </c>
    </row>
    <row r="17" spans="1:33" x14ac:dyDescent="0.2">
      <c r="A17" s="5" t="s">
        <v>13</v>
      </c>
      <c r="B17" s="5" t="s">
        <v>206</v>
      </c>
      <c r="C17" s="7">
        <v>18.115940093994141</v>
      </c>
      <c r="D17" s="7">
        <v>18.313249588012695</v>
      </c>
      <c r="E17" s="7">
        <v>18.422540664672852</v>
      </c>
      <c r="F17" s="7">
        <v>18.896699905395508</v>
      </c>
      <c r="G17" s="7">
        <v>18.850009918212891</v>
      </c>
      <c r="H17" s="7">
        <v>18.810230255126953</v>
      </c>
      <c r="I17" s="7">
        <v>18.825069427490234</v>
      </c>
      <c r="J17" s="7">
        <v>18.603479385375977</v>
      </c>
      <c r="K17" s="7">
        <v>18.176570892333984</v>
      </c>
      <c r="L17" s="7">
        <v>16.483030319213867</v>
      </c>
      <c r="M17" s="7">
        <v>15.811269760131836</v>
      </c>
      <c r="N17" s="7">
        <v>15.152409553527832</v>
      </c>
      <c r="O17" s="7">
        <v>15.393779754638672</v>
      </c>
      <c r="P17" s="7">
        <v>14.980190277099609</v>
      </c>
      <c r="Q17" s="7">
        <v>14.935549736022949</v>
      </c>
      <c r="R17" s="7">
        <v>15.229290008544922</v>
      </c>
      <c r="S17" s="7">
        <v>15.074549674987793</v>
      </c>
      <c r="T17" s="7">
        <v>14.824979782104492</v>
      </c>
      <c r="U17" s="7">
        <v>14.225549697875977</v>
      </c>
      <c r="V17" s="7">
        <v>14.799690246582031</v>
      </c>
      <c r="W17" s="7">
        <v>14.360980033874512</v>
      </c>
      <c r="X17" s="7">
        <v>14.301079750061035</v>
      </c>
      <c r="Y17" s="7">
        <v>14.345479965209961</v>
      </c>
      <c r="Z17" s="7">
        <v>15.079019546508789</v>
      </c>
      <c r="AA17" s="7">
        <v>14.613019943237305</v>
      </c>
      <c r="AB17" s="7">
        <v>15.178099632263184</v>
      </c>
      <c r="AC17" s="7">
        <v>14.835829734802246</v>
      </c>
      <c r="AD17" s="7">
        <v>14.292949676513672</v>
      </c>
      <c r="AE17" s="7">
        <v>14.029000282287598</v>
      </c>
      <c r="AG17" s="7">
        <f t="shared" si="0"/>
        <v>14.730158025568182</v>
      </c>
    </row>
    <row r="18" spans="1:33" x14ac:dyDescent="0.2">
      <c r="A18" s="5" t="s">
        <v>22</v>
      </c>
      <c r="B18" s="5" t="s">
        <v>215</v>
      </c>
      <c r="C18" s="7"/>
      <c r="D18" s="7"/>
      <c r="E18" s="7"/>
      <c r="F18" s="7">
        <v>29.399999618530273</v>
      </c>
      <c r="G18" s="7">
        <v>30.399999618530273</v>
      </c>
      <c r="H18" s="7">
        <v>31.600000381469727</v>
      </c>
      <c r="I18" s="7">
        <v>34</v>
      </c>
      <c r="J18" s="7">
        <v>35.400001525878906</v>
      </c>
      <c r="K18" s="7">
        <v>33.200000762939453</v>
      </c>
      <c r="L18" s="7">
        <v>34.900001525878906</v>
      </c>
      <c r="M18" s="7"/>
      <c r="N18" s="7"/>
      <c r="O18" s="7"/>
      <c r="P18" s="7"/>
      <c r="Q18" s="7"/>
      <c r="R18" s="7">
        <v>30.600000381469727</v>
      </c>
      <c r="S18" s="7"/>
      <c r="T18" s="7"/>
      <c r="U18" s="7"/>
      <c r="V18" s="7"/>
      <c r="W18" s="7"/>
      <c r="X18" s="7"/>
      <c r="Y18" s="7"/>
      <c r="Z18" s="7">
        <v>30.509376525878906</v>
      </c>
      <c r="AA18" s="7">
        <v>27.213050842285156</v>
      </c>
      <c r="AB18" s="7">
        <v>29.259960174560547</v>
      </c>
      <c r="AC18" s="7"/>
      <c r="AD18" s="7"/>
      <c r="AE18" s="7"/>
      <c r="AG18" s="7">
        <f t="shared" si="0"/>
        <v>29.395596981048584</v>
      </c>
    </row>
    <row r="19" spans="1:33" x14ac:dyDescent="0.2">
      <c r="A19" s="5" t="s">
        <v>14</v>
      </c>
      <c r="B19" s="5" t="s">
        <v>207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>
        <v>89.900001525878906</v>
      </c>
      <c r="Q19" s="7"/>
      <c r="R19" s="7"/>
      <c r="S19" s="7"/>
      <c r="T19" s="7"/>
      <c r="U19" s="7"/>
      <c r="V19" s="7"/>
      <c r="W19" s="7">
        <v>88.900001525878906</v>
      </c>
      <c r="X19" s="7"/>
      <c r="Y19" s="7"/>
      <c r="Z19" s="7"/>
      <c r="AA19" s="7"/>
      <c r="AB19" s="7"/>
      <c r="AC19" s="7"/>
      <c r="AD19" s="7"/>
      <c r="AE19" s="7"/>
      <c r="AG19" s="7">
        <f t="shared" si="0"/>
        <v>88.900001525878906</v>
      </c>
    </row>
    <row r="20" spans="1:33" x14ac:dyDescent="0.2">
      <c r="A20" s="5" t="s">
        <v>23</v>
      </c>
      <c r="B20" s="5" t="s">
        <v>216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13.199999809265137</v>
      </c>
      <c r="W20" s="7">
        <v>9.6999998092651367</v>
      </c>
      <c r="X20" s="7"/>
      <c r="Y20" s="7">
        <v>17.5</v>
      </c>
      <c r="Z20" s="7"/>
      <c r="AA20" s="7"/>
      <c r="AB20" s="7"/>
      <c r="AC20" s="7"/>
      <c r="AD20" s="7"/>
      <c r="AE20" s="7"/>
      <c r="AG20" s="7">
        <f t="shared" si="0"/>
        <v>13.466666539510092</v>
      </c>
    </row>
    <row r="21" spans="1:33" x14ac:dyDescent="0.2">
      <c r="A21" s="5" t="s">
        <v>28</v>
      </c>
      <c r="B21" s="5" t="s">
        <v>221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72.800003051757813</v>
      </c>
      <c r="R21" s="7">
        <v>60.503955841064453</v>
      </c>
      <c r="S21" s="7"/>
      <c r="T21" s="7"/>
      <c r="U21" s="7"/>
      <c r="V21" s="7">
        <v>74.448356628417969</v>
      </c>
      <c r="W21" s="7">
        <v>69.305076599121094</v>
      </c>
      <c r="X21" s="7">
        <v>71.76397705078125</v>
      </c>
      <c r="Y21" s="7">
        <v>72.099998474121094</v>
      </c>
      <c r="Z21" s="7">
        <v>71.900001525878906</v>
      </c>
      <c r="AA21" s="7">
        <v>73.300003051757813</v>
      </c>
      <c r="AB21" s="7">
        <v>74.264358520507813</v>
      </c>
      <c r="AC21" s="7">
        <v>74.300003051757813</v>
      </c>
      <c r="AD21" s="7"/>
      <c r="AE21" s="7">
        <v>69.900001525878906</v>
      </c>
      <c r="AG21" s="7">
        <f t="shared" si="0"/>
        <v>70.948215961456299</v>
      </c>
    </row>
    <row r="22" spans="1:33" x14ac:dyDescent="0.2">
      <c r="A22" s="5" t="s">
        <v>24</v>
      </c>
      <c r="B22" s="5" t="s">
        <v>217</v>
      </c>
      <c r="C22" s="7">
        <v>43.099998474121094</v>
      </c>
      <c r="D22" s="7">
        <v>43.5</v>
      </c>
      <c r="E22" s="7">
        <v>44.599998474121094</v>
      </c>
      <c r="F22" s="7">
        <v>43.799999237060547</v>
      </c>
      <c r="G22" s="7">
        <v>45.799999237060547</v>
      </c>
      <c r="H22" s="7">
        <v>48.299999237060547</v>
      </c>
      <c r="I22" s="7">
        <v>50.599998474121094</v>
      </c>
      <c r="J22" s="7">
        <v>52.900001525878906</v>
      </c>
      <c r="K22" s="7"/>
      <c r="L22" s="7">
        <v>69.199996948242188</v>
      </c>
      <c r="M22" s="7">
        <v>68.400001525878906</v>
      </c>
      <c r="N22" s="7">
        <v>67.5</v>
      </c>
      <c r="O22" s="7">
        <v>68.5</v>
      </c>
      <c r="P22" s="7">
        <v>64</v>
      </c>
      <c r="Q22" s="7">
        <v>64</v>
      </c>
      <c r="R22" s="7">
        <v>65.199996948242188</v>
      </c>
      <c r="S22" s="7">
        <v>65.400001525878906</v>
      </c>
      <c r="T22" s="7">
        <v>62.700000762939453</v>
      </c>
      <c r="U22" s="7">
        <v>62.900001525878906</v>
      </c>
      <c r="V22" s="7">
        <v>59.799999237060547</v>
      </c>
      <c r="W22" s="7"/>
      <c r="X22" s="7">
        <v>64.699996948242188</v>
      </c>
      <c r="Y22" s="7">
        <v>63.200000762939453</v>
      </c>
      <c r="Z22" s="7">
        <v>64.599998474121094</v>
      </c>
      <c r="AA22" s="7">
        <v>67</v>
      </c>
      <c r="AB22" s="7">
        <v>64.099998474121094</v>
      </c>
      <c r="AC22" s="7"/>
      <c r="AD22" s="7"/>
      <c r="AE22" s="7"/>
      <c r="AG22" s="7">
        <f t="shared" si="0"/>
        <v>63.959999465942381</v>
      </c>
    </row>
    <row r="23" spans="1:33" x14ac:dyDescent="0.2">
      <c r="A23" s="5" t="s">
        <v>20</v>
      </c>
      <c r="B23" s="5" t="s">
        <v>213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15.72663688659668</v>
      </c>
      <c r="O23" s="7">
        <v>26.391824722290039</v>
      </c>
      <c r="P23" s="7">
        <v>27.518426895141602</v>
      </c>
      <c r="Q23" s="7">
        <v>29.700000762939453</v>
      </c>
      <c r="R23" s="7"/>
      <c r="S23" s="7">
        <v>27.5</v>
      </c>
      <c r="T23" s="7">
        <v>26.899999618530273</v>
      </c>
      <c r="U23" s="7">
        <v>27.5</v>
      </c>
      <c r="V23" s="7">
        <v>27.200000762939453</v>
      </c>
      <c r="W23" s="7">
        <v>26.600000381469727</v>
      </c>
      <c r="X23" s="7">
        <v>25.200000762939453</v>
      </c>
      <c r="Y23" s="7">
        <v>27.399999618530273</v>
      </c>
      <c r="Z23" s="7">
        <v>25.299999237060547</v>
      </c>
      <c r="AA23" s="7">
        <v>23</v>
      </c>
      <c r="AB23" s="7">
        <v>24.200000762939453</v>
      </c>
      <c r="AC23" s="7">
        <v>24.399999618530273</v>
      </c>
      <c r="AD23" s="7">
        <v>24.600000381469727</v>
      </c>
      <c r="AE23" s="7">
        <v>21.399999618530273</v>
      </c>
      <c r="AG23" s="7">
        <f t="shared" si="0"/>
        <v>26.080000114440917</v>
      </c>
    </row>
    <row r="24" spans="1:33" x14ac:dyDescent="0.2">
      <c r="A24" s="5" t="s">
        <v>29</v>
      </c>
      <c r="B24" s="5" t="s">
        <v>222</v>
      </c>
      <c r="C24" s="7"/>
      <c r="D24" s="7"/>
      <c r="E24" s="7"/>
      <c r="F24" s="7"/>
      <c r="G24" s="7">
        <v>33.799999237060547</v>
      </c>
      <c r="H24" s="7"/>
      <c r="I24" s="7"/>
      <c r="J24" s="7"/>
      <c r="K24" s="7">
        <v>15.797823905944824</v>
      </c>
      <c r="L24" s="7"/>
      <c r="M24" s="7">
        <v>17.10798454284668</v>
      </c>
      <c r="N24" s="7">
        <v>13.601959228515625</v>
      </c>
      <c r="O24" s="7"/>
      <c r="P24" s="7">
        <v>2.2491350173950195</v>
      </c>
      <c r="Q24" s="7"/>
      <c r="R24" s="7"/>
      <c r="S24" s="7">
        <v>39.5</v>
      </c>
      <c r="T24" s="7">
        <v>27.471765518188477</v>
      </c>
      <c r="U24" s="7">
        <v>32.316368103027344</v>
      </c>
      <c r="V24" s="7">
        <v>28.92033576965332</v>
      </c>
      <c r="W24" s="7">
        <v>15.600000381469727</v>
      </c>
      <c r="X24" s="7">
        <v>35.256618499755859</v>
      </c>
      <c r="Y24" s="7"/>
      <c r="Z24" s="7">
        <v>13.008468627929688</v>
      </c>
      <c r="AA24" s="7"/>
      <c r="AB24" s="7"/>
      <c r="AC24" s="7"/>
      <c r="AD24" s="7"/>
      <c r="AE24" s="7"/>
      <c r="AG24" s="7">
        <f t="shared" si="0"/>
        <v>27.439079557146346</v>
      </c>
    </row>
    <row r="25" spans="1:33" x14ac:dyDescent="0.2">
      <c r="A25" s="5" t="s">
        <v>25</v>
      </c>
      <c r="B25" s="5" t="s">
        <v>218</v>
      </c>
      <c r="C25" s="7">
        <v>34.200000762939453</v>
      </c>
      <c r="D25" s="7"/>
      <c r="E25" s="7">
        <v>39.400001525878906</v>
      </c>
      <c r="F25" s="7">
        <v>39.200000762939453</v>
      </c>
      <c r="G25" s="7"/>
      <c r="H25" s="7">
        <v>39.900001525878906</v>
      </c>
      <c r="I25" s="7">
        <v>38.299999237060547</v>
      </c>
      <c r="J25" s="7">
        <v>29.104297637939453</v>
      </c>
      <c r="K25" s="7"/>
      <c r="L25" s="7"/>
      <c r="M25" s="7">
        <v>30.299999237060547</v>
      </c>
      <c r="N25" s="7">
        <v>37.117881774902344</v>
      </c>
      <c r="O25" s="7">
        <v>37.198978424072266</v>
      </c>
      <c r="P25" s="7">
        <v>37.204441070556641</v>
      </c>
      <c r="Q25" s="7">
        <v>36.554950714111328</v>
      </c>
      <c r="R25" s="7">
        <v>36.585731506347656</v>
      </c>
      <c r="S25" s="7">
        <v>35.810989379882813</v>
      </c>
      <c r="T25" s="7">
        <v>34.741001129150391</v>
      </c>
      <c r="U25" s="7">
        <v>33.787849426269531</v>
      </c>
      <c r="V25" s="7">
        <v>33.279838562011719</v>
      </c>
      <c r="W25" s="7"/>
      <c r="X25" s="7">
        <v>31.616249084472656</v>
      </c>
      <c r="Y25" s="7">
        <v>31.223169326782227</v>
      </c>
      <c r="Z25" s="7">
        <v>31.153039932250977</v>
      </c>
      <c r="AA25" s="7">
        <v>32.275520324707031</v>
      </c>
      <c r="AB25" s="7">
        <v>32.941028594970703</v>
      </c>
      <c r="AC25" s="7">
        <v>31.717039108276367</v>
      </c>
      <c r="AD25" s="7">
        <v>32.290241241455078</v>
      </c>
      <c r="AE25" s="7">
        <v>32.492969512939453</v>
      </c>
      <c r="AG25" s="7">
        <f t="shared" si="0"/>
        <v>33.341441726684572</v>
      </c>
    </row>
    <row r="26" spans="1:33" x14ac:dyDescent="0.2">
      <c r="A26" s="5" t="s">
        <v>27</v>
      </c>
      <c r="B26" s="5" t="s">
        <v>220</v>
      </c>
      <c r="C26" s="7"/>
      <c r="D26" s="7">
        <v>5.0999999046325684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G26" s="7" t="e">
        <f t="shared" si="0"/>
        <v>#DIV/0!</v>
      </c>
    </row>
    <row r="27" spans="1:33" x14ac:dyDescent="0.2">
      <c r="A27" s="5" t="s">
        <v>17</v>
      </c>
      <c r="B27" s="5" t="s">
        <v>210</v>
      </c>
      <c r="C27" s="7"/>
      <c r="D27" s="7"/>
      <c r="E27" s="7"/>
      <c r="F27" s="7"/>
      <c r="G27" s="7"/>
      <c r="H27" s="7">
        <v>21.326648712158203</v>
      </c>
      <c r="I27" s="7"/>
      <c r="J27" s="7">
        <v>17.323556900024414</v>
      </c>
      <c r="K27" s="7"/>
      <c r="L27" s="7"/>
      <c r="M27" s="7">
        <v>16.299999237060547</v>
      </c>
      <c r="N27" s="7">
        <v>15.100000381469727</v>
      </c>
      <c r="O27" s="7">
        <v>15.100000381469727</v>
      </c>
      <c r="P27" s="7">
        <v>15.899999618530273</v>
      </c>
      <c r="Q27" s="7">
        <v>15.800000190734863</v>
      </c>
      <c r="R27" s="7">
        <v>14</v>
      </c>
      <c r="S27" s="7">
        <v>13.100000381469727</v>
      </c>
      <c r="T27" s="7">
        <v>12.399999618530273</v>
      </c>
      <c r="U27" s="7">
        <v>12.399999618530273</v>
      </c>
      <c r="V27" s="7">
        <v>12.5</v>
      </c>
      <c r="W27" s="7">
        <v>12.800000190734863</v>
      </c>
      <c r="X27" s="7">
        <v>12.100000381469727</v>
      </c>
      <c r="Y27" s="7">
        <v>11.600000381469727</v>
      </c>
      <c r="Z27" s="7">
        <v>12.100000381469727</v>
      </c>
      <c r="AA27" s="7">
        <v>12.5</v>
      </c>
      <c r="AB27" s="7">
        <v>12.04008674621582</v>
      </c>
      <c r="AC27" s="7">
        <v>11.097195625305176</v>
      </c>
      <c r="AD27" s="7">
        <v>12.168286323547363</v>
      </c>
      <c r="AE27" s="7">
        <v>11.479519844055176</v>
      </c>
      <c r="AG27" s="7">
        <f t="shared" si="0"/>
        <v>12.503644336353648</v>
      </c>
    </row>
    <row r="28" spans="1:33" x14ac:dyDescent="0.2">
      <c r="A28" s="5" t="s">
        <v>15</v>
      </c>
      <c r="B28" s="5" t="s">
        <v>208</v>
      </c>
      <c r="C28" s="7"/>
      <c r="D28" s="7"/>
      <c r="E28" s="7"/>
      <c r="F28" s="7"/>
      <c r="G28" s="7">
        <v>95.5</v>
      </c>
      <c r="H28" s="7"/>
      <c r="I28" s="7"/>
      <c r="J28" s="7"/>
      <c r="K28" s="7"/>
      <c r="L28" s="7"/>
      <c r="M28" s="7"/>
      <c r="N28" s="7"/>
      <c r="O28" s="7"/>
      <c r="P28" s="7">
        <v>94.300003051757813</v>
      </c>
      <c r="Q28" s="7"/>
      <c r="R28" s="7"/>
      <c r="S28" s="7">
        <v>90.400001525878906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G28" s="7">
        <f t="shared" si="0"/>
        <v>90.400001525878906</v>
      </c>
    </row>
    <row r="29" spans="1:33" x14ac:dyDescent="0.2">
      <c r="A29" s="5" t="s">
        <v>12</v>
      </c>
      <c r="B29" s="5" t="s">
        <v>205</v>
      </c>
      <c r="C29" s="7"/>
      <c r="D29" s="7"/>
      <c r="E29" s="7"/>
      <c r="F29" s="7"/>
      <c r="G29" s="7"/>
      <c r="H29" s="7"/>
      <c r="I29" s="7"/>
      <c r="J29" s="7"/>
      <c r="K29" s="7">
        <v>94.199996948242188</v>
      </c>
      <c r="L29" s="7"/>
      <c r="M29" s="7"/>
      <c r="N29" s="7"/>
      <c r="O29" s="7"/>
      <c r="P29" s="7">
        <v>93.864555358886719</v>
      </c>
      <c r="Q29" s="7">
        <v>94.699996948242188</v>
      </c>
      <c r="R29" s="7">
        <v>93.900001525878906</v>
      </c>
      <c r="S29" s="7">
        <v>93.900001525878906</v>
      </c>
      <c r="T29" s="7">
        <v>93.900001525878906</v>
      </c>
      <c r="U29" s="7">
        <v>90.300003051757813</v>
      </c>
      <c r="V29" s="7">
        <v>93.900001525878906</v>
      </c>
      <c r="W29" s="7">
        <v>93.900001525878906</v>
      </c>
      <c r="X29" s="7"/>
      <c r="Y29" s="7"/>
      <c r="Z29" s="7"/>
      <c r="AA29" s="7"/>
      <c r="AB29" s="7"/>
      <c r="AC29" s="7"/>
      <c r="AD29" s="7"/>
      <c r="AE29" s="7"/>
      <c r="AG29" s="7">
        <f t="shared" si="0"/>
        <v>93.300001780192062</v>
      </c>
    </row>
    <row r="30" spans="1:33" x14ac:dyDescent="0.2">
      <c r="A30" s="5" t="s">
        <v>41</v>
      </c>
      <c r="B30" s="5" t="s">
        <v>234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>
        <v>42.099998474121094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G30" s="7" t="e">
        <f t="shared" si="0"/>
        <v>#DIV/0!</v>
      </c>
    </row>
    <row r="31" spans="1:33" x14ac:dyDescent="0.2">
      <c r="A31" s="5" t="s">
        <v>93</v>
      </c>
      <c r="B31" s="5" t="s">
        <v>286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>
        <v>84.699996948242188</v>
      </c>
      <c r="N31" s="7">
        <v>83.699996948242188</v>
      </c>
      <c r="O31" s="7"/>
      <c r="P31" s="7"/>
      <c r="Q31" s="7">
        <v>80.099998474121094</v>
      </c>
      <c r="R31" s="7"/>
      <c r="S31" s="7"/>
      <c r="T31" s="7">
        <v>77</v>
      </c>
      <c r="U31" s="7">
        <v>82.699996948242188</v>
      </c>
      <c r="V31" s="7">
        <v>73</v>
      </c>
      <c r="W31" s="7">
        <v>70</v>
      </c>
      <c r="X31" s="7">
        <v>68.5</v>
      </c>
      <c r="Y31" s="7">
        <v>64.099998474121094</v>
      </c>
      <c r="Z31" s="7">
        <v>59.400001525878906</v>
      </c>
      <c r="AA31" s="7">
        <v>55.400001525878906</v>
      </c>
      <c r="AB31" s="7">
        <v>51.099998474121094</v>
      </c>
      <c r="AC31" s="7">
        <v>49.700000762939453</v>
      </c>
      <c r="AD31" s="7">
        <v>48.900001525878906</v>
      </c>
      <c r="AE31" s="7"/>
      <c r="AG31" s="7">
        <f t="shared" si="0"/>
        <v>66.799999660915802</v>
      </c>
    </row>
    <row r="32" spans="1:33" x14ac:dyDescent="0.2">
      <c r="A32" s="5" t="s">
        <v>36</v>
      </c>
      <c r="B32" s="5" t="s">
        <v>229</v>
      </c>
      <c r="C32" s="7"/>
      <c r="D32" s="7"/>
      <c r="E32" s="7"/>
      <c r="F32" s="7"/>
      <c r="G32" s="7"/>
      <c r="H32" s="7"/>
      <c r="I32" s="7">
        <v>83.599998474121094</v>
      </c>
      <c r="J32" s="7"/>
      <c r="K32" s="7"/>
      <c r="L32" s="7"/>
      <c r="M32" s="7"/>
      <c r="N32" s="7">
        <v>77.5</v>
      </c>
      <c r="O32" s="7"/>
      <c r="P32" s="7"/>
      <c r="Q32" s="7"/>
      <c r="R32" s="7">
        <v>84</v>
      </c>
      <c r="S32" s="7"/>
      <c r="T32" s="7"/>
      <c r="U32" s="7"/>
      <c r="V32" s="7"/>
      <c r="W32" s="7">
        <v>76.900001525878906</v>
      </c>
      <c r="X32" s="7"/>
      <c r="Y32" s="7"/>
      <c r="Z32" s="7"/>
      <c r="AA32" s="7"/>
      <c r="AB32" s="7"/>
      <c r="AC32" s="7"/>
      <c r="AD32" s="7"/>
      <c r="AE32" s="7"/>
      <c r="AG32" s="7">
        <f t="shared" si="0"/>
        <v>80.450000762939453</v>
      </c>
    </row>
    <row r="33" spans="1:33" x14ac:dyDescent="0.2">
      <c r="A33" s="5" t="s">
        <v>31</v>
      </c>
      <c r="B33" s="5" t="s">
        <v>224</v>
      </c>
      <c r="C33" s="7">
        <v>9.473963737487793</v>
      </c>
      <c r="D33" s="7">
        <v>9.8169469833374023</v>
      </c>
      <c r="E33" s="7">
        <v>10.129659652709961</v>
      </c>
      <c r="F33" s="7">
        <v>10.661510467529297</v>
      </c>
      <c r="G33" s="7">
        <v>10.743760108947754</v>
      </c>
      <c r="H33" s="7">
        <v>10.576600074768066</v>
      </c>
      <c r="I33" s="7">
        <v>11.101980209350586</v>
      </c>
      <c r="J33" s="7">
        <v>11.396860122680664</v>
      </c>
      <c r="K33" s="7">
        <v>11.763360023498535</v>
      </c>
      <c r="L33" s="7">
        <v>11.303999900817871</v>
      </c>
      <c r="M33" s="7">
        <v>10.611700057983398</v>
      </c>
      <c r="N33" s="7">
        <v>9.8939886093139648</v>
      </c>
      <c r="O33" s="7">
        <v>9.814061164855957</v>
      </c>
      <c r="P33" s="7">
        <v>9.8296117782592773</v>
      </c>
      <c r="Q33" s="7">
        <v>9.4841194152832031</v>
      </c>
      <c r="R33" s="7">
        <v>9.4383878707885742</v>
      </c>
      <c r="S33" s="7">
        <v>9.1870059967041016</v>
      </c>
      <c r="T33" s="7">
        <v>9.3074941635131836</v>
      </c>
      <c r="U33" s="7">
        <v>9.2056484222412109</v>
      </c>
      <c r="V33" s="7">
        <v>9.5345325469970703</v>
      </c>
      <c r="W33" s="7">
        <v>9.2812824249267578</v>
      </c>
      <c r="X33" s="7">
        <v>9.031397819519043</v>
      </c>
      <c r="Y33" s="7">
        <v>8.8897895812988281</v>
      </c>
      <c r="Z33" s="7">
        <v>8.8304243087768555</v>
      </c>
      <c r="AA33" s="7">
        <v>8.7567873001098633</v>
      </c>
      <c r="AB33" s="7">
        <v>8.6244707107543945</v>
      </c>
      <c r="AC33" s="7">
        <v>8.5796937942504883</v>
      </c>
      <c r="AD33" s="7">
        <v>8.3447360992431641</v>
      </c>
      <c r="AE33" s="7">
        <v>8.2760133743286133</v>
      </c>
      <c r="AG33" s="7">
        <f t="shared" si="0"/>
        <v>9.0988382859663535</v>
      </c>
    </row>
    <row r="34" spans="1:33" x14ac:dyDescent="0.2">
      <c r="A34" s="5" t="s">
        <v>44</v>
      </c>
      <c r="B34" s="5" t="s">
        <v>237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10.199999809265137</v>
      </c>
      <c r="T34" s="7">
        <v>7.5999999046325684</v>
      </c>
      <c r="U34" s="7">
        <v>8.6999998092651367</v>
      </c>
      <c r="V34" s="7"/>
      <c r="W34" s="7">
        <v>3.2163741588592529</v>
      </c>
      <c r="X34" s="7">
        <v>8.1999998092651367</v>
      </c>
      <c r="Y34" s="7">
        <v>8.1000003814697266</v>
      </c>
      <c r="Z34" s="7">
        <v>8.5</v>
      </c>
      <c r="AA34" s="7">
        <v>5.5702919960021973</v>
      </c>
      <c r="AB34" s="7"/>
      <c r="AC34" s="7"/>
      <c r="AD34" s="7"/>
      <c r="AE34" s="7"/>
      <c r="AG34" s="7">
        <f t="shared" si="0"/>
        <v>7.5108332335948944</v>
      </c>
    </row>
    <row r="35" spans="1:33" x14ac:dyDescent="0.2">
      <c r="A35" s="5" t="s">
        <v>167</v>
      </c>
      <c r="B35" s="5" t="s">
        <v>361</v>
      </c>
      <c r="C35" s="7"/>
      <c r="D35" s="7"/>
      <c r="E35" s="7"/>
      <c r="F35" s="7">
        <v>93.900001525878906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G35" s="7" t="e">
        <f t="shared" si="0"/>
        <v>#DIV/0!</v>
      </c>
    </row>
    <row r="36" spans="1:33" x14ac:dyDescent="0.2">
      <c r="A36" s="5" t="s">
        <v>33</v>
      </c>
      <c r="B36" s="5" t="s">
        <v>226</v>
      </c>
      <c r="C36" s="7">
        <v>25.200000762939453</v>
      </c>
      <c r="D36" s="7">
        <v>27.5</v>
      </c>
      <c r="E36" s="7">
        <v>25</v>
      </c>
      <c r="F36" s="7">
        <v>27.100000381469727</v>
      </c>
      <c r="G36" s="7">
        <v>24.799999237060547</v>
      </c>
      <c r="H36" s="7">
        <v>27.600000381469727</v>
      </c>
      <c r="I36" s="7">
        <v>28.907369613647461</v>
      </c>
      <c r="J36" s="7">
        <v>29.141700744628906</v>
      </c>
      <c r="K36" s="7">
        <v>29.447000503540039</v>
      </c>
      <c r="L36" s="7">
        <v>30.447769165039063</v>
      </c>
      <c r="M36" s="7">
        <v>29.835290908813477</v>
      </c>
      <c r="N36" s="7">
        <v>30.22266960144043</v>
      </c>
      <c r="O36" s="7">
        <v>30.284309387207031</v>
      </c>
      <c r="P36" s="7">
        <v>31.490470886230469</v>
      </c>
      <c r="Q36" s="7">
        <v>30.986660003662109</v>
      </c>
      <c r="R36" s="7">
        <v>30.379520416259766</v>
      </c>
      <c r="S36" s="7">
        <v>29.012670516967773</v>
      </c>
      <c r="T36" s="7">
        <v>28.052190780639648</v>
      </c>
      <c r="U36" s="7">
        <v>26.848409652709961</v>
      </c>
      <c r="V36" s="7">
        <v>27.674379348754883</v>
      </c>
      <c r="W36" s="7">
        <v>26.490060806274414</v>
      </c>
      <c r="X36" s="7">
        <v>26.377819061279297</v>
      </c>
      <c r="Y36" s="7">
        <v>25.076780319213867</v>
      </c>
      <c r="Z36" s="7">
        <v>25.423179626464844</v>
      </c>
      <c r="AA36" s="7">
        <v>25.872320175170898</v>
      </c>
      <c r="AB36" s="7">
        <v>25.648929595947266</v>
      </c>
      <c r="AC36" s="7">
        <v>26.474000930786133</v>
      </c>
      <c r="AD36" s="7">
        <v>27.432140350341797</v>
      </c>
      <c r="AE36" s="7">
        <v>27.113910675048828</v>
      </c>
      <c r="AG36" s="7">
        <f t="shared" si="0"/>
        <v>26.986932754516602</v>
      </c>
    </row>
    <row r="37" spans="1:33" x14ac:dyDescent="0.2">
      <c r="A37" s="5" t="s">
        <v>34</v>
      </c>
      <c r="B37" s="5" t="s">
        <v>227</v>
      </c>
      <c r="C37" s="7">
        <v>3.2510154247283936</v>
      </c>
      <c r="D37" s="7"/>
      <c r="E37" s="7"/>
      <c r="F37" s="7"/>
      <c r="G37" s="7"/>
      <c r="H37" s="7">
        <v>6.7788143157958984</v>
      </c>
      <c r="I37" s="7">
        <v>7.2762870788574219</v>
      </c>
      <c r="J37" s="7">
        <v>7.7941851615905762</v>
      </c>
      <c r="K37" s="7">
        <v>8.6560869216918945</v>
      </c>
      <c r="L37" s="7">
        <v>8.7414913177490234</v>
      </c>
      <c r="M37" s="7">
        <v>7.0333633422851563</v>
      </c>
      <c r="N37" s="7">
        <v>6.5391430854797363</v>
      </c>
      <c r="O37" s="7">
        <v>6.4722981452941895</v>
      </c>
      <c r="P37" s="7">
        <v>6.2879734039306641</v>
      </c>
      <c r="Q37" s="7">
        <v>6.1767477989196777</v>
      </c>
      <c r="R37" s="7">
        <v>6.5648989677429199</v>
      </c>
      <c r="S37" s="7">
        <v>6.8816184997558594</v>
      </c>
      <c r="T37" s="7">
        <v>7.2970352172851563</v>
      </c>
      <c r="U37" s="7">
        <v>7.644381046295166</v>
      </c>
      <c r="V37" s="7">
        <v>8.6846551895141602</v>
      </c>
      <c r="W37" s="7">
        <v>9.2078046798706055</v>
      </c>
      <c r="X37" s="7">
        <v>10.396885871887207</v>
      </c>
      <c r="Y37" s="7">
        <v>11.24882698059082</v>
      </c>
      <c r="Z37" s="7">
        <v>12.127908706665039</v>
      </c>
      <c r="AA37" s="7">
        <v>13.701215744018555</v>
      </c>
      <c r="AB37" s="7">
        <v>15.083342552185059</v>
      </c>
      <c r="AC37" s="7">
        <v>16.574102401733398</v>
      </c>
      <c r="AD37" s="7">
        <v>18.322128295898438</v>
      </c>
      <c r="AE37" s="7">
        <v>20.670740127563477</v>
      </c>
      <c r="AG37" s="7">
        <f t="shared" si="0"/>
        <v>9.8944157687100489</v>
      </c>
    </row>
    <row r="38" spans="1:33" x14ac:dyDescent="0.2">
      <c r="A38" s="5" t="s">
        <v>39</v>
      </c>
      <c r="B38" s="5" t="s">
        <v>232</v>
      </c>
      <c r="C38" s="7"/>
      <c r="D38" s="7"/>
      <c r="E38" s="7">
        <v>32.299999237060547</v>
      </c>
      <c r="F38" s="7">
        <v>31.600000381469727</v>
      </c>
      <c r="G38" s="7">
        <v>30.399999618530273</v>
      </c>
      <c r="H38" s="7">
        <v>33.799999237060547</v>
      </c>
      <c r="I38" s="7">
        <v>33.5</v>
      </c>
      <c r="J38" s="7">
        <v>35.099998474121094</v>
      </c>
      <c r="K38" s="7">
        <v>35.900001525878906</v>
      </c>
      <c r="L38" s="7">
        <v>38.599998474121094</v>
      </c>
      <c r="M38" s="7">
        <v>47.799999237060547</v>
      </c>
      <c r="N38" s="7">
        <v>52</v>
      </c>
      <c r="O38" s="7">
        <v>51.599998474121094</v>
      </c>
      <c r="P38" s="7">
        <v>49.700000762939453</v>
      </c>
      <c r="Q38" s="7">
        <v>50.900001525878906</v>
      </c>
      <c r="R38" s="7">
        <v>50.700000762939453</v>
      </c>
      <c r="S38" s="7">
        <v>49.200000762939453</v>
      </c>
      <c r="T38" s="7">
        <v>46.542129516601563</v>
      </c>
      <c r="U38" s="7">
        <v>51.146381378173828</v>
      </c>
      <c r="V38" s="7">
        <v>53.475631713867188</v>
      </c>
      <c r="W38" s="7">
        <v>54.391281127929688</v>
      </c>
      <c r="X38" s="7">
        <v>54.976589202880859</v>
      </c>
      <c r="Y38" s="7">
        <v>54.241230010986328</v>
      </c>
      <c r="Z38" s="7">
        <v>53.255989074707031</v>
      </c>
      <c r="AA38" s="7">
        <v>52.376659393310547</v>
      </c>
      <c r="AB38" s="7">
        <v>51.837661743164063</v>
      </c>
      <c r="AC38" s="7">
        <v>51.793968200683594</v>
      </c>
      <c r="AD38" s="7">
        <v>51.923931121826172</v>
      </c>
      <c r="AE38" s="7">
        <v>52.088180541992188</v>
      </c>
      <c r="AG38" s="7">
        <f t="shared" si="0"/>
        <v>52.013050426136367</v>
      </c>
    </row>
    <row r="39" spans="1:33" x14ac:dyDescent="0.2">
      <c r="A39" s="5" t="s">
        <v>38</v>
      </c>
      <c r="B39" s="5" t="s">
        <v>231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>
        <v>76.199996948242188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G39" s="7">
        <f t="shared" si="0"/>
        <v>76.199996948242188</v>
      </c>
    </row>
    <row r="40" spans="1:33" x14ac:dyDescent="0.2">
      <c r="A40" s="5" t="s">
        <v>42</v>
      </c>
      <c r="B40" s="5" t="s">
        <v>235</v>
      </c>
      <c r="C40" s="7">
        <v>30</v>
      </c>
      <c r="D40" s="7">
        <v>30.399999618530273</v>
      </c>
      <c r="E40" s="7">
        <v>28.100000381469727</v>
      </c>
      <c r="F40" s="7">
        <v>28.100000381469727</v>
      </c>
      <c r="G40" s="7">
        <v>28.100000381469727</v>
      </c>
      <c r="H40" s="7">
        <v>28.600000381469727</v>
      </c>
      <c r="I40" s="7">
        <v>28.799999237060547</v>
      </c>
      <c r="J40" s="7">
        <v>30.100000381469727</v>
      </c>
      <c r="K40" s="7">
        <v>29.100000381469727</v>
      </c>
      <c r="L40" s="7">
        <v>29</v>
      </c>
      <c r="M40" s="7">
        <v>29.200000762939453</v>
      </c>
      <c r="N40" s="7">
        <v>31.200000762939453</v>
      </c>
      <c r="O40" s="7">
        <v>31.700000762939453</v>
      </c>
      <c r="P40" s="7">
        <v>30.5</v>
      </c>
      <c r="Q40" s="7">
        <v>31.200000762939453</v>
      </c>
      <c r="R40" s="7">
        <v>28.600000381469727</v>
      </c>
      <c r="S40" s="7">
        <v>29.299999237060547</v>
      </c>
      <c r="T40" s="7">
        <v>27</v>
      </c>
      <c r="U40" s="7">
        <v>27.100000381469727</v>
      </c>
      <c r="V40" s="7">
        <v>27.299999237060547</v>
      </c>
      <c r="W40" s="7">
        <v>23.632900238037109</v>
      </c>
      <c r="X40" s="7">
        <v>22.164709091186523</v>
      </c>
      <c r="Y40" s="7">
        <v>22.74268913269043</v>
      </c>
      <c r="Z40" s="7">
        <v>25.501419067382813</v>
      </c>
      <c r="AA40" s="7">
        <v>24.400600433349609</v>
      </c>
      <c r="AB40" s="7">
        <v>24.313030242919922</v>
      </c>
      <c r="AC40" s="7">
        <v>23.440559387207031</v>
      </c>
      <c r="AD40" s="7">
        <v>24.311550140380859</v>
      </c>
      <c r="AE40" s="7">
        <v>25.12898063659668</v>
      </c>
      <c r="AG40" s="7">
        <f t="shared" si="0"/>
        <v>25.641395222056996</v>
      </c>
    </row>
    <row r="41" spans="1:33" x14ac:dyDescent="0.2">
      <c r="A41" s="5" t="s">
        <v>35</v>
      </c>
      <c r="B41" s="5" t="s">
        <v>228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>
        <v>76.300003051757813</v>
      </c>
      <c r="P41" s="7"/>
      <c r="Q41" s="7"/>
      <c r="R41" s="7"/>
      <c r="S41" s="7"/>
      <c r="T41" s="7"/>
      <c r="U41" s="7"/>
      <c r="V41" s="7"/>
      <c r="W41" s="7"/>
      <c r="X41" s="7"/>
      <c r="Y41" s="7">
        <v>80.5</v>
      </c>
      <c r="Z41" s="7"/>
      <c r="AA41" s="7"/>
      <c r="AB41" s="7"/>
      <c r="AC41" s="7"/>
      <c r="AD41" s="7"/>
      <c r="AE41" s="7"/>
      <c r="AG41" s="7">
        <f t="shared" si="0"/>
        <v>80.5</v>
      </c>
    </row>
    <row r="42" spans="1:33" x14ac:dyDescent="0.2">
      <c r="A42" s="5" t="s">
        <v>76</v>
      </c>
      <c r="B42" s="5" t="s">
        <v>269</v>
      </c>
      <c r="C42" s="7"/>
      <c r="D42" s="7"/>
      <c r="E42" s="7"/>
      <c r="F42" s="7"/>
      <c r="G42" s="7"/>
      <c r="H42" s="7"/>
      <c r="I42" s="7">
        <v>28.600000381469727</v>
      </c>
      <c r="J42" s="7">
        <v>25.899999618530273</v>
      </c>
      <c r="K42" s="7">
        <v>24.700000762939453</v>
      </c>
      <c r="L42" s="7">
        <v>24.799999237060547</v>
      </c>
      <c r="M42" s="7">
        <v>23.899999618530273</v>
      </c>
      <c r="N42" s="7">
        <v>24.299999237060547</v>
      </c>
      <c r="O42" s="7">
        <v>24.100000381469727</v>
      </c>
      <c r="P42" s="7">
        <v>24.399999618530273</v>
      </c>
      <c r="Q42" s="7">
        <v>24.100000381469727</v>
      </c>
      <c r="R42" s="7">
        <v>24.899999618530273</v>
      </c>
      <c r="S42" s="7">
        <v>23</v>
      </c>
      <c r="T42" s="7">
        <v>20.799999237060547</v>
      </c>
      <c r="U42" s="7">
        <v>20.899999618530273</v>
      </c>
      <c r="V42" s="7">
        <v>20.899999618530273</v>
      </c>
      <c r="W42" s="7">
        <v>21.799999237060547</v>
      </c>
      <c r="X42" s="7">
        <v>21.799999237060547</v>
      </c>
      <c r="Y42" s="7">
        <v>19.700000762939453</v>
      </c>
      <c r="Z42" s="7">
        <v>18.100000381469727</v>
      </c>
      <c r="AA42" s="7">
        <v>15.600000381469727</v>
      </c>
      <c r="AB42" s="7">
        <v>13.823098182678223</v>
      </c>
      <c r="AC42" s="7">
        <v>11.783479690551758</v>
      </c>
      <c r="AD42" s="7">
        <v>10.455395698547363</v>
      </c>
      <c r="AE42" s="7">
        <v>10.158263206481934</v>
      </c>
      <c r="AG42" s="7">
        <f t="shared" si="0"/>
        <v>20.120281479575418</v>
      </c>
    </row>
    <row r="43" spans="1:33" x14ac:dyDescent="0.2">
      <c r="A43" s="5" t="s">
        <v>43</v>
      </c>
      <c r="B43" s="5" t="s">
        <v>236</v>
      </c>
      <c r="C43" s="7"/>
      <c r="D43" s="7"/>
      <c r="E43" s="7"/>
      <c r="F43" s="7"/>
      <c r="G43" s="7"/>
      <c r="H43" s="7">
        <v>16</v>
      </c>
      <c r="I43" s="7">
        <v>15.699999809265137</v>
      </c>
      <c r="J43" s="7">
        <v>16.399999618530273</v>
      </c>
      <c r="K43" s="7">
        <v>17.299999237060547</v>
      </c>
      <c r="L43" s="7">
        <v>18.5</v>
      </c>
      <c r="M43" s="7">
        <v>19</v>
      </c>
      <c r="N43" s="7">
        <v>19.899999618530273</v>
      </c>
      <c r="O43" s="7">
        <v>19.799999237060547</v>
      </c>
      <c r="P43" s="7">
        <v>20.299999237060547</v>
      </c>
      <c r="Q43" s="7">
        <v>20.200000762939453</v>
      </c>
      <c r="R43" s="7">
        <v>19.600000381469727</v>
      </c>
      <c r="S43" s="7">
        <v>18</v>
      </c>
      <c r="T43" s="7">
        <v>16.899999618530273</v>
      </c>
      <c r="U43" s="7">
        <v>16.700000762939453</v>
      </c>
      <c r="V43" s="7">
        <v>16.200000762939453</v>
      </c>
      <c r="W43" s="7">
        <v>16.200000762939453</v>
      </c>
      <c r="X43" s="7">
        <v>22.700000762939453</v>
      </c>
      <c r="Y43" s="7"/>
      <c r="Z43" s="7"/>
      <c r="AA43" s="7"/>
      <c r="AB43" s="7"/>
      <c r="AC43" s="7"/>
      <c r="AD43" s="7"/>
      <c r="AE43" s="7"/>
      <c r="AG43" s="7">
        <f t="shared" si="0"/>
        <v>18.042857578822545</v>
      </c>
    </row>
    <row r="44" spans="1:33" x14ac:dyDescent="0.2">
      <c r="A44" s="5" t="s">
        <v>45</v>
      </c>
      <c r="B44" s="5" t="s">
        <v>238</v>
      </c>
      <c r="C44" s="7"/>
      <c r="D44" s="7"/>
      <c r="E44" s="7"/>
      <c r="F44" s="7"/>
      <c r="G44" s="7"/>
      <c r="H44" s="7"/>
      <c r="I44" s="7"/>
      <c r="J44" s="7"/>
      <c r="K44" s="7"/>
      <c r="L44" s="7">
        <v>23.5</v>
      </c>
      <c r="M44" s="7">
        <v>24.200000762939453</v>
      </c>
      <c r="N44" s="7">
        <v>23.700000762939453</v>
      </c>
      <c r="O44" s="7">
        <v>23</v>
      </c>
      <c r="P44" s="7">
        <v>23.700000762939453</v>
      </c>
      <c r="Q44" s="7">
        <v>23.700000762939453</v>
      </c>
      <c r="R44" s="7">
        <v>23.200000762939453</v>
      </c>
      <c r="S44" s="7">
        <v>21.5</v>
      </c>
      <c r="T44" s="7">
        <v>20.299999237060547</v>
      </c>
      <c r="U44" s="7">
        <v>19.899999618530273</v>
      </c>
      <c r="V44" s="7">
        <v>19.799999237060547</v>
      </c>
      <c r="W44" s="7">
        <v>18.600000381469727</v>
      </c>
      <c r="X44" s="7">
        <v>17.899999618530273</v>
      </c>
      <c r="Y44" s="7">
        <v>16.600000381469727</v>
      </c>
      <c r="Z44" s="7">
        <v>17.600000381469727</v>
      </c>
      <c r="AA44" s="7">
        <v>17.899999618530273</v>
      </c>
      <c r="AB44" s="7">
        <v>15.636288642883301</v>
      </c>
      <c r="AC44" s="7">
        <v>14.815184593200684</v>
      </c>
      <c r="AD44" s="7">
        <v>14.049391746520996</v>
      </c>
      <c r="AE44" s="7">
        <v>14.366168022155762</v>
      </c>
      <c r="AG44" s="7">
        <f t="shared" si="0"/>
        <v>18.994207989085805</v>
      </c>
    </row>
    <row r="45" spans="1:33" x14ac:dyDescent="0.2">
      <c r="A45" s="5" t="s">
        <v>46</v>
      </c>
      <c r="B45" s="5" t="s">
        <v>239</v>
      </c>
      <c r="C45" s="7"/>
      <c r="D45" s="7"/>
      <c r="E45" s="7"/>
      <c r="F45" s="7">
        <v>9.4352245330810547</v>
      </c>
      <c r="G45" s="7">
        <v>10.599020004272461</v>
      </c>
      <c r="H45" s="7">
        <v>11.983499526977539</v>
      </c>
      <c r="I45" s="7">
        <v>12.256389617919922</v>
      </c>
      <c r="J45" s="7">
        <v>12.428219795227051</v>
      </c>
      <c r="K45" s="7">
        <v>13.753979682922363</v>
      </c>
      <c r="L45" s="7">
        <v>14.52692985534668</v>
      </c>
      <c r="M45" s="7">
        <v>15.142609596252441</v>
      </c>
      <c r="N45" s="7">
        <v>15.228730201721191</v>
      </c>
      <c r="O45" s="7">
        <v>16.105579376220703</v>
      </c>
      <c r="P45" s="7">
        <v>17.252689361572266</v>
      </c>
      <c r="Q45" s="7">
        <v>16.878620147705078</v>
      </c>
      <c r="R45" s="7">
        <v>16.020069122314453</v>
      </c>
      <c r="S45" s="7">
        <v>16.137899398803711</v>
      </c>
      <c r="T45" s="7">
        <v>16.172290802001953</v>
      </c>
      <c r="U45" s="7">
        <v>16.121940612792969</v>
      </c>
      <c r="V45" s="7">
        <v>16.766899108886719</v>
      </c>
      <c r="W45" s="7">
        <v>17.72477912902832</v>
      </c>
      <c r="X45" s="7">
        <v>18.050050735473633</v>
      </c>
      <c r="Y45" s="7">
        <v>18.41472053527832</v>
      </c>
      <c r="Z45" s="7">
        <v>17.862300872802734</v>
      </c>
      <c r="AA45" s="7">
        <v>17.992389678955078</v>
      </c>
      <c r="AB45" s="7">
        <v>17.339199066162109</v>
      </c>
      <c r="AC45" s="7">
        <v>17.159429550170898</v>
      </c>
      <c r="AD45" s="7">
        <v>17.119190216064453</v>
      </c>
      <c r="AE45" s="7">
        <v>16.942070007324219</v>
      </c>
      <c r="AG45" s="7">
        <f t="shared" si="0"/>
        <v>17.145685369318183</v>
      </c>
    </row>
    <row r="46" spans="1:33" x14ac:dyDescent="0.2">
      <c r="A46" s="5" t="s">
        <v>50</v>
      </c>
      <c r="B46" s="5" t="s">
        <v>243</v>
      </c>
      <c r="C46" s="7">
        <v>11.404800415039063</v>
      </c>
      <c r="D46" s="7">
        <v>10.830710411071777</v>
      </c>
      <c r="E46" s="7">
        <v>10.737310409545898</v>
      </c>
      <c r="F46" s="7">
        <v>10.752269744873047</v>
      </c>
      <c r="G46" s="7">
        <v>9.8265666961669922</v>
      </c>
      <c r="H46" s="7">
        <v>9.5388164520263672</v>
      </c>
      <c r="I46" s="7">
        <v>9.3148078918457031</v>
      </c>
      <c r="J46" s="7">
        <v>9.4143972396850586</v>
      </c>
      <c r="K46" s="7">
        <v>9.6435203552246094</v>
      </c>
      <c r="L46" s="7">
        <v>8.9323978424072266</v>
      </c>
      <c r="M46" s="7">
        <v>8.6076412200927734</v>
      </c>
      <c r="N46" s="7">
        <v>9.1559629440307617</v>
      </c>
      <c r="O46" s="7">
        <v>9.2799263000488281</v>
      </c>
      <c r="P46" s="7">
        <v>9.0889673233032227</v>
      </c>
      <c r="Q46" s="7">
        <v>9.0330886840820313</v>
      </c>
      <c r="R46" s="7">
        <v>8.9485721588134766</v>
      </c>
      <c r="S46" s="7">
        <v>9.1146392822265625</v>
      </c>
      <c r="T46" s="7">
        <v>9.0113067626953125</v>
      </c>
      <c r="U46" s="7">
        <v>8.8448963165283203</v>
      </c>
      <c r="V46" s="7">
        <v>9.3468570709228516</v>
      </c>
      <c r="W46" s="7">
        <v>9.1042623519897461</v>
      </c>
      <c r="X46" s="7">
        <v>9.1130247116088867</v>
      </c>
      <c r="Y46" s="7">
        <v>9.1244678497314453</v>
      </c>
      <c r="Z46" s="7">
        <v>9.0227842330932617</v>
      </c>
      <c r="AA46" s="7">
        <v>8.8767099380493164</v>
      </c>
      <c r="AB46" s="7">
        <v>8.6500730514526367</v>
      </c>
      <c r="AC46" s="7">
        <v>9.0625772476196289</v>
      </c>
      <c r="AD46" s="7">
        <v>8.2364225387573242</v>
      </c>
      <c r="AE46" s="7">
        <v>8.0763263702392578</v>
      </c>
      <c r="AG46" s="7">
        <f t="shared" si="0"/>
        <v>9.0143267024647109</v>
      </c>
    </row>
    <row r="47" spans="1:33" x14ac:dyDescent="0.2">
      <c r="A47" s="5" t="s">
        <v>48</v>
      </c>
      <c r="B47" s="5" t="s">
        <v>241</v>
      </c>
      <c r="C47" s="7"/>
      <c r="D47" s="7"/>
      <c r="E47" s="7"/>
      <c r="F47" s="7"/>
      <c r="G47" s="7"/>
      <c r="H47" s="7"/>
      <c r="I47" s="7">
        <v>42.400001525878906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G47" s="7" t="e">
        <f t="shared" si="0"/>
        <v>#DIV/0!</v>
      </c>
    </row>
    <row r="48" spans="1:33" x14ac:dyDescent="0.2">
      <c r="A48" s="5" t="s">
        <v>49</v>
      </c>
      <c r="B48" s="5" t="s">
        <v>242</v>
      </c>
      <c r="C48" s="7"/>
      <c r="D48" s="7">
        <v>36.400001525878906</v>
      </c>
      <c r="E48" s="7"/>
      <c r="F48" s="7"/>
      <c r="G48" s="7"/>
      <c r="H48" s="7"/>
      <c r="I48" s="7"/>
      <c r="J48" s="7">
        <v>33.799999237060547</v>
      </c>
      <c r="K48" s="7"/>
      <c r="L48" s="7">
        <v>40.5</v>
      </c>
      <c r="M48" s="7"/>
      <c r="N48" s="7">
        <v>30.899999618530273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G48" s="7" t="e">
        <f t="shared" si="0"/>
        <v>#DIV/0!</v>
      </c>
    </row>
    <row r="49" spans="1:33" x14ac:dyDescent="0.2">
      <c r="A49" s="5" t="s">
        <v>51</v>
      </c>
      <c r="B49" s="5" t="s">
        <v>244</v>
      </c>
      <c r="C49" s="7"/>
      <c r="D49" s="7">
        <v>42.599998474121094</v>
      </c>
      <c r="E49" s="7">
        <v>44.299999237060547</v>
      </c>
      <c r="F49" s="7">
        <v>42.299999237060547</v>
      </c>
      <c r="G49" s="7">
        <v>39.799999237060547</v>
      </c>
      <c r="H49" s="7">
        <v>41.700000762939453</v>
      </c>
      <c r="I49" s="7">
        <v>44.900001525878906</v>
      </c>
      <c r="J49" s="7">
        <v>46.099998474121094</v>
      </c>
      <c r="K49" s="7">
        <v>46.799999237060547</v>
      </c>
      <c r="L49" s="7">
        <v>48</v>
      </c>
      <c r="M49" s="7">
        <v>43.700000762939453</v>
      </c>
      <c r="N49" s="7">
        <v>45.099998474121094</v>
      </c>
      <c r="O49" s="7">
        <v>46.099998474121094</v>
      </c>
      <c r="P49" s="7">
        <v>45.900001525878906</v>
      </c>
      <c r="Q49" s="7">
        <v>44.900001525878906</v>
      </c>
      <c r="R49" s="7">
        <v>47.299999237060547</v>
      </c>
      <c r="S49" s="7">
        <v>46.900001525878906</v>
      </c>
      <c r="T49" s="7">
        <v>46.400001525878906</v>
      </c>
      <c r="U49" s="7">
        <v>48.299999237060547</v>
      </c>
      <c r="V49" s="7">
        <v>48.700000762939453</v>
      </c>
      <c r="W49" s="7">
        <v>40.299999237060547</v>
      </c>
      <c r="X49" s="7">
        <v>48.599998474121094</v>
      </c>
      <c r="Y49" s="7">
        <v>47.900001525878906</v>
      </c>
      <c r="Z49" s="7">
        <v>45.5</v>
      </c>
      <c r="AA49" s="7">
        <v>43.273033142089844</v>
      </c>
      <c r="AB49" s="7">
        <v>42.355030059814453</v>
      </c>
      <c r="AC49" s="7">
        <v>38.476028442382813</v>
      </c>
      <c r="AD49" s="7">
        <v>36.924030303955078</v>
      </c>
      <c r="AE49" s="7"/>
      <c r="AG49" s="7">
        <f t="shared" si="0"/>
        <v>45.957096793434836</v>
      </c>
    </row>
    <row r="50" spans="1:33" x14ac:dyDescent="0.2">
      <c r="A50" s="5" t="s">
        <v>53</v>
      </c>
      <c r="B50" s="5" t="s">
        <v>246</v>
      </c>
      <c r="C50" s="7">
        <v>41.099998474121094</v>
      </c>
      <c r="D50" s="7">
        <v>40.700000762939453</v>
      </c>
      <c r="E50" s="7">
        <v>44</v>
      </c>
      <c r="F50" s="7">
        <v>43.299999237060547</v>
      </c>
      <c r="G50" s="7">
        <v>42</v>
      </c>
      <c r="H50" s="7">
        <v>41.900001525878906</v>
      </c>
      <c r="I50" s="7">
        <v>42.700000762939453</v>
      </c>
      <c r="J50" s="7">
        <v>40.799999237060547</v>
      </c>
      <c r="K50" s="7">
        <v>41.400001525878906</v>
      </c>
      <c r="L50" s="7">
        <v>40.700000762939453</v>
      </c>
      <c r="M50" s="7">
        <v>46.700000762939453</v>
      </c>
      <c r="N50" s="7">
        <v>49.5</v>
      </c>
      <c r="O50" s="7"/>
      <c r="P50" s="7">
        <v>46</v>
      </c>
      <c r="Q50" s="7">
        <v>50.200000762939453</v>
      </c>
      <c r="R50" s="7">
        <v>47.700000762939453</v>
      </c>
      <c r="S50" s="7">
        <v>48.200000762939453</v>
      </c>
      <c r="T50" s="7">
        <v>46.900001525878906</v>
      </c>
      <c r="U50" s="7">
        <v>45.099998474121094</v>
      </c>
      <c r="V50" s="7">
        <v>46.599998474121094</v>
      </c>
      <c r="W50" s="7">
        <v>45.200000762939453</v>
      </c>
      <c r="X50" s="7">
        <v>47.400001525878906</v>
      </c>
      <c r="Y50" s="7">
        <v>54.900001525878906</v>
      </c>
      <c r="Z50" s="7">
        <v>43.200000762939453</v>
      </c>
      <c r="AA50" s="7">
        <v>43.641998291015625</v>
      </c>
      <c r="AB50" s="7">
        <v>44.488998413085938</v>
      </c>
      <c r="AC50" s="7">
        <v>46.380001068115234</v>
      </c>
      <c r="AD50" s="7">
        <v>46.0260009765625</v>
      </c>
      <c r="AE50" s="7"/>
      <c r="AG50" s="7">
        <f t="shared" si="0"/>
        <v>46.666454661976211</v>
      </c>
    </row>
    <row r="51" spans="1:33" x14ac:dyDescent="0.2">
      <c r="A51" s="5" t="s">
        <v>54</v>
      </c>
      <c r="B51" s="5" t="s">
        <v>247</v>
      </c>
      <c r="C51" s="7"/>
      <c r="D51" s="7"/>
      <c r="E51" s="7"/>
      <c r="F51" s="7">
        <v>44.200000762939453</v>
      </c>
      <c r="G51" s="7">
        <v>43.599998474121094</v>
      </c>
      <c r="H51" s="7">
        <v>42.900001525878906</v>
      </c>
      <c r="I51" s="7"/>
      <c r="J51" s="7">
        <v>40</v>
      </c>
      <c r="K51" s="7">
        <v>40.200000762939453</v>
      </c>
      <c r="L51" s="7">
        <v>38.900001525878906</v>
      </c>
      <c r="M51" s="7">
        <v>40.099998474121094</v>
      </c>
      <c r="N51" s="7">
        <v>38.5</v>
      </c>
      <c r="O51" s="7">
        <v>39.799999237060547</v>
      </c>
      <c r="P51" s="7">
        <v>42.099998474121094</v>
      </c>
      <c r="Q51" s="7">
        <v>43.5</v>
      </c>
      <c r="R51" s="7">
        <v>40</v>
      </c>
      <c r="S51" s="7">
        <v>38.200000762939453</v>
      </c>
      <c r="T51" s="7">
        <v>41.5</v>
      </c>
      <c r="U51" s="7"/>
      <c r="V51" s="7">
        <v>39.400001525878906</v>
      </c>
      <c r="W51" s="7">
        <v>37.799999237060547</v>
      </c>
      <c r="X51" s="7">
        <v>38.799999237060547</v>
      </c>
      <c r="Y51" s="7">
        <v>37.5</v>
      </c>
      <c r="Z51" s="7">
        <v>38.900001525878906</v>
      </c>
      <c r="AA51" s="7"/>
      <c r="AB51" s="7"/>
      <c r="AC51" s="7"/>
      <c r="AD51" s="7"/>
      <c r="AE51" s="7"/>
      <c r="AG51" s="7">
        <f t="shared" si="0"/>
        <v>39.012500286102295</v>
      </c>
    </row>
    <row r="52" spans="1:33" x14ac:dyDescent="0.2">
      <c r="A52" s="5" t="s">
        <v>155</v>
      </c>
      <c r="B52" s="5" t="s">
        <v>349</v>
      </c>
      <c r="C52" s="7"/>
      <c r="D52" s="7"/>
      <c r="E52" s="7"/>
      <c r="F52" s="7">
        <v>41.799999237060547</v>
      </c>
      <c r="G52" s="7">
        <v>44.5</v>
      </c>
      <c r="H52" s="7">
        <v>43.099998474121094</v>
      </c>
      <c r="I52" s="7">
        <v>43.099998474121094</v>
      </c>
      <c r="J52" s="7">
        <v>42.599998474121094</v>
      </c>
      <c r="K52" s="7">
        <v>41.099998474121094</v>
      </c>
      <c r="L52" s="7">
        <v>39.700000762939453</v>
      </c>
      <c r="M52" s="7">
        <v>43.099998474121094</v>
      </c>
      <c r="N52" s="7">
        <v>43</v>
      </c>
      <c r="O52" s="7">
        <v>43.900001525878906</v>
      </c>
      <c r="P52" s="7">
        <v>41.400001525878906</v>
      </c>
      <c r="Q52" s="7">
        <v>40</v>
      </c>
      <c r="R52" s="7">
        <v>43.200000762939453</v>
      </c>
      <c r="S52" s="7">
        <v>39.799999237060547</v>
      </c>
      <c r="T52" s="7">
        <v>39.599998474121094</v>
      </c>
      <c r="U52" s="7">
        <v>40.5</v>
      </c>
      <c r="V52" s="7">
        <v>50.200000762939453</v>
      </c>
      <c r="W52" s="7">
        <v>41.799999237060547</v>
      </c>
      <c r="X52" s="7">
        <v>41.700000762939453</v>
      </c>
      <c r="Y52" s="7">
        <v>41.799999237060547</v>
      </c>
      <c r="Z52" s="7">
        <v>41.900001525878906</v>
      </c>
      <c r="AA52" s="7">
        <v>41.215999603271484</v>
      </c>
      <c r="AB52" s="7">
        <v>41.014999389648438</v>
      </c>
      <c r="AC52" s="7">
        <v>41.25</v>
      </c>
      <c r="AD52" s="7">
        <v>41.678001403808594</v>
      </c>
      <c r="AE52" s="7"/>
      <c r="AG52" s="7">
        <f t="shared" si="0"/>
        <v>42.066454453901812</v>
      </c>
    </row>
    <row r="53" spans="1:33" x14ac:dyDescent="0.2">
      <c r="A53" s="5" t="s">
        <v>57</v>
      </c>
      <c r="B53" s="5" t="s">
        <v>250</v>
      </c>
      <c r="C53" s="7"/>
      <c r="D53" s="7"/>
      <c r="E53" s="7"/>
      <c r="F53" s="7"/>
      <c r="G53" s="7">
        <v>8.0654029846191406</v>
      </c>
      <c r="H53" s="7">
        <v>6.8654022216796875</v>
      </c>
      <c r="I53" s="7">
        <v>7.4659905433654785</v>
      </c>
      <c r="J53" s="7">
        <v>7.9017210006713867</v>
      </c>
      <c r="K53" s="7">
        <v>8.5395383834838867</v>
      </c>
      <c r="L53" s="7">
        <v>8.5413990020751953</v>
      </c>
      <c r="M53" s="7">
        <v>8.6917715072631836</v>
      </c>
      <c r="N53" s="7">
        <v>8.1204338073730469</v>
      </c>
      <c r="O53" s="7">
        <v>7.8109159469604492</v>
      </c>
      <c r="P53" s="7">
        <v>8.7498970031738281</v>
      </c>
      <c r="Q53" s="7">
        <v>9.6020193099975586</v>
      </c>
      <c r="R53" s="7">
        <v>7.8863205909729004</v>
      </c>
      <c r="S53" s="7">
        <v>8.1224880218505859</v>
      </c>
      <c r="T53" s="7">
        <v>9.1305665969848633</v>
      </c>
      <c r="U53" s="7">
        <v>7.8331561088562012</v>
      </c>
      <c r="V53" s="7">
        <v>8.3120155334472656</v>
      </c>
      <c r="W53" s="7">
        <v>8.4316215515136719</v>
      </c>
      <c r="X53" s="7">
        <v>8.691523551940918</v>
      </c>
      <c r="Y53" s="7">
        <v>8.8047523498535156</v>
      </c>
      <c r="Z53" s="7">
        <v>9.0967350006103516</v>
      </c>
      <c r="AA53" s="7">
        <v>9.0731668472290039</v>
      </c>
      <c r="AB53" s="7">
        <v>9.3445234298706055</v>
      </c>
      <c r="AC53" s="7">
        <v>9.4230327606201172</v>
      </c>
      <c r="AD53" s="7">
        <v>10.160711288452148</v>
      </c>
      <c r="AE53" s="7">
        <v>10.620100021362305</v>
      </c>
      <c r="AG53" s="7">
        <f t="shared" si="0"/>
        <v>8.6115335984663535</v>
      </c>
    </row>
    <row r="54" spans="1:33" x14ac:dyDescent="0.2">
      <c r="A54" s="5" t="s">
        <v>58</v>
      </c>
      <c r="B54" s="5" t="s">
        <v>251</v>
      </c>
      <c r="C54" s="7"/>
      <c r="D54" s="7"/>
      <c r="E54" s="7"/>
      <c r="F54" s="7"/>
      <c r="G54" s="7">
        <v>93.300003051757813</v>
      </c>
      <c r="H54" s="7"/>
      <c r="I54" s="7"/>
      <c r="J54" s="7"/>
      <c r="K54" s="7"/>
      <c r="L54" s="7">
        <v>91.300003051757813</v>
      </c>
      <c r="M54" s="7"/>
      <c r="N54" s="7"/>
      <c r="O54" s="7"/>
      <c r="P54" s="7"/>
      <c r="Q54" s="7">
        <v>48.509265899658203</v>
      </c>
      <c r="R54" s="7">
        <v>91.800003051757813</v>
      </c>
      <c r="S54" s="7">
        <v>52.799999237060547</v>
      </c>
      <c r="T54" s="7"/>
      <c r="U54" s="7"/>
      <c r="V54" s="7">
        <v>47.599998474121094</v>
      </c>
      <c r="W54" s="7">
        <v>48.099998474121094</v>
      </c>
      <c r="X54" s="7">
        <v>48.900001525878906</v>
      </c>
      <c r="Y54" s="7">
        <v>48.900001525878906</v>
      </c>
      <c r="Z54" s="7">
        <v>89.5</v>
      </c>
      <c r="AA54" s="7">
        <v>48.880706787109375</v>
      </c>
      <c r="AB54" s="7"/>
      <c r="AC54" s="7"/>
      <c r="AD54" s="7"/>
      <c r="AE54" s="7"/>
      <c r="AG54" s="7">
        <f t="shared" si="0"/>
        <v>59.560088634490967</v>
      </c>
    </row>
    <row r="55" spans="1:33" x14ac:dyDescent="0.2">
      <c r="A55" s="5" t="s">
        <v>60</v>
      </c>
      <c r="B55" s="5" t="s">
        <v>253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>
        <v>41.799999237060547</v>
      </c>
      <c r="P55" s="7"/>
      <c r="Q55" s="7">
        <v>39.5</v>
      </c>
      <c r="R55" s="7">
        <v>40.099998474121094</v>
      </c>
      <c r="S55" s="7"/>
      <c r="T55" s="7">
        <v>27.700000762939453</v>
      </c>
      <c r="U55" s="7">
        <v>41.900001525878906</v>
      </c>
      <c r="V55" s="7"/>
      <c r="W55" s="7">
        <v>22.079488754272461</v>
      </c>
      <c r="X55" s="7"/>
      <c r="Y55" s="7"/>
      <c r="Z55" s="7"/>
      <c r="AA55" s="7"/>
      <c r="AB55" s="7"/>
      <c r="AC55" s="7"/>
      <c r="AD55" s="7"/>
      <c r="AE55" s="7"/>
      <c r="AG55" s="7">
        <f t="shared" si="0"/>
        <v>32.944872379302979</v>
      </c>
    </row>
    <row r="56" spans="1:33" x14ac:dyDescent="0.2">
      <c r="A56" s="5" t="s">
        <v>59</v>
      </c>
      <c r="B56" s="5" t="s">
        <v>252</v>
      </c>
      <c r="C56" s="7">
        <v>15.563579559326172</v>
      </c>
      <c r="D56" s="7">
        <v>15.34883975982666</v>
      </c>
      <c r="E56" s="7">
        <v>15.664850234985352</v>
      </c>
      <c r="F56" s="7">
        <v>16.011640548706055</v>
      </c>
      <c r="G56" s="7">
        <v>16.283620834350586</v>
      </c>
      <c r="H56" s="7">
        <v>15.550239562988281</v>
      </c>
      <c r="I56" s="7">
        <v>15.290229797363281</v>
      </c>
      <c r="J56" s="7">
        <v>14.870490074157715</v>
      </c>
      <c r="K56" s="7">
        <v>14.401280403137207</v>
      </c>
      <c r="L56" s="7">
        <v>13.991089820861816</v>
      </c>
      <c r="M56" s="7">
        <v>13.670960426330566</v>
      </c>
      <c r="N56" s="7">
        <v>13.003660202026367</v>
      </c>
      <c r="O56" s="7">
        <v>12.859609603881836</v>
      </c>
      <c r="P56" s="7">
        <v>12.885190010070801</v>
      </c>
      <c r="Q56" s="7">
        <v>12.743960380554199</v>
      </c>
      <c r="R56" s="7">
        <v>12.64877986907959</v>
      </c>
      <c r="S56" s="7">
        <v>12.874079704284668</v>
      </c>
      <c r="T56" s="7">
        <v>12.580140113830566</v>
      </c>
      <c r="U56" s="7">
        <v>12.80486011505127</v>
      </c>
      <c r="V56" s="7">
        <v>13.613659858703613</v>
      </c>
      <c r="W56" s="7">
        <v>13.397480010986328</v>
      </c>
      <c r="X56" s="7">
        <v>13.368769645690918</v>
      </c>
      <c r="Y56" s="7">
        <v>13.577099800109863</v>
      </c>
      <c r="Z56" s="7">
        <v>13.437600135803223</v>
      </c>
      <c r="AA56" s="7">
        <v>14.000410079956055</v>
      </c>
      <c r="AB56" s="7">
        <v>14.218440055847168</v>
      </c>
      <c r="AC56" s="7">
        <v>14.032309532165527</v>
      </c>
      <c r="AD56" s="7">
        <v>13.176250457763672</v>
      </c>
      <c r="AE56" s="7">
        <v>13.206100463867188</v>
      </c>
      <c r="AG56" s="7">
        <f t="shared" si="0"/>
        <v>13.320119944485752</v>
      </c>
    </row>
    <row r="57" spans="1:33" x14ac:dyDescent="0.2">
      <c r="A57" s="5" t="s">
        <v>61</v>
      </c>
      <c r="B57" s="5" t="s">
        <v>254</v>
      </c>
      <c r="C57" s="7">
        <v>15.699999809265137</v>
      </c>
      <c r="D57" s="7">
        <v>15.300000190734863</v>
      </c>
      <c r="E57" s="7">
        <v>15.100000381469727</v>
      </c>
      <c r="F57" s="7">
        <v>14.199999809265137</v>
      </c>
      <c r="G57" s="7">
        <v>14.100000381469727</v>
      </c>
      <c r="H57" s="7">
        <v>13.600000381469727</v>
      </c>
      <c r="I57" s="7">
        <v>13.199999809265137</v>
      </c>
      <c r="J57" s="7">
        <v>13</v>
      </c>
      <c r="K57" s="7">
        <v>12.5</v>
      </c>
      <c r="L57" s="7">
        <v>12.199999809265137</v>
      </c>
      <c r="M57" s="7">
        <v>11.399999618530273</v>
      </c>
      <c r="N57" s="7">
        <v>10.899999618530273</v>
      </c>
      <c r="O57" s="7">
        <v>10.800000190734863</v>
      </c>
      <c r="P57" s="7">
        <v>11.410630226135254</v>
      </c>
      <c r="Q57" s="7">
        <v>10.833189964294434</v>
      </c>
      <c r="R57" s="7">
        <v>10.881489753723145</v>
      </c>
      <c r="S57" s="7">
        <v>11.363349914550781</v>
      </c>
      <c r="T57" s="7">
        <v>10.984040260314941</v>
      </c>
      <c r="U57" s="7">
        <v>10.561429977416992</v>
      </c>
      <c r="V57" s="7">
        <v>10.947489738464355</v>
      </c>
      <c r="W57" s="7">
        <v>11.49213981628418</v>
      </c>
      <c r="X57" s="7">
        <v>11.628620147705078</v>
      </c>
      <c r="Y57" s="7">
        <v>11.444140434265137</v>
      </c>
      <c r="Z57" s="7">
        <v>11.27241039276123</v>
      </c>
      <c r="AA57" s="7">
        <v>11.609869956970215</v>
      </c>
      <c r="AB57" s="7">
        <v>11.589489936828613</v>
      </c>
      <c r="AC57" s="7">
        <v>11.813199996948242</v>
      </c>
      <c r="AD57" s="7">
        <v>11.641169548034668</v>
      </c>
      <c r="AE57" s="7">
        <v>11.680760383605957</v>
      </c>
      <c r="AG57" s="7">
        <f t="shared" si="0"/>
        <v>11.252224575389516</v>
      </c>
    </row>
    <row r="58" spans="1:33" x14ac:dyDescent="0.2">
      <c r="A58" s="5" t="s">
        <v>144</v>
      </c>
      <c r="B58" s="5" t="s">
        <v>338</v>
      </c>
      <c r="C58" s="7"/>
      <c r="D58" s="7"/>
      <c r="E58" s="7"/>
      <c r="F58" s="7"/>
      <c r="G58" s="7"/>
      <c r="H58" s="7"/>
      <c r="I58" s="7">
        <v>24</v>
      </c>
      <c r="J58" s="7"/>
      <c r="K58" s="7"/>
      <c r="L58" s="7"/>
      <c r="M58" s="7"/>
      <c r="N58" s="7"/>
      <c r="O58" s="7">
        <v>19.399999618530273</v>
      </c>
      <c r="P58" s="7"/>
      <c r="Q58" s="7"/>
      <c r="R58" s="7"/>
      <c r="S58" s="7"/>
      <c r="T58" s="7">
        <v>15.899999618530273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G58" s="7">
        <f t="shared" si="0"/>
        <v>15.899999618530273</v>
      </c>
    </row>
    <row r="59" spans="1:33" x14ac:dyDescent="0.2">
      <c r="A59" s="5" t="s">
        <v>63</v>
      </c>
      <c r="B59" s="5" t="s">
        <v>256</v>
      </c>
      <c r="C59" s="7"/>
      <c r="D59" s="7"/>
      <c r="E59" s="7"/>
      <c r="F59" s="7">
        <v>49.299999237060547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>
        <v>54</v>
      </c>
      <c r="S59" s="7"/>
      <c r="T59" s="7"/>
      <c r="U59" s="7"/>
      <c r="V59" s="7"/>
      <c r="W59" s="7">
        <v>33.799999237060547</v>
      </c>
      <c r="X59" s="7"/>
      <c r="Y59" s="7"/>
      <c r="Z59" s="7"/>
      <c r="AA59" s="7"/>
      <c r="AB59" s="7"/>
      <c r="AC59" s="7"/>
      <c r="AD59" s="7"/>
      <c r="AE59" s="7"/>
      <c r="AG59" s="7">
        <f t="shared" si="0"/>
        <v>43.899999618530273</v>
      </c>
    </row>
    <row r="60" spans="1:33" x14ac:dyDescent="0.2">
      <c r="A60" s="5" t="s">
        <v>68</v>
      </c>
      <c r="B60" s="5" t="s">
        <v>261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>
        <v>74.599998474121094</v>
      </c>
      <c r="Z60" s="7"/>
      <c r="AA60" s="7"/>
      <c r="AB60" s="7"/>
      <c r="AC60" s="7"/>
      <c r="AD60" s="7"/>
      <c r="AE60" s="7"/>
      <c r="AG60" s="7">
        <f t="shared" si="0"/>
        <v>74.599998474121094</v>
      </c>
    </row>
    <row r="61" spans="1:33" x14ac:dyDescent="0.2">
      <c r="A61" s="5" t="s">
        <v>65</v>
      </c>
      <c r="B61" s="5" t="s">
        <v>258</v>
      </c>
      <c r="C61" s="7"/>
      <c r="D61" s="7"/>
      <c r="E61" s="7"/>
      <c r="F61" s="7"/>
      <c r="G61" s="7"/>
      <c r="H61" s="7"/>
      <c r="I61" s="7"/>
      <c r="J61" s="7"/>
      <c r="K61" s="7">
        <v>56</v>
      </c>
      <c r="L61" s="7">
        <v>56.700000762939453</v>
      </c>
      <c r="M61" s="7">
        <v>62</v>
      </c>
      <c r="N61" s="7">
        <v>64.300003051757813</v>
      </c>
      <c r="O61" s="7">
        <v>64.424751281738281</v>
      </c>
      <c r="P61" s="7">
        <v>65.869384765625</v>
      </c>
      <c r="Q61" s="7">
        <v>66.214324951171875</v>
      </c>
      <c r="R61" s="7">
        <v>65.533645629882813</v>
      </c>
      <c r="S61" s="7">
        <v>65.335090637207031</v>
      </c>
      <c r="T61" s="7">
        <v>63.298713684082031</v>
      </c>
      <c r="U61" s="7">
        <v>64.205009460449219</v>
      </c>
      <c r="V61" s="7">
        <v>63.945415496826172</v>
      </c>
      <c r="W61" s="7">
        <v>61.857379913330078</v>
      </c>
      <c r="X61" s="7">
        <v>57.955581665039063</v>
      </c>
      <c r="Y61" s="7">
        <v>56.387851715087891</v>
      </c>
      <c r="Z61" s="7">
        <v>57.222831726074219</v>
      </c>
      <c r="AA61" s="7">
        <v>55.736545562744141</v>
      </c>
      <c r="AB61" s="7">
        <v>53.524051666259766</v>
      </c>
      <c r="AC61" s="7">
        <v>52.961044311523438</v>
      </c>
      <c r="AD61" s="7">
        <v>51.658267974853516</v>
      </c>
      <c r="AE61" s="7">
        <v>49.191360473632813</v>
      </c>
      <c r="AG61" s="7">
        <f t="shared" si="0"/>
        <v>60.454737923362039</v>
      </c>
    </row>
    <row r="62" spans="1:33" x14ac:dyDescent="0.2">
      <c r="A62" s="5" t="s">
        <v>47</v>
      </c>
      <c r="B62" s="5" t="s">
        <v>240</v>
      </c>
      <c r="C62" s="7">
        <v>9.5900163650512695</v>
      </c>
      <c r="D62" s="7">
        <v>9.7936716079711914</v>
      </c>
      <c r="E62" s="7">
        <v>10.052280426025391</v>
      </c>
      <c r="F62" s="7">
        <v>10.369979858398438</v>
      </c>
      <c r="G62" s="7">
        <v>10.61359977722168</v>
      </c>
      <c r="H62" s="7">
        <v>10.707099914550781</v>
      </c>
      <c r="I62" s="7">
        <v>10.755749702453613</v>
      </c>
      <c r="J62" s="7">
        <v>10.884869575500488</v>
      </c>
      <c r="K62" s="7">
        <v>10.986860275268555</v>
      </c>
      <c r="L62" s="7">
        <v>10.837240219116211</v>
      </c>
      <c r="M62" s="7">
        <v>10.956110000610352</v>
      </c>
      <c r="N62" s="7">
        <v>11.148349761962891</v>
      </c>
      <c r="O62" s="7">
        <v>11.164299964904785</v>
      </c>
      <c r="P62" s="7">
        <v>11.397459983825684</v>
      </c>
      <c r="Q62" s="7">
        <v>12.036009788513184</v>
      </c>
      <c r="R62" s="7">
        <v>12.364620208740234</v>
      </c>
      <c r="S62" s="7">
        <v>12.138810157775879</v>
      </c>
      <c r="T62" s="7">
        <v>11.992130279541016</v>
      </c>
      <c r="U62" s="7">
        <v>11.654910087585449</v>
      </c>
      <c r="V62" s="7">
        <v>11.590709686279297</v>
      </c>
      <c r="W62" s="7">
        <v>11.571430206298828</v>
      </c>
      <c r="X62" s="7">
        <v>11.665840148925781</v>
      </c>
      <c r="Y62" s="7">
        <v>11.572790145874023</v>
      </c>
      <c r="Z62" s="7">
        <v>11.196109771728516</v>
      </c>
      <c r="AA62" s="7">
        <v>10.955929756164551</v>
      </c>
      <c r="AB62" s="7">
        <v>10.753179550170898</v>
      </c>
      <c r="AC62" s="7">
        <v>10.424599647521973</v>
      </c>
      <c r="AD62" s="7">
        <v>10.199919700622559</v>
      </c>
      <c r="AE62" s="7">
        <v>9.9004459381103516</v>
      </c>
      <c r="AG62" s="7">
        <f t="shared" si="0"/>
        <v>11.58695090900768</v>
      </c>
    </row>
    <row r="63" spans="1:33" x14ac:dyDescent="0.2">
      <c r="A63" s="5" t="s">
        <v>66</v>
      </c>
      <c r="B63" s="5" t="s">
        <v>259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>
        <v>79.900001525878906</v>
      </c>
      <c r="T63" s="7"/>
      <c r="U63" s="7"/>
      <c r="V63" s="7"/>
      <c r="W63" s="7">
        <v>81.699996948242188</v>
      </c>
      <c r="X63" s="7"/>
      <c r="Y63" s="7"/>
      <c r="Z63" s="7">
        <v>68.700218200683594</v>
      </c>
      <c r="AA63" s="7"/>
      <c r="AB63" s="7"/>
      <c r="AC63" s="7"/>
      <c r="AD63" s="7"/>
      <c r="AE63" s="7"/>
      <c r="AG63" s="7">
        <f t="shared" si="0"/>
        <v>76.766738891601563</v>
      </c>
    </row>
    <row r="64" spans="1:33" x14ac:dyDescent="0.2">
      <c r="A64" s="5" t="s">
        <v>71</v>
      </c>
      <c r="B64" s="5" t="s">
        <v>264</v>
      </c>
      <c r="C64" s="7">
        <v>47.636661529541016</v>
      </c>
      <c r="D64" s="7">
        <v>46.831329345703125</v>
      </c>
      <c r="E64" s="7">
        <v>47.393421173095703</v>
      </c>
      <c r="F64" s="7">
        <v>46.718479156494141</v>
      </c>
      <c r="G64" s="7">
        <v>46.735069274902344</v>
      </c>
      <c r="H64" s="7">
        <v>46.112190246582031</v>
      </c>
      <c r="I64" s="7">
        <v>45.718360900878906</v>
      </c>
      <c r="J64" s="7">
        <v>45.206630706787109</v>
      </c>
      <c r="K64" s="7">
        <v>43.703800201416016</v>
      </c>
      <c r="L64" s="7">
        <v>42.646739959716797</v>
      </c>
      <c r="M64" s="7">
        <v>41.815101623535156</v>
      </c>
      <c r="N64" s="7">
        <v>39.555110931396484</v>
      </c>
      <c r="O64" s="7">
        <v>39.027420043945313</v>
      </c>
      <c r="P64" s="7">
        <v>38.828239440917969</v>
      </c>
      <c r="Q64" s="7">
        <v>36.338211059570313</v>
      </c>
      <c r="R64" s="7">
        <v>36.00238037109375</v>
      </c>
      <c r="S64" s="7">
        <v>36.038448333740234</v>
      </c>
      <c r="T64" s="7">
        <v>35.338130950927734</v>
      </c>
      <c r="U64" s="7">
        <v>35.013198852539063</v>
      </c>
      <c r="V64" s="7">
        <v>35.273460388183594</v>
      </c>
      <c r="W64" s="7">
        <v>35.602260589599609</v>
      </c>
      <c r="X64" s="7">
        <v>36.206169128417969</v>
      </c>
      <c r="Y64" s="7">
        <v>36.643009185791016</v>
      </c>
      <c r="Z64" s="7">
        <v>36.989780426025391</v>
      </c>
      <c r="AA64" s="7">
        <v>35.966770172119141</v>
      </c>
      <c r="AB64" s="7">
        <v>34.956760406494141</v>
      </c>
      <c r="AC64" s="7">
        <v>34.090999603271484</v>
      </c>
      <c r="AD64" s="7">
        <v>34.069698333740234</v>
      </c>
      <c r="AE64" s="7">
        <v>33.482669830322266</v>
      </c>
      <c r="AG64" s="7">
        <f t="shared" si="0"/>
        <v>35.820942618630149</v>
      </c>
    </row>
    <row r="65" spans="1:33" x14ac:dyDescent="0.2">
      <c r="A65" s="5" t="s">
        <v>72</v>
      </c>
      <c r="B65" s="5" t="s">
        <v>265</v>
      </c>
      <c r="C65" s="7"/>
      <c r="D65" s="7">
        <v>17.799999237060547</v>
      </c>
      <c r="E65" s="7"/>
      <c r="F65" s="7"/>
      <c r="G65" s="7"/>
      <c r="H65" s="7"/>
      <c r="I65" s="7">
        <v>27</v>
      </c>
      <c r="J65" s="7"/>
      <c r="K65" s="7">
        <v>24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G65" s="7" t="e">
        <f t="shared" si="0"/>
        <v>#DIV/0!</v>
      </c>
    </row>
    <row r="66" spans="1:33" x14ac:dyDescent="0.2">
      <c r="A66" s="5" t="s">
        <v>73</v>
      </c>
      <c r="B66" s="5" t="s">
        <v>266</v>
      </c>
      <c r="C66" s="7"/>
      <c r="D66" s="7"/>
      <c r="E66" s="7"/>
      <c r="F66" s="7"/>
      <c r="G66" s="7">
        <v>49.799999237060547</v>
      </c>
      <c r="H66" s="7"/>
      <c r="I66" s="7"/>
      <c r="J66" s="7"/>
      <c r="K66" s="7">
        <v>48.799999237060547</v>
      </c>
      <c r="L66" s="7"/>
      <c r="M66" s="7">
        <v>49.900001525878906</v>
      </c>
      <c r="N66" s="7"/>
      <c r="O66" s="7">
        <v>60.700000762939453</v>
      </c>
      <c r="P66" s="7">
        <v>55.400001525878906</v>
      </c>
      <c r="Q66" s="7">
        <v>54.299999237060547</v>
      </c>
      <c r="R66" s="7"/>
      <c r="S66" s="7"/>
      <c r="T66" s="7"/>
      <c r="U66" s="7"/>
      <c r="V66" s="7"/>
      <c r="W66" s="7">
        <v>32.400001525878906</v>
      </c>
      <c r="X66" s="7">
        <v>43</v>
      </c>
      <c r="Y66" s="7">
        <v>47.200000762939453</v>
      </c>
      <c r="Z66" s="7">
        <v>33.400001525878906</v>
      </c>
      <c r="AA66" s="7">
        <v>29.091999053955078</v>
      </c>
      <c r="AB66" s="7">
        <v>29.027000427246094</v>
      </c>
      <c r="AC66" s="7">
        <v>30.216999053955078</v>
      </c>
      <c r="AD66" s="7">
        <v>29.844999313354492</v>
      </c>
      <c r="AE66" s="7">
        <v>30.517999649047852</v>
      </c>
      <c r="AG66" s="7">
        <f t="shared" si="0"/>
        <v>35.686500549316406</v>
      </c>
    </row>
    <row r="67" spans="1:33" x14ac:dyDescent="0.2">
      <c r="A67" s="5" t="s">
        <v>67</v>
      </c>
      <c r="B67" s="5" t="s">
        <v>260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>
        <v>90.300003051757813</v>
      </c>
      <c r="W67" s="7">
        <v>90.300003051757813</v>
      </c>
      <c r="X67" s="7">
        <v>90.300003051757813</v>
      </c>
      <c r="Y67" s="7">
        <v>90.300003051757813</v>
      </c>
      <c r="Z67" s="7"/>
      <c r="AA67" s="7"/>
      <c r="AB67" s="7"/>
      <c r="AC67" s="7"/>
      <c r="AD67" s="7"/>
      <c r="AE67" s="7"/>
      <c r="AG67" s="7">
        <f t="shared" ref="AG67:AG130" si="1">AVERAGE($R67:$AB67)</f>
        <v>90.300003051757813</v>
      </c>
    </row>
    <row r="68" spans="1:33" x14ac:dyDescent="0.2">
      <c r="A68" s="5" t="s">
        <v>74</v>
      </c>
      <c r="B68" s="5" t="s">
        <v>267</v>
      </c>
      <c r="C68" s="7"/>
      <c r="D68" s="7"/>
      <c r="E68" s="7">
        <v>47.599998474121094</v>
      </c>
      <c r="F68" s="7"/>
      <c r="G68" s="7"/>
      <c r="H68" s="7"/>
      <c r="I68" s="7"/>
      <c r="J68" s="7"/>
      <c r="K68" s="7"/>
      <c r="L68" s="7">
        <v>13.36400032043457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G68" s="7" t="e">
        <f t="shared" si="1"/>
        <v>#DIV/0!</v>
      </c>
    </row>
    <row r="69" spans="1:33" x14ac:dyDescent="0.2">
      <c r="A69" s="5" t="s">
        <v>77</v>
      </c>
      <c r="B69" s="5" t="s">
        <v>270</v>
      </c>
      <c r="C69" s="7">
        <v>79.5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>
        <v>84.829483032226563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G69" s="7" t="e">
        <f t="shared" si="1"/>
        <v>#DIV/0!</v>
      </c>
    </row>
    <row r="70" spans="1:33" x14ac:dyDescent="0.2">
      <c r="A70" s="5" t="s">
        <v>75</v>
      </c>
      <c r="B70" s="5" t="s">
        <v>268</v>
      </c>
      <c r="C70" s="7">
        <v>49.900001525878906</v>
      </c>
      <c r="D70" s="7">
        <v>52.099998474121094</v>
      </c>
      <c r="E70" s="7">
        <v>48.900001525878906</v>
      </c>
      <c r="F70" s="7">
        <v>41.680999755859375</v>
      </c>
      <c r="G70" s="7">
        <v>49.299999237060547</v>
      </c>
      <c r="H70" s="7">
        <v>50.200000762939453</v>
      </c>
      <c r="I70" s="7">
        <v>53.900001525878906</v>
      </c>
      <c r="J70" s="7">
        <v>53.200000762939453</v>
      </c>
      <c r="K70" s="7">
        <v>52</v>
      </c>
      <c r="L70" s="7">
        <v>53.200000762939453</v>
      </c>
      <c r="M70" s="7"/>
      <c r="N70" s="7">
        <v>51.099998474121094</v>
      </c>
      <c r="O70" s="7">
        <v>53.400001525878906</v>
      </c>
      <c r="P70" s="7">
        <v>54</v>
      </c>
      <c r="Q70" s="7">
        <v>51.799999237060547</v>
      </c>
      <c r="R70" s="7">
        <v>50</v>
      </c>
      <c r="S70" s="7">
        <v>52.599998474121094</v>
      </c>
      <c r="T70" s="7">
        <v>52.400001525878906</v>
      </c>
      <c r="U70" s="7">
        <v>51.700000762939453</v>
      </c>
      <c r="V70" s="7">
        <v>54.200000762939453</v>
      </c>
      <c r="W70" s="7">
        <v>55.700000762939453</v>
      </c>
      <c r="X70" s="7">
        <v>55.433998107910156</v>
      </c>
      <c r="Y70" s="7">
        <v>59.159999847412109</v>
      </c>
      <c r="Z70" s="7">
        <v>56.880001068115234</v>
      </c>
      <c r="AA70" s="7">
        <v>58.367000579833984</v>
      </c>
      <c r="AB70" s="7">
        <v>57.530998229980469</v>
      </c>
      <c r="AC70" s="7">
        <v>54.587001800537109</v>
      </c>
      <c r="AD70" s="7">
        <v>57.108001708984375</v>
      </c>
      <c r="AE70" s="7">
        <v>56.870998382568359</v>
      </c>
      <c r="AG70" s="7">
        <f t="shared" si="1"/>
        <v>54.906545465642758</v>
      </c>
    </row>
    <row r="71" spans="1:33" x14ac:dyDescent="0.2">
      <c r="A71" s="5" t="s">
        <v>78</v>
      </c>
      <c r="B71" s="5" t="s">
        <v>271</v>
      </c>
      <c r="C71" s="7"/>
      <c r="D71" s="7"/>
      <c r="E71" s="7">
        <v>20.417289733886719</v>
      </c>
      <c r="F71" s="7">
        <v>18.116710662841797</v>
      </c>
      <c r="G71" s="7">
        <v>17.755210876464844</v>
      </c>
      <c r="H71" s="7">
        <v>17.98600959777832</v>
      </c>
      <c r="I71" s="7">
        <v>18.105140686035156</v>
      </c>
      <c r="J71" s="7">
        <v>17.409589767456055</v>
      </c>
      <c r="K71" s="7">
        <v>16.144109725952148</v>
      </c>
      <c r="L71" s="7">
        <v>15.566499710083008</v>
      </c>
      <c r="M71" s="7">
        <v>14.981980323791504</v>
      </c>
      <c r="N71" s="7">
        <v>14.338430404663086</v>
      </c>
      <c r="O71" s="7">
        <v>13.781279563903809</v>
      </c>
      <c r="P71" s="7">
        <v>13.326450347900391</v>
      </c>
      <c r="Q71" s="7">
        <v>14.167320251464844</v>
      </c>
      <c r="R71" s="7">
        <v>13.693539619445801</v>
      </c>
      <c r="S71" s="7">
        <v>12.714550018310547</v>
      </c>
      <c r="T71" s="7">
        <v>12.464839935302734</v>
      </c>
      <c r="U71" s="7">
        <v>12.21051025390625</v>
      </c>
      <c r="V71" s="7">
        <v>12.618989944458008</v>
      </c>
      <c r="W71" s="7">
        <v>12.315799713134766</v>
      </c>
      <c r="X71" s="7">
        <v>12.144689559936523</v>
      </c>
      <c r="Y71" s="7">
        <v>11.734430313110352</v>
      </c>
      <c r="Z71" s="7">
        <v>11.27616024017334</v>
      </c>
      <c r="AA71" s="7">
        <v>10.944140434265137</v>
      </c>
      <c r="AB71" s="7">
        <v>10.8472900390625</v>
      </c>
      <c r="AC71" s="7">
        <v>10.737879753112793</v>
      </c>
      <c r="AD71" s="7">
        <v>10.335530281066895</v>
      </c>
      <c r="AE71" s="7">
        <v>10.416210174560547</v>
      </c>
      <c r="AG71" s="7">
        <f t="shared" si="1"/>
        <v>12.087721824645996</v>
      </c>
    </row>
    <row r="72" spans="1:33" x14ac:dyDescent="0.2">
      <c r="A72" s="5" t="s">
        <v>84</v>
      </c>
      <c r="B72" s="5" t="s">
        <v>277</v>
      </c>
      <c r="C72" s="7"/>
      <c r="D72" s="7">
        <v>20.299999237060547</v>
      </c>
      <c r="E72" s="7">
        <v>19.299999237060547</v>
      </c>
      <c r="F72" s="7">
        <v>18</v>
      </c>
      <c r="G72" s="7">
        <v>18.399999618530273</v>
      </c>
      <c r="H72" s="7">
        <v>18.899999618530273</v>
      </c>
      <c r="I72" s="7">
        <v>18.5</v>
      </c>
      <c r="J72" s="7">
        <v>17.5</v>
      </c>
      <c r="K72" s="7">
        <v>18.700000762939453</v>
      </c>
      <c r="L72" s="7">
        <v>18.100000381469727</v>
      </c>
      <c r="M72" s="7">
        <v>17.700000762939453</v>
      </c>
      <c r="N72" s="7">
        <v>17.100000381469727</v>
      </c>
      <c r="O72" s="7">
        <v>17.200000762939453</v>
      </c>
      <c r="P72" s="7">
        <v>13.100000381469727</v>
      </c>
      <c r="Q72" s="7">
        <v>13.199999809265137</v>
      </c>
      <c r="R72" s="7">
        <v>14</v>
      </c>
      <c r="S72" s="7">
        <v>14.5</v>
      </c>
      <c r="T72" s="7">
        <v>13.600000381469727</v>
      </c>
      <c r="U72" s="7">
        <v>12.5</v>
      </c>
      <c r="V72" s="7">
        <v>11.800000190734863</v>
      </c>
      <c r="W72" s="7">
        <v>12.5</v>
      </c>
      <c r="X72" s="7">
        <v>12.399999618530273</v>
      </c>
      <c r="Y72" s="7">
        <v>12.199999809265137</v>
      </c>
      <c r="Z72" s="7">
        <v>12.399999618530273</v>
      </c>
      <c r="AA72" s="7">
        <v>12.300000190734863</v>
      </c>
      <c r="AB72" s="7">
        <v>12.017036437988281</v>
      </c>
      <c r="AC72" s="7">
        <v>11.699626922607422</v>
      </c>
      <c r="AD72" s="7">
        <v>11.26063346862793</v>
      </c>
      <c r="AE72" s="7">
        <v>11.599394798278809</v>
      </c>
      <c r="AG72" s="7">
        <f t="shared" si="1"/>
        <v>12.747003295204856</v>
      </c>
    </row>
    <row r="73" spans="1:33" x14ac:dyDescent="0.2">
      <c r="A73" s="5" t="s">
        <v>80</v>
      </c>
      <c r="B73" s="5" t="s">
        <v>273</v>
      </c>
      <c r="C73" s="7">
        <v>85.033119201660156</v>
      </c>
      <c r="D73" s="7">
        <v>84.869964599609375</v>
      </c>
      <c r="E73" s="7">
        <v>85.063499450683594</v>
      </c>
      <c r="F73" s="7">
        <v>85.199722290039063</v>
      </c>
      <c r="G73" s="7">
        <v>85</v>
      </c>
      <c r="H73" s="7">
        <v>86.545188903808594</v>
      </c>
      <c r="I73" s="7">
        <v>87.806907653808594</v>
      </c>
      <c r="J73" s="7">
        <v>86.216361999511719</v>
      </c>
      <c r="K73" s="7">
        <v>87.720527648925781</v>
      </c>
      <c r="L73" s="7">
        <v>87.8392333984375</v>
      </c>
      <c r="M73" s="7">
        <v>84.300003051757813</v>
      </c>
      <c r="N73" s="7">
        <v>81.134872436523438</v>
      </c>
      <c r="O73" s="7">
        <v>82.793937683105469</v>
      </c>
      <c r="P73" s="7">
        <v>82.734878540039063</v>
      </c>
      <c r="Q73" s="7">
        <v>80.604248046875</v>
      </c>
      <c r="R73" s="7">
        <v>84.400001525878906</v>
      </c>
      <c r="S73" s="7">
        <v>83.842819213867188</v>
      </c>
      <c r="T73" s="7">
        <v>83.885566711425781</v>
      </c>
      <c r="U73" s="7">
        <v>84.14508056640625</v>
      </c>
      <c r="V73" s="7">
        <v>83.500679016113281</v>
      </c>
      <c r="W73" s="7">
        <v>81.900001525878906</v>
      </c>
      <c r="X73" s="7">
        <v>78.224533081054688</v>
      </c>
      <c r="Y73" s="7">
        <v>76.1993408203125</v>
      </c>
      <c r="Z73" s="7">
        <v>76.626976013183594</v>
      </c>
      <c r="AA73" s="7">
        <v>77.124687194824219</v>
      </c>
      <c r="AB73" s="7">
        <v>75.281875610351563</v>
      </c>
      <c r="AC73" s="7">
        <v>75.755340576171875</v>
      </c>
      <c r="AD73" s="7"/>
      <c r="AE73" s="7"/>
      <c r="AG73" s="7">
        <f t="shared" si="1"/>
        <v>80.466505570845172</v>
      </c>
    </row>
    <row r="74" spans="1:33" x14ac:dyDescent="0.2">
      <c r="A74" s="5" t="s">
        <v>79</v>
      </c>
      <c r="B74" s="5" t="s">
        <v>272</v>
      </c>
      <c r="C74" s="7">
        <v>64.750129699707031</v>
      </c>
      <c r="D74" s="7">
        <v>64.424346923828125</v>
      </c>
      <c r="E74" s="7">
        <v>64.654312133789063</v>
      </c>
      <c r="F74" s="7">
        <v>64.694854736328125</v>
      </c>
      <c r="G74" s="7">
        <v>64.367019653320313</v>
      </c>
      <c r="H74" s="7">
        <v>64.647300720214844</v>
      </c>
      <c r="I74" s="7">
        <v>67.09051513671875</v>
      </c>
      <c r="J74" s="7">
        <v>64.5</v>
      </c>
      <c r="K74" s="7">
        <v>67.099998474121094</v>
      </c>
      <c r="L74" s="7">
        <v>66.900001525878906</v>
      </c>
      <c r="M74" s="7">
        <v>67.199996948242188</v>
      </c>
      <c r="N74" s="7">
        <v>66.699996948242188</v>
      </c>
      <c r="O74" s="7">
        <v>67.699996948242188</v>
      </c>
      <c r="P74" s="7">
        <v>69</v>
      </c>
      <c r="Q74" s="7">
        <v>68.099998474121094</v>
      </c>
      <c r="R74" s="7">
        <v>66.400001525878906</v>
      </c>
      <c r="S74" s="7">
        <v>66.099998474121094</v>
      </c>
      <c r="T74" s="7">
        <v>66</v>
      </c>
      <c r="U74" s="7">
        <v>67.400001525878906</v>
      </c>
      <c r="V74" s="7">
        <v>66.599998474121094</v>
      </c>
      <c r="W74" s="7">
        <v>64.599998474121094</v>
      </c>
      <c r="X74" s="7">
        <v>60.599998474121094</v>
      </c>
      <c r="Y74" s="7">
        <v>53.5</v>
      </c>
      <c r="Z74" s="7">
        <v>53.5</v>
      </c>
      <c r="AA74" s="7">
        <v>49.349723815917969</v>
      </c>
      <c r="AB74" s="7">
        <v>47.506904602050781</v>
      </c>
      <c r="AC74" s="7">
        <v>47.980373382568359</v>
      </c>
      <c r="AD74" s="7">
        <v>48.674655914306641</v>
      </c>
      <c r="AE74" s="7">
        <v>49.467193603515625</v>
      </c>
      <c r="AG74" s="7">
        <f t="shared" si="1"/>
        <v>60.141511396928266</v>
      </c>
    </row>
    <row r="75" spans="1:33" x14ac:dyDescent="0.2">
      <c r="A75" s="5" t="s">
        <v>82</v>
      </c>
      <c r="B75" s="5" t="s">
        <v>275</v>
      </c>
      <c r="C75" s="7"/>
      <c r="D75" s="7"/>
      <c r="E75" s="7"/>
      <c r="F75" s="7"/>
      <c r="G75" s="7"/>
      <c r="H75" s="7"/>
      <c r="I75" s="7">
        <v>45.200000762939453</v>
      </c>
      <c r="J75" s="7"/>
      <c r="K75" s="7"/>
      <c r="L75" s="7"/>
      <c r="M75" s="7"/>
      <c r="N75" s="7">
        <v>49.900001525878906</v>
      </c>
      <c r="O75" s="7"/>
      <c r="P75" s="7"/>
      <c r="Q75" s="7"/>
      <c r="R75" s="7"/>
      <c r="S75" s="7">
        <v>49</v>
      </c>
      <c r="T75" s="7">
        <v>48.200000762939453</v>
      </c>
      <c r="U75" s="7">
        <v>46.799999237060547</v>
      </c>
      <c r="V75" s="7">
        <v>46.099998474121094</v>
      </c>
      <c r="W75" s="7">
        <v>44.599998474121094</v>
      </c>
      <c r="X75" s="7">
        <v>43.599998474121094</v>
      </c>
      <c r="Y75" s="7">
        <v>44.299999237060547</v>
      </c>
      <c r="Z75" s="7">
        <v>45.299999237060547</v>
      </c>
      <c r="AA75" s="7">
        <v>39</v>
      </c>
      <c r="AB75" s="7">
        <v>44</v>
      </c>
      <c r="AC75" s="7"/>
      <c r="AD75" s="7"/>
      <c r="AE75" s="7"/>
      <c r="AG75" s="7">
        <f t="shared" si="1"/>
        <v>45.08999938964844</v>
      </c>
    </row>
    <row r="76" spans="1:33" x14ac:dyDescent="0.2">
      <c r="A76" s="5" t="s">
        <v>83</v>
      </c>
      <c r="B76" s="5" t="s">
        <v>276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34.299999237060547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G76" s="7">
        <f t="shared" si="1"/>
        <v>34.299999237060547</v>
      </c>
    </row>
    <row r="77" spans="1:33" x14ac:dyDescent="0.2">
      <c r="A77" s="5" t="s">
        <v>81</v>
      </c>
      <c r="B77" s="5" t="s">
        <v>274</v>
      </c>
      <c r="C77" s="7">
        <v>24.865289688110352</v>
      </c>
      <c r="D77" s="7">
        <v>23.325780868530273</v>
      </c>
      <c r="E77" s="7">
        <v>23.878789901733398</v>
      </c>
      <c r="F77" s="7">
        <v>23.447219848632813</v>
      </c>
      <c r="G77" s="7">
        <v>22.720529556274414</v>
      </c>
      <c r="H77" s="7">
        <v>22.166330337524414</v>
      </c>
      <c r="I77" s="7">
        <v>20.861129760742188</v>
      </c>
      <c r="J77" s="7">
        <v>20.793230056762695</v>
      </c>
      <c r="K77" s="7">
        <v>19.838899612426758</v>
      </c>
      <c r="L77" s="7">
        <v>19.195390701293945</v>
      </c>
      <c r="M77" s="7">
        <v>18.724420547485352</v>
      </c>
      <c r="N77" s="7">
        <v>18.137680053710938</v>
      </c>
      <c r="O77" s="7">
        <v>17.940349578857422</v>
      </c>
      <c r="P77" s="7">
        <v>17.654609680175781</v>
      </c>
      <c r="Q77" s="7">
        <v>17.664249420166016</v>
      </c>
      <c r="R77" s="7">
        <v>17.040210723876953</v>
      </c>
      <c r="S77" s="7">
        <v>16.231189727783203</v>
      </c>
      <c r="T77" s="7">
        <v>16.263759613037109</v>
      </c>
      <c r="U77" s="7">
        <v>16.765579223632813</v>
      </c>
      <c r="V77" s="7">
        <v>17.501180648803711</v>
      </c>
      <c r="W77" s="7">
        <v>17.214340209960938</v>
      </c>
      <c r="X77" s="7">
        <v>16.817800521850586</v>
      </c>
      <c r="Y77" s="7">
        <v>16.829750061035156</v>
      </c>
      <c r="Z77" s="7">
        <v>17.019519805908203</v>
      </c>
      <c r="AA77" s="7">
        <v>16.806829452514648</v>
      </c>
      <c r="AB77" s="7">
        <v>16.482370376586914</v>
      </c>
      <c r="AC77" s="7">
        <v>16.231679916381836</v>
      </c>
      <c r="AD77" s="7">
        <v>15.44789981842041</v>
      </c>
      <c r="AE77" s="7">
        <v>15.024029731750488</v>
      </c>
      <c r="AG77" s="7">
        <f t="shared" si="1"/>
        <v>16.815684578635476</v>
      </c>
    </row>
    <row r="78" spans="1:33" x14ac:dyDescent="0.2">
      <c r="A78" s="5" t="s">
        <v>85</v>
      </c>
      <c r="B78" s="5" t="s">
        <v>278</v>
      </c>
      <c r="C78" s="7"/>
      <c r="D78" s="7"/>
      <c r="E78" s="7"/>
      <c r="F78" s="7"/>
      <c r="G78" s="7"/>
      <c r="H78" s="7">
        <v>15.360679626464844</v>
      </c>
      <c r="I78" s="7">
        <v>15.793990135192871</v>
      </c>
      <c r="J78" s="7">
        <v>15.325349807739258</v>
      </c>
      <c r="K78" s="7">
        <v>14.956430435180664</v>
      </c>
      <c r="L78" s="7">
        <v>15.063980102539063</v>
      </c>
      <c r="M78" s="7">
        <v>14.171719551086426</v>
      </c>
      <c r="N78" s="7">
        <v>13.480019569396973</v>
      </c>
      <c r="O78" s="7">
        <v>13.492620468139648</v>
      </c>
      <c r="P78" s="7">
        <v>13.786760330200195</v>
      </c>
      <c r="Q78" s="7">
        <v>13.140589714050293</v>
      </c>
      <c r="R78" s="7">
        <v>13.102970123291016</v>
      </c>
      <c r="S78" s="7">
        <v>13.142970085144043</v>
      </c>
      <c r="T78" s="7">
        <v>12.672829627990723</v>
      </c>
      <c r="U78" s="7">
        <v>12.664150238037109</v>
      </c>
      <c r="V78" s="7">
        <v>12.87047004699707</v>
      </c>
      <c r="W78" s="7">
        <v>12.75236988067627</v>
      </c>
      <c r="X78" s="7">
        <v>12.649519920349121</v>
      </c>
      <c r="Y78" s="7">
        <v>12.699999809265137</v>
      </c>
      <c r="Z78" s="7">
        <v>12.600000381469727</v>
      </c>
      <c r="AA78" s="7">
        <v>12.5</v>
      </c>
      <c r="AB78" s="7">
        <v>12.600000381469727</v>
      </c>
      <c r="AC78" s="7">
        <v>12.800000190734863</v>
      </c>
      <c r="AD78" s="7">
        <v>12.399999618530273</v>
      </c>
      <c r="AE78" s="7">
        <v>12.399999618530273</v>
      </c>
      <c r="AG78" s="7">
        <f t="shared" si="1"/>
        <v>12.750480044971813</v>
      </c>
    </row>
    <row r="79" spans="1:33" x14ac:dyDescent="0.2">
      <c r="A79" s="5" t="s">
        <v>86</v>
      </c>
      <c r="B79" s="5" t="s">
        <v>279</v>
      </c>
      <c r="C79" s="7">
        <v>28.668390274047852</v>
      </c>
      <c r="D79" s="7">
        <v>28.552080154418945</v>
      </c>
      <c r="E79" s="7">
        <v>28.570760726928711</v>
      </c>
      <c r="F79" s="7">
        <v>28.923660278320313</v>
      </c>
      <c r="G79" s="7">
        <v>29.032110214233398</v>
      </c>
      <c r="H79" s="7">
        <v>29.323980331420898</v>
      </c>
      <c r="I79" s="7">
        <v>29.337909698486328</v>
      </c>
      <c r="J79" s="7">
        <v>29.135330200195313</v>
      </c>
      <c r="K79" s="7">
        <v>28.804950714111328</v>
      </c>
      <c r="L79" s="7">
        <v>28.36223030090332</v>
      </c>
      <c r="M79" s="7">
        <v>28.219350814819336</v>
      </c>
      <c r="N79" s="7">
        <v>27.877569198608398</v>
      </c>
      <c r="O79" s="7">
        <v>27.394180297851563</v>
      </c>
      <c r="P79" s="7">
        <v>27.242250442504883</v>
      </c>
      <c r="Q79" s="7">
        <v>27.971830368041992</v>
      </c>
      <c r="R79" s="7">
        <v>26.690740585327148</v>
      </c>
      <c r="S79" s="7">
        <v>26.407440185546875</v>
      </c>
      <c r="T79" s="7">
        <v>26.126340866088867</v>
      </c>
      <c r="U79" s="7">
        <v>25.452299118041992</v>
      </c>
      <c r="V79" s="7">
        <v>24.971670150756836</v>
      </c>
      <c r="W79" s="7">
        <v>25.277719497680664</v>
      </c>
      <c r="X79" s="7">
        <v>25.039249420166016</v>
      </c>
      <c r="Y79" s="7">
        <v>24.908210754394531</v>
      </c>
      <c r="Z79" s="7">
        <v>24.821630477905273</v>
      </c>
      <c r="AA79" s="7">
        <v>24.681289672851563</v>
      </c>
      <c r="AB79" s="7">
        <v>24.380970001220703</v>
      </c>
      <c r="AC79" s="7">
        <v>23.936359405517578</v>
      </c>
      <c r="AD79" s="7">
        <v>23.203039169311523</v>
      </c>
      <c r="AE79" s="7">
        <v>22.913360595703125</v>
      </c>
      <c r="AG79" s="7">
        <f t="shared" si="1"/>
        <v>25.341596429998223</v>
      </c>
    </row>
    <row r="80" spans="1:33" x14ac:dyDescent="0.2">
      <c r="A80" s="5" t="s">
        <v>87</v>
      </c>
      <c r="B80" s="5" t="s">
        <v>280</v>
      </c>
      <c r="C80" s="7">
        <v>45.458999633789063</v>
      </c>
      <c r="D80" s="7">
        <v>43.400001525878906</v>
      </c>
      <c r="E80" s="7">
        <v>43.099998474121094</v>
      </c>
      <c r="F80" s="7">
        <v>41.099998474121094</v>
      </c>
      <c r="G80" s="7">
        <v>41</v>
      </c>
      <c r="H80" s="7">
        <v>39.799999237060547</v>
      </c>
      <c r="I80" s="7">
        <v>39.900001525878906</v>
      </c>
      <c r="J80" s="7">
        <v>39.799999237060547</v>
      </c>
      <c r="K80" s="7">
        <v>40.400001525878906</v>
      </c>
      <c r="L80" s="7">
        <v>40.599998474121094</v>
      </c>
      <c r="M80" s="7">
        <v>40.599998474121094</v>
      </c>
      <c r="N80" s="7">
        <v>40.099998474121094</v>
      </c>
      <c r="O80" s="7">
        <v>38.299999237060547</v>
      </c>
      <c r="P80" s="7">
        <v>38.599998474121094</v>
      </c>
      <c r="Q80" s="7">
        <v>38.700000762939453</v>
      </c>
      <c r="R80" s="7">
        <v>37.599998474121094</v>
      </c>
      <c r="S80" s="7">
        <v>38.5</v>
      </c>
      <c r="T80" s="7">
        <v>36.599998474121094</v>
      </c>
      <c r="U80" s="7">
        <v>39.599998474121094</v>
      </c>
      <c r="V80" s="7">
        <v>41.644996643066406</v>
      </c>
      <c r="W80" s="7">
        <v>42.288997650146484</v>
      </c>
      <c r="X80" s="7">
        <v>39.900001525878906</v>
      </c>
      <c r="Y80" s="7">
        <v>40.599998474121094</v>
      </c>
      <c r="Z80" s="7"/>
      <c r="AA80" s="7">
        <v>38.347999572753906</v>
      </c>
      <c r="AB80" s="7"/>
      <c r="AC80" s="7"/>
      <c r="AD80" s="7"/>
      <c r="AE80" s="7"/>
      <c r="AG80" s="7">
        <f t="shared" si="1"/>
        <v>39.45355436537001</v>
      </c>
    </row>
    <row r="81" spans="1:33" x14ac:dyDescent="0.2">
      <c r="A81" s="5" t="s">
        <v>89</v>
      </c>
      <c r="B81" s="5" t="s">
        <v>282</v>
      </c>
      <c r="C81" s="7">
        <v>22.321779251098633</v>
      </c>
      <c r="D81" s="7">
        <v>21.165849685668945</v>
      </c>
      <c r="E81" s="7">
        <v>20.182819366455078</v>
      </c>
      <c r="F81" s="7">
        <v>19.101760864257813</v>
      </c>
      <c r="G81" s="7">
        <v>18.642490386962891</v>
      </c>
      <c r="H81" s="7">
        <v>18.291410446166992</v>
      </c>
      <c r="I81" s="7">
        <v>17.684469223022461</v>
      </c>
      <c r="J81" s="7">
        <v>17.508670806884766</v>
      </c>
      <c r="K81" s="7">
        <v>17.316110610961914</v>
      </c>
      <c r="L81" s="7">
        <v>17.176460266113281</v>
      </c>
      <c r="M81" s="7">
        <v>16.614099502563477</v>
      </c>
      <c r="N81" s="7">
        <v>15.876279830932617</v>
      </c>
      <c r="O81" s="7">
        <v>15.402029991149902</v>
      </c>
      <c r="P81" s="7">
        <v>15.135760307312012</v>
      </c>
      <c r="Q81" s="7">
        <v>14.948049545288086</v>
      </c>
      <c r="R81" s="7">
        <v>14.662929534912109</v>
      </c>
      <c r="S81" s="7">
        <v>13.774209976196289</v>
      </c>
      <c r="T81" s="7">
        <v>13.34889030456543</v>
      </c>
      <c r="U81" s="7">
        <v>12.965800285339355</v>
      </c>
      <c r="V81" s="7">
        <v>12.605910301208496</v>
      </c>
      <c r="W81" s="7">
        <v>12.194029808044434</v>
      </c>
      <c r="X81" s="7">
        <v>11.265740394592285</v>
      </c>
      <c r="Y81" s="7">
        <v>11.768139839172363</v>
      </c>
      <c r="Z81" s="7">
        <v>11.506999969482422</v>
      </c>
      <c r="AA81" s="7">
        <v>11.363699913024902</v>
      </c>
      <c r="AB81" s="7">
        <v>11.013039588928223</v>
      </c>
      <c r="AC81" s="7">
        <v>10.518309593200684</v>
      </c>
      <c r="AD81" s="7">
        <v>10.39723014831543</v>
      </c>
      <c r="AE81" s="7">
        <v>10.294759750366211</v>
      </c>
      <c r="AG81" s="7">
        <f t="shared" si="1"/>
        <v>12.406308174133301</v>
      </c>
    </row>
    <row r="82" spans="1:33" x14ac:dyDescent="0.2">
      <c r="A82" s="5" t="s">
        <v>88</v>
      </c>
      <c r="B82" s="5" t="s">
        <v>281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>
        <v>16.475000381469727</v>
      </c>
      <c r="X82" s="7">
        <v>15.725000381469727</v>
      </c>
      <c r="Y82" s="7">
        <v>15.899999618530273</v>
      </c>
      <c r="Z82" s="7">
        <v>15.149999618530273</v>
      </c>
      <c r="AA82" s="7">
        <v>14.050000190734863</v>
      </c>
      <c r="AB82" s="7">
        <v>12.625</v>
      </c>
      <c r="AC82" s="7">
        <v>13.125</v>
      </c>
      <c r="AD82" s="7">
        <v>14.800000190734863</v>
      </c>
      <c r="AE82" s="7">
        <v>12.699999809265137</v>
      </c>
      <c r="AG82" s="7">
        <f t="shared" si="1"/>
        <v>14.987500031789144</v>
      </c>
    </row>
    <row r="83" spans="1:33" x14ac:dyDescent="0.2">
      <c r="A83" s="5" t="s">
        <v>90</v>
      </c>
      <c r="B83" s="5" t="s">
        <v>283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>
        <v>42.328983306884766</v>
      </c>
      <c r="O83" s="7">
        <v>39.927402496337891</v>
      </c>
      <c r="P83" s="7">
        <v>39.449119567871094</v>
      </c>
      <c r="Q83" s="7">
        <v>37.760726928710938</v>
      </c>
      <c r="R83" s="7">
        <v>36.088691711425781</v>
      </c>
      <c r="S83" s="7">
        <v>35.481864929199219</v>
      </c>
      <c r="T83" s="7">
        <v>34.825908660888672</v>
      </c>
      <c r="U83" s="7">
        <v>33.826297760009766</v>
      </c>
      <c r="V83" s="7">
        <v>33.714603424072266</v>
      </c>
      <c r="W83" s="7">
        <v>33.334156036376953</v>
      </c>
      <c r="X83" s="7">
        <v>32.767177581787109</v>
      </c>
      <c r="Y83" s="7">
        <v>31.660612106323242</v>
      </c>
      <c r="Z83" s="7">
        <v>30.580709457397461</v>
      </c>
      <c r="AA83" s="7">
        <v>28.206483840942383</v>
      </c>
      <c r="AB83" s="7">
        <v>25.356880187988281</v>
      </c>
      <c r="AC83" s="7">
        <v>25.843524932861328</v>
      </c>
      <c r="AD83" s="7">
        <v>24.451381683349609</v>
      </c>
      <c r="AE83" s="7">
        <v>23.950830459594727</v>
      </c>
      <c r="AG83" s="7">
        <f t="shared" si="1"/>
        <v>32.349398699673742</v>
      </c>
    </row>
    <row r="84" spans="1:33" x14ac:dyDescent="0.2">
      <c r="A84" s="5" t="s">
        <v>91</v>
      </c>
      <c r="B84" s="5" t="s">
        <v>284</v>
      </c>
      <c r="C84" s="7">
        <v>39.139873504638672</v>
      </c>
      <c r="D84" s="7">
        <v>41.578350067138672</v>
      </c>
      <c r="E84" s="7">
        <v>44.944431304931641</v>
      </c>
      <c r="F84" s="7">
        <v>24.449001312255859</v>
      </c>
      <c r="G84" s="7">
        <v>53.405635833740234</v>
      </c>
      <c r="H84" s="7">
        <v>58.065101623535156</v>
      </c>
      <c r="I84" s="7">
        <v>61.117019653320313</v>
      </c>
      <c r="J84" s="7">
        <v>63.572704315185547</v>
      </c>
      <c r="K84" s="7">
        <v>65.797477722167969</v>
      </c>
      <c r="L84" s="7">
        <v>68.06976318359375</v>
      </c>
      <c r="M84" s="7">
        <v>70.417350769042969</v>
      </c>
      <c r="N84" s="7">
        <v>72.820999145507813</v>
      </c>
      <c r="O84" s="7">
        <v>74.318763732910156</v>
      </c>
      <c r="P84" s="7">
        <v>76.126434326171875</v>
      </c>
      <c r="Q84" s="7">
        <v>77.108207702636719</v>
      </c>
      <c r="R84" s="7">
        <v>77.914169311523438</v>
      </c>
      <c r="S84" s="7">
        <v>78.597640991210938</v>
      </c>
      <c r="T84" s="7">
        <v>79.139984130859375</v>
      </c>
      <c r="U84" s="7">
        <v>80.294631958007813</v>
      </c>
      <c r="V84" s="7">
        <v>81.066230773925781</v>
      </c>
      <c r="W84" s="7">
        <v>81.792945861816406</v>
      </c>
      <c r="X84" s="7">
        <v>82.189964294433594</v>
      </c>
      <c r="Y84" s="7">
        <v>82.503997802734375</v>
      </c>
      <c r="Z84" s="7">
        <v>82.489456176757813</v>
      </c>
      <c r="AA84" s="7">
        <v>82.72808837890625</v>
      </c>
      <c r="AB84" s="7">
        <v>82.84576416015625</v>
      </c>
      <c r="AC84" s="7">
        <v>83.207984924316406</v>
      </c>
      <c r="AD84" s="7"/>
      <c r="AE84" s="7"/>
      <c r="AG84" s="7">
        <f t="shared" si="1"/>
        <v>81.051170349121094</v>
      </c>
    </row>
    <row r="85" spans="1:33" x14ac:dyDescent="0.2">
      <c r="A85" s="5" t="s">
        <v>94</v>
      </c>
      <c r="B85" s="5" t="s">
        <v>287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>
        <v>3.5</v>
      </c>
      <c r="N85" s="7"/>
      <c r="O85" s="7"/>
      <c r="P85" s="7"/>
      <c r="Q85" s="7"/>
      <c r="R85" s="7">
        <v>7.5</v>
      </c>
      <c r="S85" s="7"/>
      <c r="T85" s="7"/>
      <c r="U85" s="7"/>
      <c r="V85" s="7"/>
      <c r="W85" s="7">
        <v>57.400001525878906</v>
      </c>
      <c r="X85" s="7"/>
      <c r="Y85" s="7"/>
      <c r="Z85" s="7"/>
      <c r="AA85" s="7"/>
      <c r="AB85" s="7"/>
      <c r="AC85" s="7"/>
      <c r="AD85" s="7"/>
      <c r="AE85" s="7"/>
      <c r="AG85" s="7">
        <f t="shared" si="1"/>
        <v>32.450000762939453</v>
      </c>
    </row>
    <row r="86" spans="1:33" x14ac:dyDescent="0.2">
      <c r="A86" s="5" t="s">
        <v>96</v>
      </c>
      <c r="B86" s="5" t="s">
        <v>289</v>
      </c>
      <c r="C86" s="7">
        <v>39.451751708984375</v>
      </c>
      <c r="D86" s="7">
        <v>37.268360137939453</v>
      </c>
      <c r="E86" s="7">
        <v>37.343940734863281</v>
      </c>
      <c r="F86" s="7">
        <v>37.902809143066406</v>
      </c>
      <c r="G86" s="7">
        <v>37.130580902099609</v>
      </c>
      <c r="H86" s="7">
        <v>36.813041687011719</v>
      </c>
      <c r="I86" s="7">
        <v>36.700008392333984</v>
      </c>
      <c r="J86" s="7">
        <v>36.814281463623047</v>
      </c>
      <c r="K86" s="7">
        <v>38.326179504394531</v>
      </c>
      <c r="L86" s="7">
        <v>37.591888427734375</v>
      </c>
      <c r="M86" s="7">
        <v>36.920318603515625</v>
      </c>
      <c r="N86" s="7">
        <v>36.804229736328125</v>
      </c>
      <c r="O86" s="7">
        <v>36.101238250732422</v>
      </c>
      <c r="P86" s="7">
        <v>34.978050231933594</v>
      </c>
      <c r="Q86" s="7">
        <v>34.149520874023438</v>
      </c>
      <c r="R86" s="7">
        <v>33.483940124511719</v>
      </c>
      <c r="S86" s="7">
        <v>32.687900543212891</v>
      </c>
      <c r="T86" s="7">
        <v>31.690540313720703</v>
      </c>
      <c r="U86" s="7">
        <v>31.200870513916016</v>
      </c>
      <c r="V86" s="7">
        <v>29.980510711669922</v>
      </c>
      <c r="W86" s="7">
        <v>28.80204963684082</v>
      </c>
      <c r="X86" s="7">
        <v>28.25684928894043</v>
      </c>
      <c r="Y86" s="7">
        <v>28.187509536743164</v>
      </c>
      <c r="Z86" s="7">
        <v>27.409460067749023</v>
      </c>
      <c r="AA86" s="7">
        <v>26.793109893798828</v>
      </c>
      <c r="AB86" s="7">
        <v>25.883010864257813</v>
      </c>
      <c r="AC86" s="7">
        <v>25.520870208740234</v>
      </c>
      <c r="AD86" s="7">
        <v>25.410760879516602</v>
      </c>
      <c r="AE86" s="7">
        <v>25.123220443725586</v>
      </c>
      <c r="AG86" s="7">
        <f t="shared" si="1"/>
        <v>29.488704681396484</v>
      </c>
    </row>
    <row r="87" spans="1:33" x14ac:dyDescent="0.2">
      <c r="A87" s="5" t="s">
        <v>188</v>
      </c>
      <c r="B87" s="5" t="s">
        <v>382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>
        <v>25.5</v>
      </c>
      <c r="Z87" s="7">
        <v>30.799999237060547</v>
      </c>
      <c r="AA87" s="7">
        <v>31.799999237060547</v>
      </c>
      <c r="AB87" s="7">
        <v>28.899999618530273</v>
      </c>
      <c r="AC87" s="7">
        <v>30</v>
      </c>
      <c r="AD87" s="7">
        <v>31.200000762939453</v>
      </c>
      <c r="AE87" s="7">
        <v>27.399999618530273</v>
      </c>
      <c r="AG87" s="7">
        <f t="shared" si="1"/>
        <v>29.249999523162842</v>
      </c>
    </row>
    <row r="88" spans="1:33" x14ac:dyDescent="0.2">
      <c r="A88" s="5" t="s">
        <v>97</v>
      </c>
      <c r="B88" s="5" t="s">
        <v>290</v>
      </c>
      <c r="C88" s="7"/>
      <c r="D88" s="7"/>
      <c r="E88" s="7"/>
      <c r="F88" s="7"/>
      <c r="G88" s="7"/>
      <c r="H88" s="7">
        <v>1.8086621761322021</v>
      </c>
      <c r="I88" s="7"/>
      <c r="J88" s="7"/>
      <c r="K88" s="7"/>
      <c r="L88" s="7"/>
      <c r="M88" s="7"/>
      <c r="N88" s="7"/>
      <c r="O88" s="7"/>
      <c r="P88" s="7"/>
      <c r="Q88" s="7"/>
      <c r="R88" s="7">
        <v>2.7000000476837158</v>
      </c>
      <c r="S88" s="7"/>
      <c r="T88" s="7"/>
      <c r="U88" s="7">
        <v>0.72441190481185913</v>
      </c>
      <c r="V88" s="7"/>
      <c r="W88" s="7"/>
      <c r="X88" s="7">
        <v>3.2000000476837158</v>
      </c>
      <c r="Y88" s="7"/>
      <c r="Z88" s="7"/>
      <c r="AA88" s="7">
        <v>1.7000000476837158</v>
      </c>
      <c r="AB88" s="7">
        <v>0.97334849834442139</v>
      </c>
      <c r="AC88" s="7"/>
      <c r="AD88" s="7"/>
      <c r="AE88" s="7"/>
      <c r="AG88" s="7">
        <f t="shared" si="1"/>
        <v>1.8595521092414855</v>
      </c>
    </row>
    <row r="89" spans="1:33" x14ac:dyDescent="0.2">
      <c r="A89" s="5" t="s">
        <v>92</v>
      </c>
      <c r="B89" s="5" t="s">
        <v>285</v>
      </c>
      <c r="C89" s="7"/>
      <c r="D89" s="7"/>
      <c r="E89" s="7"/>
      <c r="F89" s="7"/>
      <c r="G89" s="7"/>
      <c r="H89" s="7"/>
      <c r="I89" s="7">
        <v>23.313716888427734</v>
      </c>
      <c r="J89" s="7">
        <v>34.546916961669922</v>
      </c>
      <c r="K89" s="7">
        <v>42.544040679931641</v>
      </c>
      <c r="L89" s="7"/>
      <c r="M89" s="7"/>
      <c r="N89" s="7"/>
      <c r="O89" s="7">
        <v>57.299999237060547</v>
      </c>
      <c r="P89" s="7">
        <v>53.299999237060547</v>
      </c>
      <c r="Q89" s="7">
        <v>51.5</v>
      </c>
      <c r="R89" s="7">
        <v>51.200000762939453</v>
      </c>
      <c r="S89" s="7">
        <v>49.200000762939453</v>
      </c>
      <c r="T89" s="7"/>
      <c r="U89" s="7"/>
      <c r="V89" s="7">
        <v>38.299999237060547</v>
      </c>
      <c r="W89" s="7">
        <v>36.299999237060547</v>
      </c>
      <c r="X89" s="7">
        <v>36.299999237060547</v>
      </c>
      <c r="Y89" s="7">
        <v>36.700000762939453</v>
      </c>
      <c r="Z89" s="7">
        <v>43.299999237060547</v>
      </c>
      <c r="AA89" s="7">
        <v>40.474224090576172</v>
      </c>
      <c r="AB89" s="7"/>
      <c r="AC89" s="7"/>
      <c r="AD89" s="7"/>
      <c r="AE89" s="7"/>
      <c r="AG89" s="7">
        <f t="shared" si="1"/>
        <v>41.47177791595459</v>
      </c>
    </row>
    <row r="90" spans="1:33" x14ac:dyDescent="0.2">
      <c r="A90" s="5" t="s">
        <v>98</v>
      </c>
      <c r="B90" s="5" t="s">
        <v>291</v>
      </c>
      <c r="C90" s="7"/>
      <c r="D90" s="7"/>
      <c r="E90" s="7"/>
      <c r="F90" s="7"/>
      <c r="G90" s="7"/>
      <c r="H90" s="7">
        <v>90.300003051757813</v>
      </c>
      <c r="I90" s="7"/>
      <c r="J90" s="7"/>
      <c r="K90" s="7"/>
      <c r="L90" s="7"/>
      <c r="M90" s="7"/>
      <c r="N90" s="7"/>
      <c r="O90" s="7"/>
      <c r="P90" s="7"/>
      <c r="Q90" s="7"/>
      <c r="R90" s="7">
        <v>88.300003051757813</v>
      </c>
      <c r="S90" s="7"/>
      <c r="T90" s="7"/>
      <c r="U90" s="7"/>
      <c r="V90" s="7"/>
      <c r="W90" s="7">
        <v>84.400001525878906</v>
      </c>
      <c r="X90" s="7"/>
      <c r="Y90" s="7"/>
      <c r="Z90" s="7"/>
      <c r="AA90" s="7"/>
      <c r="AB90" s="7"/>
      <c r="AC90" s="7"/>
      <c r="AD90" s="7"/>
      <c r="AE90" s="7"/>
      <c r="AG90" s="7">
        <f t="shared" si="1"/>
        <v>86.350002288818359</v>
      </c>
    </row>
    <row r="91" spans="1:33" x14ac:dyDescent="0.2">
      <c r="A91" s="5" t="s">
        <v>107</v>
      </c>
      <c r="B91" s="5" t="s">
        <v>300</v>
      </c>
      <c r="C91" s="7"/>
      <c r="D91" s="7"/>
      <c r="E91" s="7"/>
      <c r="F91" s="7"/>
      <c r="G91" s="7"/>
      <c r="H91" s="7"/>
      <c r="I91" s="7">
        <v>14.600000381469727</v>
      </c>
      <c r="J91" s="7">
        <v>19.399999618530273</v>
      </c>
      <c r="K91" s="7">
        <v>17.330900192260742</v>
      </c>
      <c r="L91" s="7">
        <v>16.906770706176758</v>
      </c>
      <c r="M91" s="7">
        <v>14.85768985748291</v>
      </c>
      <c r="N91" s="7">
        <v>15.217390060424805</v>
      </c>
      <c r="O91" s="7">
        <v>14.06404972076416</v>
      </c>
      <c r="P91" s="7">
        <v>12.904729843139648</v>
      </c>
      <c r="Q91" s="7">
        <v>12.875450134277344</v>
      </c>
      <c r="R91" s="7">
        <v>11.472209930419922</v>
      </c>
      <c r="S91" s="7">
        <v>11.659429550170898</v>
      </c>
      <c r="T91" s="7">
        <v>10.969790458679199</v>
      </c>
      <c r="U91" s="7">
        <v>10.249540328979492</v>
      </c>
      <c r="V91" s="7">
        <v>11.524490356445313</v>
      </c>
      <c r="W91" s="7">
        <v>11.490880012512207</v>
      </c>
      <c r="X91" s="7">
        <v>11.339699745178223</v>
      </c>
      <c r="Y91" s="7">
        <v>11.369020462036133</v>
      </c>
      <c r="Z91" s="7">
        <v>11.553629875183105</v>
      </c>
      <c r="AA91" s="7">
        <v>11.541290283203125</v>
      </c>
      <c r="AB91" s="7">
        <v>12.669139862060547</v>
      </c>
      <c r="AC91" s="7">
        <v>12.873970031738281</v>
      </c>
      <c r="AD91" s="7">
        <v>12.658900260925293</v>
      </c>
      <c r="AE91" s="7">
        <v>11.510649681091309</v>
      </c>
      <c r="AG91" s="7">
        <f t="shared" si="1"/>
        <v>11.439920078624379</v>
      </c>
    </row>
    <row r="92" spans="1:33" x14ac:dyDescent="0.2">
      <c r="A92" s="5" t="s">
        <v>99</v>
      </c>
      <c r="B92" s="5" t="s">
        <v>292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>
        <v>50.900001525878906</v>
      </c>
      <c r="R92" s="7"/>
      <c r="S92" s="7"/>
      <c r="T92" s="7">
        <v>48.200000762939453</v>
      </c>
      <c r="U92" s="7"/>
      <c r="V92" s="7">
        <v>39.357624053955078</v>
      </c>
      <c r="W92" s="7"/>
      <c r="X92" s="7"/>
      <c r="Y92" s="7"/>
      <c r="Z92" s="7"/>
      <c r="AA92" s="7"/>
      <c r="AB92" s="7"/>
      <c r="AC92" s="7"/>
      <c r="AD92" s="7"/>
      <c r="AE92" s="7">
        <v>40.599998474121094</v>
      </c>
      <c r="AG92" s="7">
        <f t="shared" si="1"/>
        <v>43.778812408447266</v>
      </c>
    </row>
    <row r="93" spans="1:33" x14ac:dyDescent="0.2">
      <c r="A93" s="5" t="s">
        <v>104</v>
      </c>
      <c r="B93" s="5" t="s">
        <v>297</v>
      </c>
      <c r="C93" s="7"/>
      <c r="D93" s="7"/>
      <c r="E93" s="7"/>
      <c r="F93" s="7"/>
      <c r="G93" s="7"/>
      <c r="H93" s="7"/>
      <c r="I93" s="7"/>
      <c r="J93" s="7">
        <v>59.626274108886719</v>
      </c>
      <c r="K93" s="7"/>
      <c r="L93" s="7">
        <v>69.5</v>
      </c>
      <c r="M93" s="7"/>
      <c r="N93" s="7"/>
      <c r="O93" s="7"/>
      <c r="P93" s="7"/>
      <c r="Q93" s="7"/>
      <c r="R93" s="7"/>
      <c r="S93" s="7"/>
      <c r="T93" s="7"/>
      <c r="U93" s="7">
        <v>18.100000381469727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G93" s="7">
        <f t="shared" si="1"/>
        <v>18.100000381469727</v>
      </c>
    </row>
    <row r="94" spans="1:33" x14ac:dyDescent="0.2">
      <c r="A94" s="5" t="s">
        <v>100</v>
      </c>
      <c r="B94" s="5" t="s">
        <v>293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82.199996948242188</v>
      </c>
      <c r="U94" s="7"/>
      <c r="V94" s="7"/>
      <c r="W94" s="7">
        <v>81.699996948242188</v>
      </c>
      <c r="X94" s="7"/>
      <c r="Y94" s="7"/>
      <c r="Z94" s="7"/>
      <c r="AA94" s="7"/>
      <c r="AB94" s="7"/>
      <c r="AC94" s="7"/>
      <c r="AD94" s="7"/>
      <c r="AE94" s="7"/>
      <c r="AG94" s="7">
        <f t="shared" si="1"/>
        <v>81.949996948242188</v>
      </c>
    </row>
    <row r="95" spans="1:33" x14ac:dyDescent="0.2">
      <c r="A95" s="5" t="s">
        <v>105</v>
      </c>
      <c r="B95" s="5" t="s">
        <v>298</v>
      </c>
      <c r="C95" s="7"/>
      <c r="D95" s="7"/>
      <c r="E95" s="7"/>
      <c r="F95" s="7"/>
      <c r="G95" s="7"/>
      <c r="H95" s="7"/>
      <c r="I95" s="7"/>
      <c r="J95" s="7"/>
      <c r="K95" s="7">
        <v>19.600000381469727</v>
      </c>
      <c r="L95" s="7">
        <v>20.5</v>
      </c>
      <c r="M95" s="7">
        <v>19.700000762939453</v>
      </c>
      <c r="N95" s="7">
        <v>20.200000762939453</v>
      </c>
      <c r="O95" s="7">
        <v>20.799999237060547</v>
      </c>
      <c r="P95" s="7">
        <v>20.899999618530273</v>
      </c>
      <c r="Q95" s="7">
        <v>18.799999237060547</v>
      </c>
      <c r="R95" s="7">
        <v>17.159889221191406</v>
      </c>
      <c r="S95" s="7">
        <v>16.991500854492188</v>
      </c>
      <c r="T95" s="7">
        <v>14.566940307617188</v>
      </c>
      <c r="U95" s="7">
        <v>11.679280281066895</v>
      </c>
      <c r="V95" s="7">
        <v>11.978139877319336</v>
      </c>
      <c r="W95" s="7">
        <v>10.87444019317627</v>
      </c>
      <c r="X95" s="7">
        <v>10.589289665222168</v>
      </c>
      <c r="Y95" s="7">
        <v>11.052539825439453</v>
      </c>
      <c r="Z95" s="7">
        <v>11.773119926452637</v>
      </c>
      <c r="AA95" s="7">
        <v>12.101739883422852</v>
      </c>
      <c r="AB95" s="7">
        <v>12.270350456237793</v>
      </c>
      <c r="AC95" s="7">
        <v>12.33473014831543</v>
      </c>
      <c r="AD95" s="7">
        <v>12.009149551391602</v>
      </c>
      <c r="AE95" s="7">
        <v>11.665969848632813</v>
      </c>
      <c r="AG95" s="7">
        <f t="shared" si="1"/>
        <v>12.821566408330744</v>
      </c>
    </row>
    <row r="96" spans="1:33" x14ac:dyDescent="0.2">
      <c r="A96" s="5" t="s">
        <v>106</v>
      </c>
      <c r="B96" s="5" t="s">
        <v>299</v>
      </c>
      <c r="C96" s="7">
        <v>11</v>
      </c>
      <c r="D96" s="7">
        <v>10.800000190734863</v>
      </c>
      <c r="E96" s="7">
        <v>10.199999809265137</v>
      </c>
      <c r="F96" s="7">
        <v>11.100000381469727</v>
      </c>
      <c r="G96" s="7">
        <v>10.899999618530273</v>
      </c>
      <c r="H96" s="7">
        <v>11.300000190734863</v>
      </c>
      <c r="I96" s="7">
        <v>9.6999998092651367</v>
      </c>
      <c r="J96" s="7">
        <v>9.1999998092651367</v>
      </c>
      <c r="K96" s="7">
        <v>9.3999996185302734</v>
      </c>
      <c r="L96" s="7">
        <v>9.1000003814697266</v>
      </c>
      <c r="M96" s="7">
        <v>9.3999996185302734</v>
      </c>
      <c r="N96" s="7">
        <v>7.3000001907348633</v>
      </c>
      <c r="O96" s="7">
        <v>7.9000000953674316</v>
      </c>
      <c r="P96" s="7">
        <v>7.9000000953674316</v>
      </c>
      <c r="Q96" s="7">
        <v>8.1999998092651367</v>
      </c>
      <c r="R96" s="7">
        <v>8</v>
      </c>
      <c r="S96" s="7">
        <v>7.9000000953674316</v>
      </c>
      <c r="T96" s="7">
        <v>7.1999998092651367</v>
      </c>
      <c r="U96" s="7">
        <v>6.5</v>
      </c>
      <c r="V96" s="7">
        <v>8.6999998092651367</v>
      </c>
      <c r="W96" s="7">
        <v>8.1999998092651367</v>
      </c>
      <c r="X96" s="7">
        <v>8.6000003814697266</v>
      </c>
      <c r="Y96" s="7">
        <v>8.8999996185302734</v>
      </c>
      <c r="Z96" s="7">
        <v>8.8000001907348633</v>
      </c>
      <c r="AA96" s="7">
        <v>8.6999998092651367</v>
      </c>
      <c r="AB96" s="7">
        <v>9.4561338424682617</v>
      </c>
      <c r="AC96" s="7">
        <v>9.8954458236694336</v>
      </c>
      <c r="AD96" s="7">
        <v>9.7297601699829102</v>
      </c>
      <c r="AE96" s="7">
        <v>8.5834226608276367</v>
      </c>
      <c r="AG96" s="7">
        <f t="shared" si="1"/>
        <v>8.2687393968755547</v>
      </c>
    </row>
    <row r="97" spans="1:33" x14ac:dyDescent="0.2">
      <c r="A97" s="5" t="s">
        <v>110</v>
      </c>
      <c r="B97" s="5" t="s">
        <v>303</v>
      </c>
      <c r="C97" s="7"/>
      <c r="D97" s="7"/>
      <c r="E97" s="7"/>
      <c r="F97" s="7">
        <v>85.099998474121094</v>
      </c>
      <c r="G97" s="7"/>
      <c r="H97" s="7"/>
      <c r="I97" s="7"/>
      <c r="J97" s="7"/>
      <c r="K97" s="7"/>
      <c r="L97" s="7"/>
      <c r="M97" s="7"/>
      <c r="N97" s="7"/>
      <c r="O97" s="7"/>
      <c r="P97" s="7">
        <v>84.300003051757813</v>
      </c>
      <c r="Q97" s="7"/>
      <c r="R97" s="7">
        <v>86.400001525878906</v>
      </c>
      <c r="S97" s="7"/>
      <c r="T97" s="7"/>
      <c r="U97" s="7"/>
      <c r="V97" s="7"/>
      <c r="W97" s="7">
        <v>90.5</v>
      </c>
      <c r="X97" s="7"/>
      <c r="Y97" s="7">
        <v>88.800003051757813</v>
      </c>
      <c r="Z97" s="7"/>
      <c r="AA97" s="7"/>
      <c r="AB97" s="7"/>
      <c r="AC97" s="7"/>
      <c r="AD97" s="7"/>
      <c r="AE97" s="7"/>
      <c r="AG97" s="7">
        <f t="shared" si="1"/>
        <v>88.566668192545578</v>
      </c>
    </row>
    <row r="98" spans="1:33" x14ac:dyDescent="0.2">
      <c r="A98" s="5" t="s">
        <v>122</v>
      </c>
      <c r="B98" s="5" t="s">
        <v>316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>
        <v>9.8566312789916992</v>
      </c>
      <c r="P98" s="7"/>
      <c r="Q98" s="7">
        <v>56.68896484375</v>
      </c>
      <c r="R98" s="7">
        <v>81</v>
      </c>
      <c r="S98" s="7"/>
      <c r="T98" s="7">
        <v>81</v>
      </c>
      <c r="U98" s="7">
        <v>40</v>
      </c>
      <c r="V98" s="7">
        <v>45</v>
      </c>
      <c r="W98" s="7">
        <v>44.66156005859375</v>
      </c>
      <c r="X98" s="7">
        <v>22.897195816040039</v>
      </c>
      <c r="Y98" s="7"/>
      <c r="Z98" s="7">
        <v>61.900001525878906</v>
      </c>
      <c r="AA98" s="7"/>
      <c r="AB98" s="7"/>
      <c r="AC98" s="7"/>
      <c r="AD98" s="7"/>
      <c r="AE98" s="7"/>
      <c r="AG98" s="7">
        <f t="shared" si="1"/>
        <v>53.779822485787527</v>
      </c>
    </row>
    <row r="99" spans="1:33" x14ac:dyDescent="0.2">
      <c r="A99" s="5" t="s">
        <v>123</v>
      </c>
      <c r="B99" s="5" t="s">
        <v>317</v>
      </c>
      <c r="C99" s="7"/>
      <c r="D99" s="7">
        <v>31.899999618530273</v>
      </c>
      <c r="E99" s="7"/>
      <c r="F99" s="7"/>
      <c r="G99" s="7"/>
      <c r="H99" s="7">
        <v>27.399999618530273</v>
      </c>
      <c r="I99" s="7">
        <v>27.700000762939453</v>
      </c>
      <c r="J99" s="7">
        <v>25.5</v>
      </c>
      <c r="K99" s="7">
        <v>26.600000381469727</v>
      </c>
      <c r="L99" s="7">
        <v>25.299999237060547</v>
      </c>
      <c r="M99" s="7">
        <v>25.700000762939453</v>
      </c>
      <c r="N99" s="7">
        <v>24.600000381469727</v>
      </c>
      <c r="O99" s="7">
        <v>23.299999237060547</v>
      </c>
      <c r="P99" s="7">
        <v>23.799999237060547</v>
      </c>
      <c r="Q99" s="7">
        <v>25.399999618530273</v>
      </c>
      <c r="R99" s="7">
        <v>24.5</v>
      </c>
      <c r="S99" s="7">
        <v>25.700000762939453</v>
      </c>
      <c r="T99" s="7">
        <v>25.799999237060547</v>
      </c>
      <c r="U99" s="7">
        <v>25.399999618530273</v>
      </c>
      <c r="V99" s="7">
        <v>25.200000762939453</v>
      </c>
      <c r="W99" s="7">
        <v>25.700000762939453</v>
      </c>
      <c r="X99" s="7">
        <v>23.399999618530273</v>
      </c>
      <c r="Y99" s="7">
        <v>25.100000381469727</v>
      </c>
      <c r="Z99" s="7">
        <v>26.100000381469727</v>
      </c>
      <c r="AA99" s="7">
        <v>24.899999618530273</v>
      </c>
      <c r="AB99" s="7"/>
      <c r="AC99" s="7">
        <v>25.600000381469727</v>
      </c>
      <c r="AD99" s="7"/>
      <c r="AE99" s="7"/>
      <c r="AG99" s="7">
        <f t="shared" si="1"/>
        <v>25.180000114440919</v>
      </c>
    </row>
    <row r="100" spans="1:33" x14ac:dyDescent="0.2">
      <c r="A100" s="5" t="s">
        <v>111</v>
      </c>
      <c r="B100" s="5" t="s">
        <v>304</v>
      </c>
      <c r="C100" s="7">
        <v>49.099998474121094</v>
      </c>
      <c r="D100" s="7"/>
      <c r="E100" s="7"/>
      <c r="F100" s="7"/>
      <c r="G100" s="7"/>
      <c r="H100" s="7">
        <v>58.700000762939453</v>
      </c>
      <c r="I100" s="7"/>
      <c r="J100" s="7"/>
      <c r="K100" s="7"/>
      <c r="L100" s="7"/>
      <c r="M100" s="7">
        <v>60.700000762939453</v>
      </c>
      <c r="N100" s="7"/>
      <c r="O100" s="7"/>
      <c r="P100" s="7"/>
      <c r="Q100" s="7"/>
      <c r="R100" s="7"/>
      <c r="S100" s="7">
        <v>38.299999237060547</v>
      </c>
      <c r="T100" s="7"/>
      <c r="U100" s="7"/>
      <c r="V100" s="7"/>
      <c r="W100" s="7">
        <v>22.700000762939453</v>
      </c>
      <c r="X100" s="7"/>
      <c r="Y100" s="7"/>
      <c r="Z100" s="7"/>
      <c r="AA100" s="7"/>
      <c r="AB100" s="7"/>
      <c r="AC100" s="7"/>
      <c r="AD100" s="7"/>
      <c r="AE100" s="7"/>
      <c r="AG100" s="7">
        <f t="shared" si="1"/>
        <v>30.5</v>
      </c>
    </row>
    <row r="101" spans="1:33" x14ac:dyDescent="0.2">
      <c r="A101" s="5" t="s">
        <v>114</v>
      </c>
      <c r="B101" s="5" t="s">
        <v>308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86.400001525878906</v>
      </c>
      <c r="R101" s="7"/>
      <c r="S101" s="7">
        <v>87.900001525878906</v>
      </c>
      <c r="T101" s="7">
        <v>82.900001525878906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G101" s="7">
        <f t="shared" si="1"/>
        <v>85.400001525878906</v>
      </c>
    </row>
    <row r="102" spans="1:33" x14ac:dyDescent="0.2">
      <c r="A102" s="5" t="s">
        <v>115</v>
      </c>
      <c r="B102" s="5" t="s">
        <v>309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>
        <v>12</v>
      </c>
      <c r="N102" s="7">
        <v>12.100000381469727</v>
      </c>
      <c r="O102" s="7">
        <v>14.5</v>
      </c>
      <c r="P102" s="7">
        <v>14</v>
      </c>
      <c r="Q102" s="7">
        <v>14.199999809265137</v>
      </c>
      <c r="R102" s="7">
        <v>13.800000190734863</v>
      </c>
      <c r="S102" s="7">
        <v>13.899999618530273</v>
      </c>
      <c r="T102" s="7">
        <v>14.300000190734863</v>
      </c>
      <c r="U102" s="7">
        <v>13.800000190734863</v>
      </c>
      <c r="V102" s="7">
        <v>13.800000190734863</v>
      </c>
      <c r="W102" s="7">
        <v>14.399999618530273</v>
      </c>
      <c r="X102" s="7">
        <v>13.5</v>
      </c>
      <c r="Y102" s="7">
        <v>13.332100868225098</v>
      </c>
      <c r="Z102" s="7">
        <v>13.721960067749023</v>
      </c>
      <c r="AA102" s="7">
        <v>13.480833053588867</v>
      </c>
      <c r="AB102" s="7">
        <v>13.80633544921875</v>
      </c>
      <c r="AC102" s="7">
        <v>14.019948959350586</v>
      </c>
      <c r="AD102" s="7">
        <v>14.840195655822754</v>
      </c>
      <c r="AE102" s="7">
        <v>14.270501136779785</v>
      </c>
      <c r="AG102" s="7">
        <f t="shared" si="1"/>
        <v>13.80374813079834</v>
      </c>
    </row>
    <row r="103" spans="1:33" x14ac:dyDescent="0.2">
      <c r="A103" s="5" t="s">
        <v>113</v>
      </c>
      <c r="B103" s="5" t="s">
        <v>306</v>
      </c>
      <c r="C103" s="7"/>
      <c r="D103" s="7"/>
      <c r="E103" s="7"/>
      <c r="F103" s="7"/>
      <c r="G103" s="7"/>
      <c r="H103" s="7"/>
      <c r="I103" s="7"/>
      <c r="J103" s="7"/>
      <c r="K103" s="7"/>
      <c r="L103" s="7">
        <v>27.700000762939453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G103" s="7" t="e">
        <f t="shared" si="1"/>
        <v>#DIV/0!</v>
      </c>
    </row>
    <row r="104" spans="1:33" x14ac:dyDescent="0.2">
      <c r="A104" s="5" t="s">
        <v>121</v>
      </c>
      <c r="B104" s="5" t="s">
        <v>315</v>
      </c>
      <c r="C104" s="7">
        <v>14.899999618530273</v>
      </c>
      <c r="D104" s="7"/>
      <c r="E104" s="7"/>
      <c r="F104" s="7"/>
      <c r="G104" s="7"/>
      <c r="H104" s="7">
        <v>19.100000381469727</v>
      </c>
      <c r="I104" s="7"/>
      <c r="J104" s="7"/>
      <c r="K104" s="7"/>
      <c r="L104" s="7"/>
      <c r="M104" s="7">
        <v>16.700000762939453</v>
      </c>
      <c r="N104" s="7"/>
      <c r="O104" s="7"/>
      <c r="P104" s="7"/>
      <c r="Q104" s="7">
        <v>19.700000762939453</v>
      </c>
      <c r="R104" s="7">
        <v>19.5</v>
      </c>
      <c r="S104" s="7">
        <v>19.299999237060547</v>
      </c>
      <c r="T104" s="7">
        <v>20.200000762939453</v>
      </c>
      <c r="U104" s="7">
        <v>19.600000381469727</v>
      </c>
      <c r="V104" s="7">
        <v>19.799999237060547</v>
      </c>
      <c r="W104" s="7">
        <v>20</v>
      </c>
      <c r="X104" s="7">
        <v>19</v>
      </c>
      <c r="Y104" s="7">
        <v>20.600000381469727</v>
      </c>
      <c r="Z104" s="7"/>
      <c r="AA104" s="7"/>
      <c r="AB104" s="7"/>
      <c r="AC104" s="7"/>
      <c r="AD104" s="7"/>
      <c r="AE104" s="7"/>
      <c r="AG104" s="7">
        <f t="shared" si="1"/>
        <v>19.75</v>
      </c>
    </row>
    <row r="105" spans="1:33" x14ac:dyDescent="0.2">
      <c r="A105" s="5" t="s">
        <v>112</v>
      </c>
      <c r="B105" s="5" t="s">
        <v>305</v>
      </c>
      <c r="C105" s="7">
        <v>31.905599594116211</v>
      </c>
      <c r="D105" s="7">
        <v>44.021499633789063</v>
      </c>
      <c r="E105" s="7">
        <v>43.900989532470703</v>
      </c>
      <c r="F105" s="7">
        <v>43.783439636230469</v>
      </c>
      <c r="G105" s="7">
        <v>43.731311798095703</v>
      </c>
      <c r="H105" s="7">
        <v>41.207649230957031</v>
      </c>
      <c r="I105" s="7">
        <v>40.068389892578125</v>
      </c>
      <c r="J105" s="7">
        <v>40.924308776855469</v>
      </c>
      <c r="K105" s="7">
        <v>38.623931884765625</v>
      </c>
      <c r="L105" s="7">
        <v>38.003440856933594</v>
      </c>
      <c r="M105" s="7">
        <v>35.987270355224609</v>
      </c>
      <c r="N105" s="7">
        <v>36.448070526123047</v>
      </c>
      <c r="O105" s="7">
        <v>36.821861267089844</v>
      </c>
      <c r="P105" s="7">
        <v>36.607089996337891</v>
      </c>
      <c r="Q105" s="7">
        <v>36.532489776611328</v>
      </c>
      <c r="R105" s="7">
        <v>35.589130401611328</v>
      </c>
      <c r="S105" s="7">
        <v>34.733310699462891</v>
      </c>
      <c r="T105" s="7">
        <v>34.430019378662109</v>
      </c>
      <c r="U105" s="7">
        <v>33.602031707763672</v>
      </c>
      <c r="V105" s="7">
        <v>34.308498382568359</v>
      </c>
      <c r="W105" s="7">
        <v>33.395580291748047</v>
      </c>
      <c r="X105" s="7">
        <v>33.654411315917969</v>
      </c>
      <c r="Y105" s="7">
        <v>32.969009399414063</v>
      </c>
      <c r="Z105" s="7">
        <v>32.916790008544922</v>
      </c>
      <c r="AA105" s="7">
        <v>32.184101104736328</v>
      </c>
      <c r="AB105" s="7">
        <v>32.082271575927734</v>
      </c>
      <c r="AC105" s="7">
        <v>31.656440734863281</v>
      </c>
      <c r="AD105" s="7">
        <v>31.450139999389648</v>
      </c>
      <c r="AE105" s="7">
        <v>31.637199401855469</v>
      </c>
      <c r="AG105" s="7">
        <f t="shared" si="1"/>
        <v>33.624104933305219</v>
      </c>
    </row>
    <row r="106" spans="1:33" x14ac:dyDescent="0.2">
      <c r="A106" s="5" t="s">
        <v>109</v>
      </c>
      <c r="B106" s="5" t="s">
        <v>302</v>
      </c>
      <c r="C106" s="7"/>
      <c r="D106" s="7"/>
      <c r="E106" s="7"/>
      <c r="F106" s="7"/>
      <c r="G106" s="7"/>
      <c r="H106" s="7"/>
      <c r="I106" s="7"/>
      <c r="J106" s="7"/>
      <c r="K106" s="7"/>
      <c r="L106" s="7">
        <v>33.200000762939453</v>
      </c>
      <c r="M106" s="7">
        <v>37.200000762939453</v>
      </c>
      <c r="N106" s="7">
        <v>40</v>
      </c>
      <c r="O106" s="7">
        <v>40.799999237060547</v>
      </c>
      <c r="P106" s="7">
        <v>36</v>
      </c>
      <c r="Q106" s="7">
        <v>36.099998474121094</v>
      </c>
      <c r="R106" s="7">
        <v>37</v>
      </c>
      <c r="S106" s="7">
        <v>33</v>
      </c>
      <c r="T106" s="7">
        <v>33.299999237060547</v>
      </c>
      <c r="U106" s="7">
        <v>32</v>
      </c>
      <c r="V106" s="7">
        <v>29.399999618530273</v>
      </c>
      <c r="W106" s="7">
        <v>29.299999237060547</v>
      </c>
      <c r="X106" s="7">
        <v>29.399999618530273</v>
      </c>
      <c r="Y106" s="7">
        <v>29.200000762939453</v>
      </c>
      <c r="Z106" s="7">
        <v>31.200000762939453</v>
      </c>
      <c r="AA106" s="7">
        <v>32.686302185058594</v>
      </c>
      <c r="AB106" s="7">
        <v>34.554668426513672</v>
      </c>
      <c r="AC106" s="7">
        <v>36.998771667480469</v>
      </c>
      <c r="AD106" s="7">
        <v>34.824016571044922</v>
      </c>
      <c r="AE106" s="7">
        <v>37.94122314453125</v>
      </c>
      <c r="AG106" s="7">
        <f t="shared" si="1"/>
        <v>31.912815440784801</v>
      </c>
    </row>
    <row r="107" spans="1:33" x14ac:dyDescent="0.2">
      <c r="A107" s="5" t="s">
        <v>118</v>
      </c>
      <c r="B107" s="5" t="s">
        <v>312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>
        <v>58.299999237060547</v>
      </c>
      <c r="N107" s="7"/>
      <c r="O107" s="7"/>
      <c r="P107" s="7">
        <v>60.5</v>
      </c>
      <c r="Q107" s="7"/>
      <c r="R107" s="7"/>
      <c r="S107" s="7"/>
      <c r="T107" s="7">
        <v>60.404582977294922</v>
      </c>
      <c r="U107" s="7">
        <v>59.093505859375</v>
      </c>
      <c r="V107" s="7">
        <v>60.063201904296875</v>
      </c>
      <c r="W107" s="7">
        <v>57.519821166992188</v>
      </c>
      <c r="X107" s="7">
        <v>56.602653503417969</v>
      </c>
      <c r="Y107" s="7">
        <v>52.530525207519531</v>
      </c>
      <c r="Z107" s="7">
        <v>50.921482086181641</v>
      </c>
      <c r="AA107" s="7">
        <v>50.391014099121094</v>
      </c>
      <c r="AB107" s="7">
        <v>50.772354125976563</v>
      </c>
      <c r="AC107" s="7">
        <v>48.410800933837891</v>
      </c>
      <c r="AD107" s="7">
        <v>50.189365386962891</v>
      </c>
      <c r="AE107" s="7">
        <v>48.956214904785156</v>
      </c>
      <c r="AG107" s="7">
        <f t="shared" si="1"/>
        <v>55.366571214463974</v>
      </c>
    </row>
    <row r="108" spans="1:33" x14ac:dyDescent="0.2">
      <c r="A108" s="5" t="s">
        <v>117</v>
      </c>
      <c r="B108" s="5" t="s">
        <v>311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>
        <v>19.5</v>
      </c>
      <c r="S108" s="7"/>
      <c r="T108" s="7">
        <v>21.100000381469727</v>
      </c>
      <c r="U108" s="7">
        <v>20.100000381469727</v>
      </c>
      <c r="V108" s="7">
        <v>17.700000762939453</v>
      </c>
      <c r="W108" s="7">
        <v>16.899999618530273</v>
      </c>
      <c r="X108" s="7">
        <v>16.995927810668945</v>
      </c>
      <c r="Y108" s="7">
        <v>17.700004577636719</v>
      </c>
      <c r="Z108" s="7">
        <v>16.961069107055664</v>
      </c>
      <c r="AA108" s="7">
        <v>18.767154693603516</v>
      </c>
      <c r="AB108" s="7">
        <v>20.230007171630859</v>
      </c>
      <c r="AC108" s="7">
        <v>20.953990936279297</v>
      </c>
      <c r="AD108" s="7">
        <v>20.704811096191406</v>
      </c>
      <c r="AE108" s="7">
        <v>20.694046020507813</v>
      </c>
      <c r="AG108" s="7">
        <f t="shared" si="1"/>
        <v>18.595416450500487</v>
      </c>
    </row>
    <row r="109" spans="1:33" x14ac:dyDescent="0.2">
      <c r="A109" s="5" t="s">
        <v>108</v>
      </c>
      <c r="B109" s="5" t="s">
        <v>301</v>
      </c>
      <c r="C109" s="7"/>
      <c r="D109" s="7"/>
      <c r="E109" s="7"/>
      <c r="F109" s="7"/>
      <c r="G109" s="7">
        <v>51.5</v>
      </c>
      <c r="H109" s="7"/>
      <c r="I109" s="7"/>
      <c r="J109" s="7"/>
      <c r="K109" s="7">
        <v>60.181003570556641</v>
      </c>
      <c r="L109" s="7">
        <v>61.081005096435547</v>
      </c>
      <c r="M109" s="7">
        <v>63.820377349853516</v>
      </c>
      <c r="N109" s="7">
        <v>62.611331939697266</v>
      </c>
      <c r="O109" s="7">
        <v>62.769878387451172</v>
      </c>
      <c r="P109" s="7">
        <v>64.32647705078125</v>
      </c>
      <c r="Q109" s="7">
        <v>63.963081359863281</v>
      </c>
      <c r="R109" s="7">
        <v>63.516365051269531</v>
      </c>
      <c r="S109" s="7">
        <v>57.832328796386719</v>
      </c>
      <c r="T109" s="7">
        <v>55.099998474121094</v>
      </c>
      <c r="U109" s="7">
        <v>56.099998474121094</v>
      </c>
      <c r="V109" s="7">
        <v>55.599998474121094</v>
      </c>
      <c r="W109" s="7">
        <v>55.799999237060547</v>
      </c>
      <c r="X109" s="7">
        <v>56.599998474121094</v>
      </c>
      <c r="Y109" s="7">
        <v>56.299999237060547</v>
      </c>
      <c r="Z109" s="7">
        <v>55.200000762939453</v>
      </c>
      <c r="AA109" s="7">
        <v>52.200000762939453</v>
      </c>
      <c r="AB109" s="7">
        <v>51</v>
      </c>
      <c r="AC109" s="7">
        <v>50.5</v>
      </c>
      <c r="AD109" s="7"/>
      <c r="AE109" s="7"/>
      <c r="AG109" s="7">
        <f t="shared" si="1"/>
        <v>55.931698885830968</v>
      </c>
    </row>
    <row r="110" spans="1:33" x14ac:dyDescent="0.2">
      <c r="A110" s="5" t="s">
        <v>119</v>
      </c>
      <c r="B110" s="5" t="s">
        <v>313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>
        <v>91.199996948242188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G110" s="7" t="e">
        <f t="shared" si="1"/>
        <v>#DIV/0!</v>
      </c>
    </row>
    <row r="111" spans="1:33" x14ac:dyDescent="0.2">
      <c r="A111" s="5" t="s">
        <v>116</v>
      </c>
      <c r="B111" s="5" t="s">
        <v>310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>
        <v>62.599998474121094</v>
      </c>
      <c r="S111" s="7"/>
      <c r="T111" s="7"/>
      <c r="U111" s="7"/>
      <c r="V111" s="7"/>
      <c r="W111" s="7">
        <v>60.299999237060547</v>
      </c>
      <c r="X111" s="7"/>
      <c r="Y111" s="7"/>
      <c r="Z111" s="7"/>
      <c r="AA111" s="7">
        <v>61.200000762939453</v>
      </c>
      <c r="AB111" s="7"/>
      <c r="AC111" s="7"/>
      <c r="AD111" s="7">
        <v>60.099998474121094</v>
      </c>
      <c r="AE111" s="7">
        <v>62.900001525878906</v>
      </c>
      <c r="AG111" s="7">
        <f t="shared" si="1"/>
        <v>61.366666158040367</v>
      </c>
    </row>
    <row r="112" spans="1:33" x14ac:dyDescent="0.2">
      <c r="A112" s="5" t="s">
        <v>124</v>
      </c>
      <c r="B112" s="5" t="s">
        <v>318</v>
      </c>
      <c r="C112" s="7"/>
      <c r="D112" s="7"/>
      <c r="E112" s="7"/>
      <c r="F112" s="7"/>
      <c r="G112" s="7">
        <v>43.099998474121094</v>
      </c>
      <c r="H112" s="7"/>
      <c r="I112" s="7"/>
      <c r="J112" s="7">
        <v>34.599998474121094</v>
      </c>
      <c r="K112" s="7"/>
      <c r="L112" s="7"/>
      <c r="M112" s="7">
        <v>35.799999237060547</v>
      </c>
      <c r="N112" s="7">
        <v>32.900001525878906</v>
      </c>
      <c r="O112" s="7"/>
      <c r="P112" s="7"/>
      <c r="Q112" s="7">
        <v>26.700000762939453</v>
      </c>
      <c r="R112" s="7"/>
      <c r="S112" s="7"/>
      <c r="T112" s="7"/>
      <c r="U112" s="7">
        <v>18.200000762939453</v>
      </c>
      <c r="V112" s="7"/>
      <c r="W112" s="7">
        <v>35.799999237060547</v>
      </c>
      <c r="X112" s="7">
        <v>31.700000762939453</v>
      </c>
      <c r="Y112" s="7">
        <v>36.799999237060547</v>
      </c>
      <c r="Z112" s="7">
        <v>36</v>
      </c>
      <c r="AA112" s="7"/>
      <c r="AB112" s="7"/>
      <c r="AC112" s="7"/>
      <c r="AD112" s="7"/>
      <c r="AE112" s="7"/>
      <c r="AG112" s="7">
        <f t="shared" si="1"/>
        <v>31.7</v>
      </c>
    </row>
    <row r="113" spans="1:33" x14ac:dyDescent="0.2">
      <c r="A113" s="5" t="s">
        <v>131</v>
      </c>
      <c r="B113" s="5" t="s">
        <v>325</v>
      </c>
      <c r="C113" s="7"/>
      <c r="D113" s="7"/>
      <c r="E113" s="7"/>
      <c r="F113" s="7"/>
      <c r="G113" s="7"/>
      <c r="H113" s="7">
        <v>78.400001525878906</v>
      </c>
      <c r="I113" s="7"/>
      <c r="J113" s="7"/>
      <c r="K113" s="7"/>
      <c r="L113" s="7"/>
      <c r="M113" s="7"/>
      <c r="N113" s="7">
        <v>75.400001525878906</v>
      </c>
      <c r="O113" s="7"/>
      <c r="P113" s="7">
        <v>73.599998474121094</v>
      </c>
      <c r="Q113" s="7"/>
      <c r="R113" s="7"/>
      <c r="S113" s="7"/>
      <c r="T113" s="7"/>
      <c r="U113" s="7"/>
      <c r="V113" s="7"/>
      <c r="W113" s="7">
        <v>74</v>
      </c>
      <c r="X113" s="7"/>
      <c r="Y113" s="7"/>
      <c r="Z113" s="7"/>
      <c r="AA113" s="7"/>
      <c r="AB113" s="7"/>
      <c r="AC113" s="7"/>
      <c r="AD113" s="7"/>
      <c r="AE113" s="7"/>
      <c r="AG113" s="7">
        <f t="shared" si="1"/>
        <v>74</v>
      </c>
    </row>
    <row r="114" spans="1:33" x14ac:dyDescent="0.2">
      <c r="A114" s="5" t="s">
        <v>129</v>
      </c>
      <c r="B114" s="5" t="s">
        <v>323</v>
      </c>
      <c r="C114" s="7">
        <v>12.415329933166504</v>
      </c>
      <c r="D114" s="7">
        <v>11.426259994506836</v>
      </c>
      <c r="E114" s="7">
        <v>11.385290145874023</v>
      </c>
      <c r="F114" s="7">
        <v>11.757710456848145</v>
      </c>
      <c r="G114" s="7">
        <v>12.390959739685059</v>
      </c>
      <c r="H114" s="7">
        <v>12.700539588928223</v>
      </c>
      <c r="I114" s="7">
        <v>12.256560325622559</v>
      </c>
      <c r="J114" s="7">
        <v>12.374059677124023</v>
      </c>
      <c r="K114" s="7">
        <v>11.646849632263184</v>
      </c>
      <c r="L114" s="7">
        <v>11.493040084838867</v>
      </c>
      <c r="M114" s="7">
        <v>11.166139602661133</v>
      </c>
      <c r="N114" s="7">
        <v>11.600689888000488</v>
      </c>
      <c r="O114" s="7">
        <v>11.67119026184082</v>
      </c>
      <c r="P114" s="7">
        <v>11.636509895324707</v>
      </c>
      <c r="Q114" s="7">
        <v>12.042269706726074</v>
      </c>
      <c r="R114" s="7">
        <v>13.668370246887207</v>
      </c>
      <c r="S114" s="7">
        <v>13.894700050354004</v>
      </c>
      <c r="T114" s="7">
        <v>14.090579986572266</v>
      </c>
      <c r="U114" s="7">
        <v>14.344539642333984</v>
      </c>
      <c r="V114" s="7">
        <v>14.827810287475586</v>
      </c>
      <c r="W114" s="7">
        <v>15.089249610900879</v>
      </c>
      <c r="X114" s="7">
        <v>15.151289939880371</v>
      </c>
      <c r="Y114" s="7">
        <v>15.362910270690918</v>
      </c>
      <c r="Z114" s="7">
        <v>16.051860809326172</v>
      </c>
      <c r="AA114" s="7">
        <v>16.615320205688477</v>
      </c>
      <c r="AB114" s="7">
        <v>16.841320037841797</v>
      </c>
      <c r="AC114" s="7">
        <v>16.813959121704102</v>
      </c>
      <c r="AD114" s="7">
        <v>16.734800338745117</v>
      </c>
      <c r="AE114" s="7">
        <v>16.691909790039063</v>
      </c>
      <c r="AG114" s="7">
        <f t="shared" si="1"/>
        <v>15.085268280722879</v>
      </c>
    </row>
    <row r="115" spans="1:33" x14ac:dyDescent="0.2">
      <c r="A115" s="5" t="s">
        <v>125</v>
      </c>
      <c r="B115" s="5" t="s">
        <v>319</v>
      </c>
      <c r="C115" s="7"/>
      <c r="D115" s="7"/>
      <c r="E115" s="7"/>
      <c r="F115" s="7"/>
      <c r="G115" s="7"/>
      <c r="H115" s="7"/>
      <c r="I115" s="7">
        <v>16.200000762939453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G115" s="7" t="e">
        <f t="shared" si="1"/>
        <v>#DIV/0!</v>
      </c>
    </row>
    <row r="116" spans="1:33" x14ac:dyDescent="0.2">
      <c r="A116" s="5" t="s">
        <v>132</v>
      </c>
      <c r="B116" s="5" t="s">
        <v>326</v>
      </c>
      <c r="C116" s="7">
        <v>19.613590240478516</v>
      </c>
      <c r="D116" s="7">
        <v>20.275979995727539</v>
      </c>
      <c r="E116" s="7">
        <v>21.005699157714844</v>
      </c>
      <c r="F116" s="7">
        <v>20.974269866943359</v>
      </c>
      <c r="G116" s="7">
        <v>20.853050231933594</v>
      </c>
      <c r="H116" s="7">
        <v>20.815729141235352</v>
      </c>
      <c r="I116" s="7">
        <v>20.861770629882813</v>
      </c>
      <c r="J116" s="7">
        <v>19.998569488525391</v>
      </c>
      <c r="K116" s="7">
        <v>20.3626708984375</v>
      </c>
      <c r="L116" s="7">
        <v>21.011800765991211</v>
      </c>
      <c r="M116" s="7">
        <v>20.621419906616211</v>
      </c>
      <c r="N116" s="7">
        <v>19.73246955871582</v>
      </c>
      <c r="O116" s="7">
        <v>19.26963996887207</v>
      </c>
      <c r="P116" s="7">
        <v>19.249719619750977</v>
      </c>
      <c r="Q116" s="7">
        <v>19.230770111083984</v>
      </c>
      <c r="R116" s="7">
        <v>18.536970138549805</v>
      </c>
      <c r="S116" s="7">
        <v>17.687070846557617</v>
      </c>
      <c r="T116" s="7">
        <v>17.200830459594727</v>
      </c>
      <c r="U116" s="7">
        <v>17.280210494995117</v>
      </c>
      <c r="V116" s="7">
        <v>16.441350936889648</v>
      </c>
      <c r="W116" s="7">
        <v>16.228870391845703</v>
      </c>
      <c r="X116" s="7">
        <v>16.72627067565918</v>
      </c>
      <c r="Y116" s="7">
        <v>16.624879837036133</v>
      </c>
      <c r="Z116" s="7">
        <v>15.402580261230469</v>
      </c>
      <c r="AA116" s="7">
        <v>15.269000053405762</v>
      </c>
      <c r="AB116" s="7">
        <v>14.764690399169922</v>
      </c>
      <c r="AC116" s="7">
        <v>17.886480331420898</v>
      </c>
      <c r="AD116" s="7">
        <v>18.536369323730469</v>
      </c>
      <c r="AE116" s="7">
        <v>18.21320915222168</v>
      </c>
      <c r="AG116" s="7">
        <f t="shared" si="1"/>
        <v>16.560247681357644</v>
      </c>
    </row>
    <row r="117" spans="1:33" x14ac:dyDescent="0.2">
      <c r="A117" s="5" t="s">
        <v>128</v>
      </c>
      <c r="B117" s="5" t="s">
        <v>322</v>
      </c>
      <c r="C117" s="7"/>
      <c r="D117" s="7"/>
      <c r="E117" s="7"/>
      <c r="F117" s="7">
        <v>45.299999237060547</v>
      </c>
      <c r="G117" s="7"/>
      <c r="H117" s="7">
        <v>40.200000762939453</v>
      </c>
      <c r="I117" s="7">
        <v>40.299999237060547</v>
      </c>
      <c r="J117" s="7">
        <v>38.900001525878906</v>
      </c>
      <c r="K117" s="7">
        <v>40.099998474121094</v>
      </c>
      <c r="L117" s="7">
        <v>40</v>
      </c>
      <c r="M117" s="7">
        <v>48.5</v>
      </c>
      <c r="N117" s="7"/>
      <c r="O117" s="7"/>
      <c r="P117" s="7">
        <v>52.799999237060547</v>
      </c>
      <c r="Q117" s="7">
        <v>51.099998474121094</v>
      </c>
      <c r="R117" s="7">
        <v>50.200000762939453</v>
      </c>
      <c r="S117" s="7">
        <v>49.5</v>
      </c>
      <c r="T117" s="7">
        <v>49.200000762939453</v>
      </c>
      <c r="U117" s="7">
        <v>49.400001525878906</v>
      </c>
      <c r="V117" s="7">
        <v>45.337467193603516</v>
      </c>
      <c r="W117" s="7">
        <v>54</v>
      </c>
      <c r="X117" s="7">
        <v>55.737998962402344</v>
      </c>
      <c r="Y117" s="7">
        <v>56.299999237060547</v>
      </c>
      <c r="Z117" s="7"/>
      <c r="AA117" s="7">
        <v>53.379001617431641</v>
      </c>
      <c r="AB117" s="7"/>
      <c r="AC117" s="7"/>
      <c r="AD117" s="7"/>
      <c r="AE117" s="7"/>
      <c r="AG117" s="7">
        <f t="shared" si="1"/>
        <v>51.450496673583984</v>
      </c>
    </row>
    <row r="118" spans="1:33" x14ac:dyDescent="0.2">
      <c r="A118" s="5" t="s">
        <v>126</v>
      </c>
      <c r="B118" s="5" t="s">
        <v>320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>
        <v>85.400001525878906</v>
      </c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G118" s="7">
        <f t="shared" si="1"/>
        <v>85.400001525878906</v>
      </c>
    </row>
    <row r="119" spans="1:33" x14ac:dyDescent="0.2">
      <c r="A119" s="5" t="s">
        <v>127</v>
      </c>
      <c r="B119" s="5" t="s">
        <v>321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>
        <v>40.822288513183594</v>
      </c>
      <c r="X119" s="7"/>
      <c r="Y119" s="7">
        <v>36.774112701416016</v>
      </c>
      <c r="Z119" s="7"/>
      <c r="AA119" s="7"/>
      <c r="AB119" s="7"/>
      <c r="AC119" s="7"/>
      <c r="AD119" s="7"/>
      <c r="AE119" s="7"/>
      <c r="AG119" s="7">
        <f t="shared" si="1"/>
        <v>38.798200607299805</v>
      </c>
    </row>
    <row r="120" spans="1:33" x14ac:dyDescent="0.2">
      <c r="A120" s="5" t="s">
        <v>408</v>
      </c>
      <c r="B120" s="5" t="s">
        <v>307</v>
      </c>
      <c r="C120" s="7"/>
      <c r="D120" s="7"/>
      <c r="E120" s="7"/>
      <c r="F120" s="7"/>
      <c r="G120" s="7"/>
      <c r="H120" s="7"/>
      <c r="I120" s="7">
        <v>21.100000381469727</v>
      </c>
      <c r="J120" s="7">
        <v>12.300000190734863</v>
      </c>
      <c r="K120" s="7">
        <v>22.600000381469727</v>
      </c>
      <c r="L120" s="7">
        <v>25.5</v>
      </c>
      <c r="M120" s="7">
        <v>25.700000762939453</v>
      </c>
      <c r="N120" s="7">
        <v>29.899999618530273</v>
      </c>
      <c r="O120" s="7">
        <v>29.299999237060547</v>
      </c>
      <c r="P120" s="7">
        <v>27.299999237060547</v>
      </c>
      <c r="Q120" s="7">
        <v>24.600000381469727</v>
      </c>
      <c r="R120" s="7">
        <v>28.200000762939453</v>
      </c>
      <c r="S120" s="7">
        <v>29.200000762939453</v>
      </c>
      <c r="T120" s="7">
        <v>27.700000762939453</v>
      </c>
      <c r="U120" s="7">
        <v>28.200000762939453</v>
      </c>
      <c r="V120" s="7">
        <v>28.100000381469727</v>
      </c>
      <c r="W120" s="7">
        <v>28.5</v>
      </c>
      <c r="X120" s="7">
        <v>28.200000762939453</v>
      </c>
      <c r="Y120" s="7">
        <v>26.799999237060547</v>
      </c>
      <c r="Z120" s="7">
        <v>28.100000381469727</v>
      </c>
      <c r="AA120" s="7">
        <v>26.700000762939453</v>
      </c>
      <c r="AB120" s="7">
        <v>26.847085952758789</v>
      </c>
      <c r="AC120" s="7">
        <v>26.317909240722656</v>
      </c>
      <c r="AD120" s="7">
        <v>26.176570892333984</v>
      </c>
      <c r="AE120" s="7">
        <v>26.217960357666016</v>
      </c>
      <c r="AG120" s="7">
        <f t="shared" si="1"/>
        <v>27.867917320945047</v>
      </c>
    </row>
    <row r="121" spans="1:33" x14ac:dyDescent="0.2">
      <c r="A121" s="5" t="s">
        <v>130</v>
      </c>
      <c r="B121" s="5" t="s">
        <v>324</v>
      </c>
      <c r="C121" s="7">
        <v>11.345379829406738</v>
      </c>
      <c r="D121" s="7">
        <v>10.795740127563477</v>
      </c>
      <c r="E121" s="7">
        <v>10.304570198059082</v>
      </c>
      <c r="F121" s="7">
        <v>10.152279853820801</v>
      </c>
      <c r="G121" s="7">
        <v>9.7353973388671875</v>
      </c>
      <c r="H121" s="7">
        <v>9.3307275772094727</v>
      </c>
      <c r="I121" s="7">
        <v>8.7452468872070313</v>
      </c>
      <c r="J121" s="7">
        <v>8.2179136276245117</v>
      </c>
      <c r="K121" s="7">
        <v>8.2920236587524414</v>
      </c>
      <c r="L121" s="7">
        <v>7.8369908332824707</v>
      </c>
      <c r="M121" s="7">
        <v>7.3846192359924316</v>
      </c>
      <c r="N121" s="7">
        <v>7.155785083770752</v>
      </c>
      <c r="O121" s="7">
        <v>7.0643038749694824</v>
      </c>
      <c r="P121" s="7">
        <v>7.2974920272827148</v>
      </c>
      <c r="Q121" s="7">
        <v>7.3990740776062012</v>
      </c>
      <c r="R121" s="7">
        <v>7.4201850891113281</v>
      </c>
      <c r="S121" s="7">
        <v>8.459503173828125</v>
      </c>
      <c r="T121" s="7">
        <v>7.9966311454772949</v>
      </c>
      <c r="U121" s="7">
        <v>7.7803640365600586</v>
      </c>
      <c r="V121" s="7">
        <v>8.0806970596313477</v>
      </c>
      <c r="W121" s="7">
        <v>7.7176070213317871</v>
      </c>
      <c r="X121" s="7">
        <v>7.0133399963378906</v>
      </c>
      <c r="Y121" s="7">
        <v>6.944699764251709</v>
      </c>
      <c r="Z121" s="7">
        <v>6.9841642379760742</v>
      </c>
      <c r="AA121" s="7">
        <v>7.2098908424377441</v>
      </c>
      <c r="AB121" s="7">
        <v>7.0238552093505859</v>
      </c>
      <c r="AC121" s="7">
        <v>6.954617977142334</v>
      </c>
      <c r="AD121" s="7">
        <v>6.526404857635498</v>
      </c>
      <c r="AE121" s="7">
        <v>6.4541349411010742</v>
      </c>
      <c r="AG121" s="7">
        <f t="shared" si="1"/>
        <v>7.5119034160267226</v>
      </c>
    </row>
    <row r="122" spans="1:33" x14ac:dyDescent="0.2">
      <c r="A122" s="5" t="s">
        <v>133</v>
      </c>
      <c r="B122" s="5" t="s">
        <v>327</v>
      </c>
      <c r="C122" s="7"/>
      <c r="D122" s="7"/>
      <c r="E122" s="7"/>
      <c r="F122" s="7">
        <v>13</v>
      </c>
      <c r="G122" s="7"/>
      <c r="H122" s="7"/>
      <c r="I122" s="7">
        <v>12.800000190734863</v>
      </c>
      <c r="J122" s="7"/>
      <c r="K122" s="7"/>
      <c r="L122" s="7"/>
      <c r="M122" s="7">
        <v>11.399999618530273</v>
      </c>
      <c r="N122" s="7"/>
      <c r="O122" s="7"/>
      <c r="P122" s="7"/>
      <c r="Q122" s="7"/>
      <c r="R122" s="7"/>
      <c r="S122" s="7"/>
      <c r="T122" s="7"/>
      <c r="U122" s="7"/>
      <c r="V122" s="7"/>
      <c r="W122" s="7">
        <v>3.5</v>
      </c>
      <c r="X122" s="7"/>
      <c r="Y122" s="7"/>
      <c r="Z122" s="7"/>
      <c r="AA122" s="7"/>
      <c r="AB122" s="7"/>
      <c r="AC122" s="7"/>
      <c r="AD122" s="7"/>
      <c r="AE122" s="7"/>
      <c r="AG122" s="7">
        <f t="shared" si="1"/>
        <v>3.5</v>
      </c>
    </row>
    <row r="123" spans="1:33" x14ac:dyDescent="0.2">
      <c r="A123" s="5" t="s">
        <v>134</v>
      </c>
      <c r="B123" s="5" t="s">
        <v>328</v>
      </c>
      <c r="C123" s="7"/>
      <c r="D123" s="7"/>
      <c r="E123" s="7"/>
      <c r="F123" s="7"/>
      <c r="G123" s="7"/>
      <c r="H123" s="7">
        <v>65.900001525878906</v>
      </c>
      <c r="I123" s="7">
        <v>65.900001525878906</v>
      </c>
      <c r="J123" s="7">
        <v>63.599998474121094</v>
      </c>
      <c r="K123" s="7">
        <v>64.800003051757813</v>
      </c>
      <c r="L123" s="7">
        <v>64.800003051757813</v>
      </c>
      <c r="M123" s="7">
        <v>64.400001525878906</v>
      </c>
      <c r="N123" s="7">
        <v>64.400001525878906</v>
      </c>
      <c r="O123" s="7">
        <v>60.139999389648438</v>
      </c>
      <c r="P123" s="7">
        <v>60.099998474121094</v>
      </c>
      <c r="Q123" s="7">
        <v>62.110000610351563</v>
      </c>
      <c r="R123" s="7">
        <v>62.099998474121094</v>
      </c>
      <c r="S123" s="7">
        <v>62.740001678466797</v>
      </c>
      <c r="T123" s="7">
        <v>62.590000152587891</v>
      </c>
      <c r="U123" s="7">
        <v>64.029998779296875</v>
      </c>
      <c r="V123" s="7">
        <v>64.19000244140625</v>
      </c>
      <c r="W123" s="7">
        <v>64.580001831054688</v>
      </c>
      <c r="X123" s="7">
        <v>63.970001220703125</v>
      </c>
      <c r="Y123" s="7"/>
      <c r="Z123" s="7">
        <v>61.150001525878906</v>
      </c>
      <c r="AA123" s="7">
        <v>60.860000610351563</v>
      </c>
      <c r="AB123" s="7">
        <v>61.270000457763672</v>
      </c>
      <c r="AC123" s="7"/>
      <c r="AD123" s="7"/>
      <c r="AE123" s="7">
        <v>57.599998474121094</v>
      </c>
      <c r="AG123" s="7">
        <f t="shared" si="1"/>
        <v>62.748000717163087</v>
      </c>
    </row>
    <row r="124" spans="1:33" x14ac:dyDescent="0.2">
      <c r="A124" s="5" t="s">
        <v>135</v>
      </c>
      <c r="B124" s="5" t="s">
        <v>329</v>
      </c>
      <c r="C124" s="7"/>
      <c r="D124" s="7">
        <v>37.400001525878906</v>
      </c>
      <c r="E124" s="7">
        <v>34.900001525878906</v>
      </c>
      <c r="F124" s="7">
        <v>33.099998474121094</v>
      </c>
      <c r="G124" s="7">
        <v>31.299999237060547</v>
      </c>
      <c r="H124" s="7">
        <v>32.5</v>
      </c>
      <c r="I124" s="7">
        <v>32.799999237060547</v>
      </c>
      <c r="J124" s="7">
        <v>33.799999237060547</v>
      </c>
      <c r="K124" s="7">
        <v>33.099998474121094</v>
      </c>
      <c r="L124" s="7">
        <v>33.200000762939453</v>
      </c>
      <c r="M124" s="7">
        <v>33.299999237060547</v>
      </c>
      <c r="N124" s="7">
        <v>33.5</v>
      </c>
      <c r="O124" s="7">
        <v>34.700000762939453</v>
      </c>
      <c r="P124" s="7">
        <v>35.099998474121094</v>
      </c>
      <c r="Q124" s="7">
        <v>34.200000762939453</v>
      </c>
      <c r="R124" s="7">
        <v>35</v>
      </c>
      <c r="S124" s="7">
        <v>33.799999237060547</v>
      </c>
      <c r="T124" s="7">
        <v>30.899999618530273</v>
      </c>
      <c r="U124" s="7">
        <v>30.600000381469727</v>
      </c>
      <c r="V124" s="7">
        <v>35.299999237060547</v>
      </c>
      <c r="W124" s="7">
        <v>34.099998474121094</v>
      </c>
      <c r="X124" s="7">
        <v>32.400001525878906</v>
      </c>
      <c r="Y124" s="7">
        <v>31.899999618530273</v>
      </c>
      <c r="Z124" s="7">
        <v>32.299999237060547</v>
      </c>
      <c r="AA124" s="7">
        <v>32.700000762939453</v>
      </c>
      <c r="AB124" s="7">
        <v>33.377998352050781</v>
      </c>
      <c r="AC124" s="7">
        <v>35.069999694824219</v>
      </c>
      <c r="AD124" s="7">
        <v>36.339000701904297</v>
      </c>
      <c r="AE124" s="7"/>
      <c r="AG124" s="7">
        <f t="shared" si="1"/>
        <v>32.943454222245649</v>
      </c>
    </row>
    <row r="125" spans="1:33" x14ac:dyDescent="0.2">
      <c r="A125" s="5" t="s">
        <v>142</v>
      </c>
      <c r="B125" s="5" t="s">
        <v>336</v>
      </c>
      <c r="C125" s="7">
        <v>31.899999618530273</v>
      </c>
      <c r="D125" s="7">
        <v>32.099998474121094</v>
      </c>
      <c r="E125" s="7">
        <v>31.5</v>
      </c>
      <c r="F125" s="7">
        <v>31.5</v>
      </c>
      <c r="G125" s="7">
        <v>38.099998474121094</v>
      </c>
      <c r="H125" s="7"/>
      <c r="I125" s="7">
        <v>41.900001525878906</v>
      </c>
      <c r="J125" s="7">
        <v>53.599998474121094</v>
      </c>
      <c r="K125" s="7">
        <v>54.200000762939453</v>
      </c>
      <c r="L125" s="7">
        <v>53.599998474121094</v>
      </c>
      <c r="M125" s="7"/>
      <c r="N125" s="7">
        <v>55.099998474121094</v>
      </c>
      <c r="O125" s="7">
        <v>57</v>
      </c>
      <c r="P125" s="7">
        <v>55.900001525878906</v>
      </c>
      <c r="Q125" s="7">
        <v>57</v>
      </c>
      <c r="R125" s="7">
        <v>53.299999237060547</v>
      </c>
      <c r="S125" s="7">
        <v>53.700000762939453</v>
      </c>
      <c r="T125" s="7">
        <v>51.900001525878906</v>
      </c>
      <c r="U125" s="7">
        <v>49.5</v>
      </c>
      <c r="V125" s="7">
        <v>51.700000762939453</v>
      </c>
      <c r="W125" s="7">
        <v>48.299999237060547</v>
      </c>
      <c r="X125" s="7">
        <v>47.299999237060547</v>
      </c>
      <c r="Y125" s="7">
        <v>48.700000762939453</v>
      </c>
      <c r="Z125" s="7">
        <v>45.099998474121094</v>
      </c>
      <c r="AA125" s="7">
        <v>44.400001525878906</v>
      </c>
      <c r="AB125" s="7">
        <v>43.588001251220703</v>
      </c>
      <c r="AC125" s="7">
        <v>45.029998779296875</v>
      </c>
      <c r="AD125" s="7">
        <v>44.563999176025391</v>
      </c>
      <c r="AE125" s="7">
        <v>44.722999572753906</v>
      </c>
      <c r="AG125" s="7">
        <f t="shared" si="1"/>
        <v>48.862545707009055</v>
      </c>
    </row>
    <row r="126" spans="1:33" x14ac:dyDescent="0.2">
      <c r="A126" s="5" t="s">
        <v>136</v>
      </c>
      <c r="B126" s="5" t="s">
        <v>330</v>
      </c>
      <c r="C126" s="7">
        <v>41</v>
      </c>
      <c r="D126" s="7">
        <v>41</v>
      </c>
      <c r="E126" s="7">
        <v>42.400001525878906</v>
      </c>
      <c r="F126" s="7">
        <v>41</v>
      </c>
      <c r="G126" s="7">
        <v>41.299999237060547</v>
      </c>
      <c r="H126" s="7">
        <v>41.400001525878906</v>
      </c>
      <c r="I126" s="7">
        <v>47.900001525878906</v>
      </c>
      <c r="J126" s="7">
        <v>50.799999237060547</v>
      </c>
      <c r="K126" s="7">
        <v>47.5</v>
      </c>
      <c r="L126" s="7">
        <v>48.799999237060547</v>
      </c>
      <c r="M126" s="7">
        <v>49.299999237060547</v>
      </c>
      <c r="N126" s="7">
        <v>50.799999237060547</v>
      </c>
      <c r="O126" s="7">
        <v>37</v>
      </c>
      <c r="P126" s="7">
        <v>40.200000762939453</v>
      </c>
      <c r="Q126" s="7">
        <v>58.400001525878906</v>
      </c>
      <c r="R126" s="7">
        <v>57.400001525878906</v>
      </c>
      <c r="S126" s="7">
        <v>55.900001525878906</v>
      </c>
      <c r="T126" s="7">
        <v>54.700000762939453</v>
      </c>
      <c r="U126" s="7">
        <v>54.099998474121094</v>
      </c>
      <c r="V126" s="7">
        <v>53.599998474121094</v>
      </c>
      <c r="W126" s="7">
        <v>53.5</v>
      </c>
      <c r="X126" s="7">
        <v>53.099998474121094</v>
      </c>
      <c r="Y126" s="7">
        <v>51.799999237060547</v>
      </c>
      <c r="Z126" s="7">
        <v>50.91400146484375</v>
      </c>
      <c r="AA126" s="7">
        <v>51.367000579833984</v>
      </c>
      <c r="AB126" s="7">
        <v>50.370998382568359</v>
      </c>
      <c r="AC126" s="7">
        <v>50.881999969482422</v>
      </c>
      <c r="AD126" s="7">
        <v>52.144001007080078</v>
      </c>
      <c r="AE126" s="7">
        <v>52.248001098632813</v>
      </c>
      <c r="AG126" s="7">
        <f t="shared" si="1"/>
        <v>53.341090809215196</v>
      </c>
    </row>
    <row r="127" spans="1:33" x14ac:dyDescent="0.2">
      <c r="A127" s="5" t="s">
        <v>137</v>
      </c>
      <c r="B127" s="5" t="s">
        <v>331</v>
      </c>
      <c r="C127" s="7"/>
      <c r="D127" s="7"/>
      <c r="E127" s="7"/>
      <c r="F127" s="7"/>
      <c r="G127" s="7"/>
      <c r="H127" s="7"/>
      <c r="I127" s="7"/>
      <c r="J127" s="7"/>
      <c r="K127" s="7">
        <v>50.099998474121094</v>
      </c>
      <c r="L127" s="7">
        <v>50.400001525878906</v>
      </c>
      <c r="M127" s="7">
        <v>49.299999237060547</v>
      </c>
      <c r="N127" s="7">
        <v>50.5</v>
      </c>
      <c r="O127" s="7">
        <v>51.299999237060547</v>
      </c>
      <c r="P127" s="7">
        <v>49.900001525878906</v>
      </c>
      <c r="Q127" s="7">
        <v>47.900001525878906</v>
      </c>
      <c r="R127" s="7">
        <v>49.5</v>
      </c>
      <c r="S127" s="7">
        <v>48.900001525878906</v>
      </c>
      <c r="T127" s="7">
        <v>47.799999237060547</v>
      </c>
      <c r="U127" s="7">
        <v>47.599998474121094</v>
      </c>
      <c r="V127" s="7">
        <v>46.700000762939453</v>
      </c>
      <c r="W127" s="7">
        <v>45.599998474121094</v>
      </c>
      <c r="X127" s="7">
        <v>44.799999237060547</v>
      </c>
      <c r="Y127" s="7">
        <v>42.799999237060547</v>
      </c>
      <c r="Z127" s="7">
        <v>41.099998474121094</v>
      </c>
      <c r="AA127" s="7">
        <v>41.799999237060547</v>
      </c>
      <c r="AB127" s="7"/>
      <c r="AC127" s="7">
        <v>38.200000762939453</v>
      </c>
      <c r="AD127" s="7">
        <v>37.5</v>
      </c>
      <c r="AE127" s="7">
        <v>36.099998474121094</v>
      </c>
      <c r="AG127" s="7">
        <f t="shared" si="1"/>
        <v>45.659999465942384</v>
      </c>
    </row>
    <row r="128" spans="1:33" x14ac:dyDescent="0.2">
      <c r="A128" s="5" t="s">
        <v>139</v>
      </c>
      <c r="B128" s="5" t="s">
        <v>333</v>
      </c>
      <c r="C128" s="7">
        <v>27.200000762939453</v>
      </c>
      <c r="D128" s="7">
        <v>30</v>
      </c>
      <c r="E128" s="7">
        <v>30.200000762939453</v>
      </c>
      <c r="F128" s="7">
        <v>31.166910171508789</v>
      </c>
      <c r="G128" s="7">
        <v>30.938739776611328</v>
      </c>
      <c r="H128" s="7">
        <v>29.714019775390625</v>
      </c>
      <c r="I128" s="7">
        <v>29.494609832763672</v>
      </c>
      <c r="J128" s="7">
        <v>28.363779067993164</v>
      </c>
      <c r="K128" s="7">
        <v>27.5</v>
      </c>
      <c r="L128" s="7">
        <v>26.799999237060547</v>
      </c>
      <c r="M128" s="7">
        <v>27.394769668579102</v>
      </c>
      <c r="N128" s="7">
        <v>28.019859313964844</v>
      </c>
      <c r="O128" s="7">
        <v>28.138669967651367</v>
      </c>
      <c r="P128" s="7">
        <v>27.265270233154297</v>
      </c>
      <c r="Q128" s="7">
        <v>26.731069564819336</v>
      </c>
      <c r="R128" s="7">
        <v>25.753469467163086</v>
      </c>
      <c r="S128" s="7">
        <v>24.430740356445313</v>
      </c>
      <c r="T128" s="7">
        <v>23.457269668579102</v>
      </c>
      <c r="U128" s="7">
        <v>22.919839859008789</v>
      </c>
      <c r="V128" s="7">
        <v>22.737430572509766</v>
      </c>
      <c r="W128" s="7">
        <v>22.976449966430664</v>
      </c>
      <c r="X128" s="7">
        <v>22.864770889282227</v>
      </c>
      <c r="Y128" s="7">
        <v>22.394319534301758</v>
      </c>
      <c r="Z128" s="7">
        <v>21.830160140991211</v>
      </c>
      <c r="AA128" s="7">
        <v>21.353090286254883</v>
      </c>
      <c r="AB128" s="7">
        <v>21.232320785522461</v>
      </c>
      <c r="AC128" s="7">
        <v>20.716960906982422</v>
      </c>
      <c r="AD128" s="7">
        <v>20.414579391479492</v>
      </c>
      <c r="AE128" s="7">
        <v>20.274299621582031</v>
      </c>
      <c r="AG128" s="7">
        <f t="shared" si="1"/>
        <v>22.904532866044477</v>
      </c>
    </row>
    <row r="129" spans="1:33" x14ac:dyDescent="0.2">
      <c r="A129" s="5" t="s">
        <v>141</v>
      </c>
      <c r="B129" s="5" t="s">
        <v>335</v>
      </c>
      <c r="C129" s="7">
        <v>29.390300750732422</v>
      </c>
      <c r="D129" s="7">
        <v>30.582309722900391</v>
      </c>
      <c r="E129" s="7">
        <v>25.659719467163086</v>
      </c>
      <c r="F129" s="7">
        <v>26.300300598144531</v>
      </c>
      <c r="G129" s="7">
        <v>27.616870880126953</v>
      </c>
      <c r="H129" s="7">
        <v>27.907609939575195</v>
      </c>
      <c r="I129" s="7">
        <v>28.565919876098633</v>
      </c>
      <c r="J129" s="7">
        <v>28.855489730834961</v>
      </c>
      <c r="K129" s="7">
        <v>28.052600860595703</v>
      </c>
      <c r="L129" s="7">
        <v>26.909219741821289</v>
      </c>
      <c r="M129" s="7">
        <v>25.979690551757813</v>
      </c>
      <c r="N129" s="7">
        <v>27.494810104370117</v>
      </c>
      <c r="O129" s="7">
        <v>27.159749984741211</v>
      </c>
      <c r="P129" s="7">
        <v>27.154970169067383</v>
      </c>
      <c r="Q129" s="7">
        <v>26.450790405273438</v>
      </c>
      <c r="R129" s="7">
        <v>25.816640853881836</v>
      </c>
      <c r="S129" s="7">
        <v>24.700490951538086</v>
      </c>
      <c r="T129" s="7">
        <v>24.796760559082031</v>
      </c>
      <c r="U129" s="7">
        <v>24.327680587768555</v>
      </c>
      <c r="V129" s="7">
        <v>24.032180786132813</v>
      </c>
      <c r="W129" s="7">
        <v>23.123760223388672</v>
      </c>
      <c r="X129" s="7">
        <v>21.539100646972656</v>
      </c>
      <c r="Y129" s="7">
        <v>22.087150573730469</v>
      </c>
      <c r="Z129" s="7">
        <v>21.941019058227539</v>
      </c>
      <c r="AA129" s="7">
        <v>19.745859146118164</v>
      </c>
      <c r="AB129" s="7">
        <v>18.422950744628906</v>
      </c>
      <c r="AC129" s="7">
        <v>17.762979507446289</v>
      </c>
      <c r="AD129" s="7">
        <v>16.984819412231445</v>
      </c>
      <c r="AE129" s="7">
        <v>16.648519515991211</v>
      </c>
      <c r="AG129" s="7">
        <f t="shared" si="1"/>
        <v>22.775781284679066</v>
      </c>
    </row>
    <row r="130" spans="1:33" x14ac:dyDescent="0.2">
      <c r="A130" s="5" t="s">
        <v>140</v>
      </c>
      <c r="B130" s="5" t="s">
        <v>334</v>
      </c>
      <c r="C130" s="7"/>
      <c r="D130" s="7">
        <v>15.399999618530273</v>
      </c>
      <c r="E130" s="7">
        <v>14.899999618530273</v>
      </c>
      <c r="F130" s="7">
        <v>14.800000190734863</v>
      </c>
      <c r="G130" s="7">
        <v>15.100000381469727</v>
      </c>
      <c r="H130" s="7">
        <v>15.100000381469727</v>
      </c>
      <c r="I130" s="7">
        <v>14.800000190734863</v>
      </c>
      <c r="J130" s="7">
        <v>14.699999809265137</v>
      </c>
      <c r="K130" s="7">
        <v>14</v>
      </c>
      <c r="L130" s="7">
        <v>14.600000381469727</v>
      </c>
      <c r="M130" s="7">
        <v>14.5</v>
      </c>
      <c r="N130" s="7">
        <v>13.899999618530273</v>
      </c>
      <c r="O130" s="7">
        <v>14.899999618530273</v>
      </c>
      <c r="P130" s="7">
        <v>14.199999809265137</v>
      </c>
      <c r="Q130" s="7">
        <v>14.5</v>
      </c>
      <c r="R130" s="7">
        <v>14.600000381469727</v>
      </c>
      <c r="S130" s="7">
        <v>15</v>
      </c>
      <c r="T130" s="7">
        <v>15.399999618530273</v>
      </c>
      <c r="U130" s="7">
        <v>14.600000381469727</v>
      </c>
      <c r="V130" s="7">
        <v>14.699999809265137</v>
      </c>
      <c r="W130" s="7">
        <v>14.699999809265137</v>
      </c>
      <c r="X130" s="7">
        <v>15.300000190734863</v>
      </c>
      <c r="Y130" s="7">
        <v>15.600000381469727</v>
      </c>
      <c r="Z130" s="7"/>
      <c r="AA130" s="7"/>
      <c r="AB130" s="7"/>
      <c r="AC130" s="7"/>
      <c r="AD130" s="7"/>
      <c r="AE130" s="7"/>
      <c r="AG130" s="7">
        <f t="shared" si="1"/>
        <v>14.987500071525574</v>
      </c>
    </row>
    <row r="131" spans="1:33" x14ac:dyDescent="0.2">
      <c r="A131" s="5" t="s">
        <v>145</v>
      </c>
      <c r="B131" s="5" t="s">
        <v>339</v>
      </c>
      <c r="C131" s="7"/>
      <c r="D131" s="7"/>
      <c r="E131" s="7"/>
      <c r="F131" s="7"/>
      <c r="G131" s="7"/>
      <c r="H131" s="7"/>
      <c r="I131" s="7"/>
      <c r="J131" s="7">
        <v>1.2000000476837158</v>
      </c>
      <c r="K131" s="7"/>
      <c r="L131" s="7"/>
      <c r="M131" s="7"/>
      <c r="N131" s="7"/>
      <c r="O131" s="7"/>
      <c r="P131" s="7"/>
      <c r="Q131" s="7">
        <v>1.1000000238418579</v>
      </c>
      <c r="R131" s="7"/>
      <c r="S131" s="7">
        <v>0.80000001192092896</v>
      </c>
      <c r="T131" s="7">
        <v>0.68542963266372681</v>
      </c>
      <c r="U131" s="7">
        <v>0.46170374751091003</v>
      </c>
      <c r="V131" s="7">
        <v>0.3964308500289917</v>
      </c>
      <c r="W131" s="7"/>
      <c r="X131" s="7">
        <v>0.52278625965118408</v>
      </c>
      <c r="Y131" s="7">
        <v>0.54004156589508057</v>
      </c>
      <c r="Z131" s="7">
        <v>0.49443620443344116</v>
      </c>
      <c r="AA131" s="7">
        <v>0.49737352132797241</v>
      </c>
      <c r="AB131" s="7">
        <v>0.42290547490119934</v>
      </c>
      <c r="AC131" s="7">
        <v>0.40834280848503113</v>
      </c>
      <c r="AD131" s="7">
        <v>0.40000000596046448</v>
      </c>
      <c r="AE131" s="7">
        <v>0.40000000596046448</v>
      </c>
      <c r="AG131" s="7">
        <f t="shared" ref="AG131:AG178" si="2">AVERAGE($R131:$AB131)</f>
        <v>0.53567858537038171</v>
      </c>
    </row>
    <row r="132" spans="1:33" x14ac:dyDescent="0.2">
      <c r="A132" s="5" t="s">
        <v>146</v>
      </c>
      <c r="B132" s="5" t="s">
        <v>340</v>
      </c>
      <c r="C132" s="7"/>
      <c r="D132" s="7">
        <v>30.600000381469727</v>
      </c>
      <c r="E132" s="7">
        <v>36.599998474121094</v>
      </c>
      <c r="F132" s="7">
        <v>36.5</v>
      </c>
      <c r="G132" s="7">
        <v>37</v>
      </c>
      <c r="H132" s="7">
        <v>39.299999237060547</v>
      </c>
      <c r="I132" s="7">
        <v>37.599998474121094</v>
      </c>
      <c r="J132" s="7">
        <v>40.400001525878906</v>
      </c>
      <c r="K132" s="7">
        <v>42.099998474121094</v>
      </c>
      <c r="L132" s="7">
        <v>44.200000762939453</v>
      </c>
      <c r="M132" s="7">
        <v>46.099998474121094</v>
      </c>
      <c r="N132" s="7">
        <v>46.099998474121094</v>
      </c>
      <c r="O132" s="7">
        <v>39.799999237060547</v>
      </c>
      <c r="P132" s="7">
        <v>39.5</v>
      </c>
      <c r="Q132" s="7">
        <v>34.599998474121094</v>
      </c>
      <c r="R132" s="7">
        <v>35.400001525878906</v>
      </c>
      <c r="S132" s="7">
        <v>33.900001525878906</v>
      </c>
      <c r="T132" s="7">
        <v>33.700000762939453</v>
      </c>
      <c r="U132" s="7">
        <v>32.599998474121094</v>
      </c>
      <c r="V132" s="7">
        <v>32.799999237060547</v>
      </c>
      <c r="W132" s="7">
        <v>35.200000762939453</v>
      </c>
      <c r="X132" s="7">
        <v>33.200000762939453</v>
      </c>
      <c r="Y132" s="7">
        <v>33.400001525878906</v>
      </c>
      <c r="Z132" s="7">
        <v>32.799999237060547</v>
      </c>
      <c r="AA132" s="7">
        <v>32.099998474121094</v>
      </c>
      <c r="AB132" s="7">
        <v>31.297479629516602</v>
      </c>
      <c r="AC132" s="7">
        <v>30.115961074829102</v>
      </c>
      <c r="AD132" s="7">
        <v>30.016334533691406</v>
      </c>
      <c r="AE132" s="7">
        <v>29.195005416870117</v>
      </c>
      <c r="AG132" s="7">
        <f t="shared" si="2"/>
        <v>33.308861992575906</v>
      </c>
    </row>
    <row r="133" spans="1:33" x14ac:dyDescent="0.2">
      <c r="A133" s="5" t="s">
        <v>147</v>
      </c>
      <c r="B133" s="5" t="s">
        <v>341</v>
      </c>
      <c r="C133" s="7"/>
      <c r="D133" s="7"/>
      <c r="E133" s="7">
        <v>8</v>
      </c>
      <c r="F133" s="7">
        <v>6.5</v>
      </c>
      <c r="G133" s="7">
        <v>6.8000001907348633</v>
      </c>
      <c r="H133" s="7">
        <v>6.8000001907348633</v>
      </c>
      <c r="I133" s="7">
        <v>6.3000001907348633</v>
      </c>
      <c r="J133" s="7">
        <v>4.6999998092651367</v>
      </c>
      <c r="K133" s="7">
        <v>4.5999999046325684</v>
      </c>
      <c r="L133" s="7">
        <v>10.899999618530273</v>
      </c>
      <c r="M133" s="7">
        <v>10.100000381469727</v>
      </c>
      <c r="N133" s="7">
        <v>8.1000003814697266</v>
      </c>
      <c r="O133" s="7">
        <v>7.8000001907348633</v>
      </c>
      <c r="P133" s="7">
        <v>7.4000000953674316</v>
      </c>
      <c r="Q133" s="7">
        <v>7.5999999046325684</v>
      </c>
      <c r="R133" s="7">
        <v>7.8000001907348633</v>
      </c>
      <c r="S133" s="7">
        <v>7.5999999046325684</v>
      </c>
      <c r="T133" s="7">
        <v>7.3000001907348633</v>
      </c>
      <c r="U133" s="7">
        <v>7.3000001907348633</v>
      </c>
      <c r="V133" s="7">
        <v>7.5</v>
      </c>
      <c r="W133" s="7">
        <v>6.9000000953674316</v>
      </c>
      <c r="X133" s="7">
        <v>7.0999999046325684</v>
      </c>
      <c r="Y133" s="7">
        <v>6.9000000953674316</v>
      </c>
      <c r="Z133" s="7">
        <v>7.3000001907348633</v>
      </c>
      <c r="AA133" s="7">
        <v>7.2138690948486328</v>
      </c>
      <c r="AB133" s="7">
        <v>7.2094669342041016</v>
      </c>
      <c r="AC133" s="7">
        <v>7.4928431510925293</v>
      </c>
      <c r="AD133" s="7">
        <v>6.5570511817932129</v>
      </c>
      <c r="AE133" s="7">
        <v>6.722689151763916</v>
      </c>
      <c r="AG133" s="7">
        <f t="shared" si="2"/>
        <v>7.2839397083629258</v>
      </c>
    </row>
    <row r="134" spans="1:33" x14ac:dyDescent="0.2">
      <c r="A134" s="5" t="s">
        <v>148</v>
      </c>
      <c r="B134" s="5" t="s">
        <v>342</v>
      </c>
      <c r="C134" s="7"/>
      <c r="D134" s="7"/>
      <c r="E134" s="7"/>
      <c r="F134" s="7"/>
      <c r="G134" s="7"/>
      <c r="H134" s="7"/>
      <c r="I134" s="7">
        <v>92.599998474121094</v>
      </c>
      <c r="J134" s="7"/>
      <c r="K134" s="7"/>
      <c r="L134" s="7"/>
      <c r="M134" s="7"/>
      <c r="N134" s="7"/>
      <c r="O134" s="7">
        <v>90.5</v>
      </c>
      <c r="P134" s="7"/>
      <c r="Q134" s="7"/>
      <c r="R134" s="7"/>
      <c r="S134" s="7"/>
      <c r="T134" s="7"/>
      <c r="U134" s="7"/>
      <c r="V134" s="7"/>
      <c r="W134" s="7"/>
      <c r="X134" s="7"/>
      <c r="Y134" s="7">
        <v>78.5</v>
      </c>
      <c r="Z134" s="7"/>
      <c r="AA134" s="7"/>
      <c r="AB134" s="7"/>
      <c r="AC134" s="7"/>
      <c r="AD134" s="7"/>
      <c r="AE134" s="7"/>
      <c r="AG134" s="7">
        <f t="shared" si="2"/>
        <v>78.5</v>
      </c>
    </row>
    <row r="135" spans="1:33" x14ac:dyDescent="0.2">
      <c r="A135" s="5" t="s">
        <v>95</v>
      </c>
      <c r="B135" s="5" t="s">
        <v>288</v>
      </c>
      <c r="C135" s="7"/>
      <c r="D135" s="7">
        <v>15.800000190734863</v>
      </c>
      <c r="E135" s="7"/>
      <c r="F135" s="7"/>
      <c r="G135" s="7"/>
      <c r="H135" s="7"/>
      <c r="I135" s="7"/>
      <c r="J135" s="7"/>
      <c r="K135" s="7"/>
      <c r="L135" s="7"/>
      <c r="M135" s="7"/>
      <c r="N135" s="7">
        <v>11.899999618530273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G135" s="7" t="e">
        <f t="shared" si="2"/>
        <v>#DIV/0!</v>
      </c>
    </row>
    <row r="136" spans="1:33" x14ac:dyDescent="0.2">
      <c r="A136" s="5" t="s">
        <v>187</v>
      </c>
      <c r="B136" s="5" t="s">
        <v>381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46.5208740234375</v>
      </c>
      <c r="O136" s="7"/>
      <c r="P136" s="7"/>
      <c r="Q136" s="7"/>
      <c r="R136" s="7"/>
      <c r="S136" s="7">
        <v>51.948051452636719</v>
      </c>
      <c r="T136" s="7"/>
      <c r="U136" s="7">
        <v>49.400001525878906</v>
      </c>
      <c r="V136" s="7"/>
      <c r="W136" s="7"/>
      <c r="X136" s="7">
        <v>48.299999237060547</v>
      </c>
      <c r="Y136" s="7">
        <v>35.799999237060547</v>
      </c>
      <c r="Z136" s="7"/>
      <c r="AA136" s="7">
        <v>30.724637985229492</v>
      </c>
      <c r="AB136" s="7"/>
      <c r="AC136" s="7"/>
      <c r="AD136" s="7"/>
      <c r="AE136" s="7"/>
      <c r="AG136" s="7">
        <f t="shared" si="2"/>
        <v>43.234537887573239</v>
      </c>
    </row>
    <row r="137" spans="1:33" x14ac:dyDescent="0.2">
      <c r="A137" s="5" t="s">
        <v>158</v>
      </c>
      <c r="B137" s="5" t="s">
        <v>352</v>
      </c>
      <c r="C137" s="7"/>
      <c r="D137" s="7">
        <v>27.5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>
        <v>50.436679840087891</v>
      </c>
      <c r="Q137" s="7">
        <v>50.223213195800781</v>
      </c>
      <c r="R137" s="7">
        <v>51.230426788330078</v>
      </c>
      <c r="S137" s="7">
        <v>37.306842803955078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G137" s="7">
        <f t="shared" si="2"/>
        <v>44.268634796142578</v>
      </c>
    </row>
    <row r="138" spans="1:33" x14ac:dyDescent="0.2">
      <c r="A138" s="5" t="s">
        <v>149</v>
      </c>
      <c r="B138" s="5" t="s">
        <v>343</v>
      </c>
      <c r="C138" s="7"/>
      <c r="D138" s="7"/>
      <c r="E138" s="7">
        <v>8.1000003814697266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>
        <v>6.8000001907348633</v>
      </c>
      <c r="W138" s="7"/>
      <c r="X138" s="7"/>
      <c r="Y138" s="7"/>
      <c r="Z138" s="7">
        <v>5.3000001907348633</v>
      </c>
      <c r="AA138" s="7">
        <v>3.0295364856719971</v>
      </c>
      <c r="AB138" s="7"/>
      <c r="AC138" s="7"/>
      <c r="AD138" s="7"/>
      <c r="AE138" s="7"/>
      <c r="AG138" s="7">
        <f t="shared" si="2"/>
        <v>5.0431789557139082</v>
      </c>
    </row>
    <row r="139" spans="1:33" x14ac:dyDescent="0.2">
      <c r="A139" s="5" t="s">
        <v>151</v>
      </c>
      <c r="B139" s="5" t="s">
        <v>345</v>
      </c>
      <c r="C139" s="7"/>
      <c r="D139" s="7">
        <v>84</v>
      </c>
      <c r="E139" s="7"/>
      <c r="F139" s="7"/>
      <c r="G139" s="7"/>
      <c r="H139" s="7"/>
      <c r="I139" s="7"/>
      <c r="J139" s="7"/>
      <c r="K139" s="7"/>
      <c r="L139" s="7"/>
      <c r="M139" s="7"/>
      <c r="N139" s="7">
        <v>77.699996948242188</v>
      </c>
      <c r="O139" s="7"/>
      <c r="P139" s="7"/>
      <c r="Q139" s="7"/>
      <c r="R139" s="7"/>
      <c r="S139" s="7"/>
      <c r="T139" s="7"/>
      <c r="U139" s="7"/>
      <c r="V139" s="7"/>
      <c r="W139" s="7"/>
      <c r="X139" s="7">
        <v>58.299999237060547</v>
      </c>
      <c r="Y139" s="7"/>
      <c r="Z139" s="7"/>
      <c r="AA139" s="7"/>
      <c r="AB139" s="7"/>
      <c r="AC139" s="7"/>
      <c r="AD139" s="7"/>
      <c r="AE139" s="7"/>
      <c r="AG139" s="7">
        <f t="shared" si="2"/>
        <v>58.299999237060547</v>
      </c>
    </row>
    <row r="140" spans="1:33" x14ac:dyDescent="0.2">
      <c r="A140" s="5" t="s">
        <v>156</v>
      </c>
      <c r="B140" s="5" t="s">
        <v>350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>
        <v>24.371475219726563</v>
      </c>
      <c r="P140" s="7">
        <v>26.588739395141602</v>
      </c>
      <c r="Q140" s="7">
        <v>29.232978820800781</v>
      </c>
      <c r="R140" s="7">
        <v>28.882213592529297</v>
      </c>
      <c r="S140" s="7">
        <v>26.943073272705078</v>
      </c>
      <c r="T140" s="7">
        <v>27.190763473510742</v>
      </c>
      <c r="U140" s="7">
        <v>33.827125549316406</v>
      </c>
      <c r="V140" s="7">
        <v>32.139579772949219</v>
      </c>
      <c r="W140" s="7">
        <v>32.384609222412109</v>
      </c>
      <c r="X140" s="7">
        <v>30.103853225708008</v>
      </c>
      <c r="Y140" s="7">
        <v>30.390880584716797</v>
      </c>
      <c r="Z140" s="7">
        <v>32.440387725830078</v>
      </c>
      <c r="AA140" s="7">
        <v>31.702743530273438</v>
      </c>
      <c r="AB140" s="7">
        <v>30.156942367553711</v>
      </c>
      <c r="AC140" s="7">
        <v>31.665073394775391</v>
      </c>
      <c r="AD140" s="7">
        <v>30.572154998779297</v>
      </c>
      <c r="AE140" s="7">
        <v>31.900173187255859</v>
      </c>
      <c r="AG140" s="7">
        <f t="shared" si="2"/>
        <v>30.560197483409535</v>
      </c>
    </row>
    <row r="141" spans="1:33" x14ac:dyDescent="0.2">
      <c r="A141" s="5" t="s">
        <v>164</v>
      </c>
      <c r="B141" s="5" t="s">
        <v>358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13.600000381469727</v>
      </c>
      <c r="Y141" s="7"/>
      <c r="Z141" s="7"/>
      <c r="AA141" s="7"/>
      <c r="AB141" s="7"/>
      <c r="AC141" s="7"/>
      <c r="AD141" s="7"/>
      <c r="AE141" s="7"/>
      <c r="AG141" s="7">
        <f t="shared" si="2"/>
        <v>13.600000381469727</v>
      </c>
    </row>
    <row r="142" spans="1:33" x14ac:dyDescent="0.2">
      <c r="A142" s="5" t="s">
        <v>154</v>
      </c>
      <c r="B142" s="5" t="s">
        <v>348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92.400001525878906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G142" s="7" t="e">
        <f t="shared" si="2"/>
        <v>#DIV/0!</v>
      </c>
    </row>
    <row r="143" spans="1:33" x14ac:dyDescent="0.2">
      <c r="A143" s="5" t="s">
        <v>152</v>
      </c>
      <c r="B143" s="5" t="s">
        <v>346</v>
      </c>
      <c r="C143" s="7"/>
      <c r="D143" s="7">
        <v>14.300000190734863</v>
      </c>
      <c r="E143" s="7">
        <v>14.699999809265137</v>
      </c>
      <c r="F143" s="7">
        <v>14.600000381469727</v>
      </c>
      <c r="G143" s="7">
        <v>14.699999809265137</v>
      </c>
      <c r="H143" s="7"/>
      <c r="I143" s="7">
        <v>15.5</v>
      </c>
      <c r="J143" s="7">
        <v>13.899999618530273</v>
      </c>
      <c r="K143" s="7">
        <v>14.5</v>
      </c>
      <c r="L143" s="7">
        <v>15.600000381469727</v>
      </c>
      <c r="M143" s="7"/>
      <c r="N143" s="7">
        <v>15.399999618530273</v>
      </c>
      <c r="O143" s="7">
        <v>15.100000381469727</v>
      </c>
      <c r="P143" s="7">
        <v>14.899999618530273</v>
      </c>
      <c r="Q143" s="7">
        <v>15.600000381469727</v>
      </c>
      <c r="R143" s="7"/>
      <c r="S143" s="7">
        <v>15.100000381469727</v>
      </c>
      <c r="T143" s="7">
        <v>15.300000190734863</v>
      </c>
      <c r="U143" s="7">
        <v>15.100000381469727</v>
      </c>
      <c r="V143" s="7">
        <v>14.800000190734863</v>
      </c>
      <c r="W143" s="7">
        <v>14.5</v>
      </c>
      <c r="X143" s="7">
        <v>15</v>
      </c>
      <c r="Y143" s="7">
        <v>15.300000190734863</v>
      </c>
      <c r="Z143" s="7">
        <v>14.899999618530273</v>
      </c>
      <c r="AA143" s="7"/>
      <c r="AB143" s="7"/>
      <c r="AC143" s="7"/>
      <c r="AD143" s="7"/>
      <c r="AE143" s="7"/>
      <c r="AG143" s="7">
        <f t="shared" si="2"/>
        <v>15.00000011920929</v>
      </c>
    </row>
    <row r="144" spans="1:33" x14ac:dyDescent="0.2">
      <c r="A144" s="5" t="s">
        <v>160</v>
      </c>
      <c r="B144" s="5" t="s">
        <v>354</v>
      </c>
      <c r="C144" s="7"/>
      <c r="D144" s="7"/>
      <c r="E144" s="7"/>
      <c r="F144" s="7"/>
      <c r="G144" s="7">
        <v>6.3000001907348633</v>
      </c>
      <c r="H144" s="7">
        <v>6.5</v>
      </c>
      <c r="I144" s="7">
        <v>6.4000000953674316</v>
      </c>
      <c r="J144" s="7">
        <v>6.3000001907348633</v>
      </c>
      <c r="K144" s="7">
        <v>6.8000001907348633</v>
      </c>
      <c r="L144" s="7">
        <v>7.5999999046325684</v>
      </c>
      <c r="M144" s="7">
        <v>7.967644214630127</v>
      </c>
      <c r="N144" s="7">
        <v>8.5</v>
      </c>
      <c r="O144" s="7">
        <v>8.3999996185302734</v>
      </c>
      <c r="P144" s="7">
        <v>9.5</v>
      </c>
      <c r="Q144" s="7">
        <v>12.100000381469727</v>
      </c>
      <c r="R144" s="7">
        <v>12.600000381469727</v>
      </c>
      <c r="S144" s="7">
        <v>12.600000381469727</v>
      </c>
      <c r="T144" s="7">
        <v>12.899999618530273</v>
      </c>
      <c r="U144" s="7">
        <v>13.800000190734863</v>
      </c>
      <c r="V144" s="7">
        <v>15.671979904174805</v>
      </c>
      <c r="W144" s="7">
        <v>16</v>
      </c>
      <c r="X144" s="7">
        <v>15.899999618530273</v>
      </c>
      <c r="Y144" s="7">
        <v>15.5</v>
      </c>
      <c r="Z144" s="7">
        <v>15.5</v>
      </c>
      <c r="AA144" s="7">
        <v>15.399999618530273</v>
      </c>
      <c r="AB144" s="7">
        <v>15.041842460632324</v>
      </c>
      <c r="AC144" s="7">
        <v>15.369344711303711</v>
      </c>
      <c r="AD144" s="7">
        <v>15.192660331726074</v>
      </c>
      <c r="AE144" s="7">
        <v>14.770788192749023</v>
      </c>
      <c r="AG144" s="7">
        <f t="shared" si="2"/>
        <v>14.628529288552024</v>
      </c>
    </row>
    <row r="145" spans="1:33" x14ac:dyDescent="0.2">
      <c r="A145" s="5" t="s">
        <v>161</v>
      </c>
      <c r="B145" s="5" t="s">
        <v>355</v>
      </c>
      <c r="C145" s="7"/>
      <c r="D145" s="7"/>
      <c r="E145" s="7">
        <v>14.607436180114746</v>
      </c>
      <c r="F145" s="7">
        <v>15.399999618530273</v>
      </c>
      <c r="G145" s="7">
        <v>17.600000381469727</v>
      </c>
      <c r="H145" s="7">
        <v>16.899999618530273</v>
      </c>
      <c r="I145" s="7">
        <v>16.87714958190918</v>
      </c>
      <c r="J145" s="7">
        <v>18.708019256591797</v>
      </c>
      <c r="K145" s="7">
        <v>19.221839904785156</v>
      </c>
      <c r="L145" s="7">
        <v>17.441659927368164</v>
      </c>
      <c r="M145" s="7">
        <v>16.310440063476563</v>
      </c>
      <c r="N145" s="7">
        <v>17.238269805908203</v>
      </c>
      <c r="O145" s="7">
        <v>15.822890281677246</v>
      </c>
      <c r="P145" s="7">
        <v>13.889659881591797</v>
      </c>
      <c r="Q145" s="7">
        <v>15.47776985168457</v>
      </c>
      <c r="R145" s="7">
        <v>15.136030197143555</v>
      </c>
      <c r="S145" s="7">
        <v>16.198080062866211</v>
      </c>
      <c r="T145" s="7">
        <v>15.887639999389648</v>
      </c>
      <c r="U145" s="7">
        <v>14.117560386657715</v>
      </c>
      <c r="V145" s="7">
        <v>16.193340301513672</v>
      </c>
      <c r="W145" s="7">
        <v>17.255390167236328</v>
      </c>
      <c r="X145" s="7">
        <v>16.811319351196289</v>
      </c>
      <c r="Y145" s="7">
        <v>16.235010147094727</v>
      </c>
      <c r="Z145" s="7">
        <v>16.881000518798828</v>
      </c>
      <c r="AA145" s="7">
        <v>18.569320678710938</v>
      </c>
      <c r="AB145" s="7">
        <v>16.502260208129883</v>
      </c>
      <c r="AC145" s="7">
        <v>14.193989753723145</v>
      </c>
      <c r="AD145" s="7">
        <v>14.581379890441895</v>
      </c>
      <c r="AE145" s="7">
        <v>15.20203971862793</v>
      </c>
      <c r="AG145" s="7">
        <f t="shared" si="2"/>
        <v>16.344268365339801</v>
      </c>
    </row>
    <row r="146" spans="1:33" x14ac:dyDescent="0.2">
      <c r="A146" s="5" t="s">
        <v>190</v>
      </c>
      <c r="B146" s="5" t="s">
        <v>384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>
        <v>18.200000762939453</v>
      </c>
      <c r="Q146" s="7">
        <v>19</v>
      </c>
      <c r="R146" s="7">
        <v>12.248414039611816</v>
      </c>
      <c r="S146" s="7">
        <v>12.713316917419434</v>
      </c>
      <c r="T146" s="7">
        <v>17.399999618530273</v>
      </c>
      <c r="U146" s="7">
        <v>15.559267044067383</v>
      </c>
      <c r="V146" s="7">
        <v>15.247729301452637</v>
      </c>
      <c r="W146" s="7">
        <v>15.493862152099609</v>
      </c>
      <c r="X146" s="7">
        <v>15.414704322814941</v>
      </c>
      <c r="Y146" s="7">
        <v>15.14869213104248</v>
      </c>
      <c r="Z146" s="7">
        <v>14.487481117248535</v>
      </c>
      <c r="AA146" s="7">
        <v>13.742922782897949</v>
      </c>
      <c r="AB146" s="7">
        <v>14.244354248046875</v>
      </c>
      <c r="AC146" s="7">
        <v>14.707741737365723</v>
      </c>
      <c r="AD146" s="7">
        <v>14.80828857421875</v>
      </c>
      <c r="AE146" s="7">
        <v>15.124297142028809</v>
      </c>
      <c r="AG146" s="7">
        <f t="shared" si="2"/>
        <v>14.700067606839267</v>
      </c>
    </row>
    <row r="147" spans="1:33" x14ac:dyDescent="0.2">
      <c r="A147" s="5" t="s">
        <v>56</v>
      </c>
      <c r="B147" s="5" t="s">
        <v>249</v>
      </c>
      <c r="C147" s="7">
        <v>26.200000762939453</v>
      </c>
      <c r="D147" s="7">
        <v>25.299999237060547</v>
      </c>
      <c r="E147" s="7">
        <v>25.299999237060547</v>
      </c>
      <c r="F147" s="7">
        <v>25.700000762939453</v>
      </c>
      <c r="G147" s="7">
        <v>25.899999618530273</v>
      </c>
      <c r="H147" s="7">
        <v>25.100000381469727</v>
      </c>
      <c r="I147" s="7">
        <v>24.700000762939453</v>
      </c>
      <c r="J147" s="7">
        <v>23.600000381469727</v>
      </c>
      <c r="K147" s="7">
        <v>22.717550277709961</v>
      </c>
      <c r="L147" s="7">
        <v>21.166690826416016</v>
      </c>
      <c r="M147" s="7">
        <v>20.068489074707031</v>
      </c>
      <c r="N147" s="7">
        <v>19.678840637207031</v>
      </c>
      <c r="O147" s="7">
        <v>18.663530349731445</v>
      </c>
      <c r="P147" s="7">
        <v>18.043300628662109</v>
      </c>
      <c r="Q147" s="7">
        <v>17.879400253295898</v>
      </c>
      <c r="R147" s="7">
        <v>17.998779296875</v>
      </c>
      <c r="S147" s="7">
        <v>17.707540512084961</v>
      </c>
      <c r="T147" s="7">
        <v>17.505769729614258</v>
      </c>
      <c r="U147" s="7">
        <v>17.568820953369141</v>
      </c>
      <c r="V147" s="7">
        <v>16.826559066772461</v>
      </c>
      <c r="W147" s="7">
        <v>16.678440093994141</v>
      </c>
      <c r="X147" s="7">
        <v>16.391239166259766</v>
      </c>
      <c r="Y147" s="7">
        <v>17.303390502929688</v>
      </c>
      <c r="Z147" s="7">
        <v>17.858100891113281</v>
      </c>
      <c r="AA147" s="7">
        <v>17.591209411621094</v>
      </c>
      <c r="AB147" s="7">
        <v>17.280960083007813</v>
      </c>
      <c r="AC147" s="7">
        <v>16.940229415893555</v>
      </c>
      <c r="AD147" s="7">
        <v>16.48423957824707</v>
      </c>
      <c r="AE147" s="7">
        <v>15.969289779663086</v>
      </c>
      <c r="AG147" s="7">
        <f t="shared" si="2"/>
        <v>17.337346337058328</v>
      </c>
    </row>
    <row r="148" spans="1:33" x14ac:dyDescent="0.2">
      <c r="A148" s="5" t="s">
        <v>103</v>
      </c>
      <c r="B148" s="5" t="s">
        <v>296</v>
      </c>
      <c r="C148" s="7">
        <v>44.799999237060547</v>
      </c>
      <c r="D148" s="7">
        <v>37.599998474121094</v>
      </c>
      <c r="E148" s="7">
        <v>39.900001525878906</v>
      </c>
      <c r="F148" s="7">
        <v>39.799999237060547</v>
      </c>
      <c r="G148" s="7">
        <v>39.299999237060547</v>
      </c>
      <c r="H148" s="7">
        <v>40.200000762939453</v>
      </c>
      <c r="I148" s="7">
        <v>39.200000762939453</v>
      </c>
      <c r="J148" s="7">
        <v>40.599998474121094</v>
      </c>
      <c r="K148" s="7">
        <v>44.400001525878906</v>
      </c>
      <c r="L148" s="7">
        <v>42.5</v>
      </c>
      <c r="M148" s="7">
        <v>43.799999237060547</v>
      </c>
      <c r="N148" s="7">
        <v>41.400001525878906</v>
      </c>
      <c r="O148" s="7">
        <v>42.099998474121094</v>
      </c>
      <c r="P148" s="7">
        <v>42.099998474121094</v>
      </c>
      <c r="Q148" s="7">
        <v>40.599998474121094</v>
      </c>
      <c r="R148" s="7">
        <v>40.700000762939453</v>
      </c>
      <c r="S148" s="7">
        <v>44.400001525878906</v>
      </c>
      <c r="T148" s="7">
        <v>43.5</v>
      </c>
      <c r="U148" s="7">
        <v>43.5</v>
      </c>
      <c r="V148" s="7">
        <v>42.400001525878906</v>
      </c>
      <c r="W148" s="7">
        <v>44.5</v>
      </c>
      <c r="X148" s="7">
        <v>45.099998474121094</v>
      </c>
      <c r="Y148" s="7">
        <v>43.599998474121094</v>
      </c>
      <c r="Z148" s="7">
        <v>44.299999237060547</v>
      </c>
      <c r="AA148" s="7">
        <v>43.599998474121094</v>
      </c>
      <c r="AB148" s="7">
        <v>43.799999237060547</v>
      </c>
      <c r="AC148" s="7">
        <v>42.099998474121094</v>
      </c>
      <c r="AD148" s="7">
        <v>42.299999237060547</v>
      </c>
      <c r="AE148" s="7">
        <v>42.299999237060547</v>
      </c>
      <c r="AG148" s="7">
        <f t="shared" si="2"/>
        <v>43.581817973743789</v>
      </c>
    </row>
    <row r="149" spans="1:33" x14ac:dyDescent="0.2">
      <c r="A149" s="5" t="s">
        <v>102</v>
      </c>
      <c r="B149" s="5" t="s">
        <v>295</v>
      </c>
      <c r="C149" s="7"/>
      <c r="D149" s="7"/>
      <c r="E149" s="7"/>
      <c r="F149" s="7">
        <v>33</v>
      </c>
      <c r="G149" s="7">
        <v>37.299999237060547</v>
      </c>
      <c r="H149" s="7">
        <v>34.200000762939453</v>
      </c>
      <c r="I149" s="7">
        <v>35.799999237060547</v>
      </c>
      <c r="J149" s="7">
        <v>32.400001525878906</v>
      </c>
      <c r="K149" s="7">
        <v>33</v>
      </c>
      <c r="L149" s="7">
        <v>31.799999237060547</v>
      </c>
      <c r="M149" s="7">
        <v>34.099998474121094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G149" s="7" t="e">
        <f t="shared" si="2"/>
        <v>#DIV/0!</v>
      </c>
    </row>
    <row r="150" spans="1:33" x14ac:dyDescent="0.2">
      <c r="A150" s="5" t="s">
        <v>183</v>
      </c>
      <c r="B150" s="5" t="s">
        <v>377</v>
      </c>
      <c r="C150" s="7"/>
      <c r="D150" s="7">
        <v>25.799999237060547</v>
      </c>
      <c r="E150" s="7"/>
      <c r="F150" s="7"/>
      <c r="G150" s="7"/>
      <c r="H150" s="7"/>
      <c r="I150" s="7"/>
      <c r="J150" s="7"/>
      <c r="K150" s="7"/>
      <c r="L150" s="7"/>
      <c r="M150" s="7"/>
      <c r="N150" s="7">
        <v>21.700000762939453</v>
      </c>
      <c r="O150" s="7"/>
      <c r="P150" s="7"/>
      <c r="Q150" s="7"/>
      <c r="R150" s="7"/>
      <c r="S150" s="7"/>
      <c r="T150" s="7"/>
      <c r="U150" s="7">
        <v>20.5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G150" s="7">
        <f t="shared" si="2"/>
        <v>20.5</v>
      </c>
    </row>
    <row r="151" spans="1:33" x14ac:dyDescent="0.2">
      <c r="A151" s="5" t="s">
        <v>159</v>
      </c>
      <c r="B151" s="5" t="s">
        <v>353</v>
      </c>
      <c r="C151" s="7"/>
      <c r="D151" s="7"/>
      <c r="E151" s="7"/>
      <c r="F151" s="7">
        <v>19</v>
      </c>
      <c r="G151" s="7">
        <v>17.799999237060547</v>
      </c>
      <c r="H151" s="7">
        <v>16</v>
      </c>
      <c r="I151" s="7">
        <v>18.799999237060547</v>
      </c>
      <c r="J151" s="7">
        <v>19.799999237060547</v>
      </c>
      <c r="K151" s="7">
        <v>17.5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>
        <v>12.222222328186035</v>
      </c>
      <c r="AB151" s="7"/>
      <c r="AC151" s="7"/>
      <c r="AD151" s="7"/>
      <c r="AE151" s="7"/>
      <c r="AG151" s="7">
        <f t="shared" si="2"/>
        <v>12.222222328186035</v>
      </c>
    </row>
    <row r="152" spans="1:33" x14ac:dyDescent="0.2">
      <c r="A152" s="5" t="s">
        <v>162</v>
      </c>
      <c r="B152" s="5" t="s">
        <v>356</v>
      </c>
      <c r="C152" s="7">
        <v>9.1861763000488281</v>
      </c>
      <c r="D152" s="7">
        <v>9.1446771621704102</v>
      </c>
      <c r="E152" s="7">
        <v>9.8360652923583984</v>
      </c>
      <c r="F152" s="7">
        <v>10.79716968536377</v>
      </c>
      <c r="G152" s="7">
        <v>11.125249862670898</v>
      </c>
      <c r="H152" s="7">
        <v>11.189160346984863</v>
      </c>
      <c r="I152" s="7">
        <v>10.951299667358398</v>
      </c>
      <c r="J152" s="7">
        <v>10.759819984436035</v>
      </c>
      <c r="K152" s="7">
        <v>10.605680465698242</v>
      </c>
      <c r="L152" s="7">
        <v>10.644049644470215</v>
      </c>
      <c r="M152" s="7">
        <v>10.290940284729004</v>
      </c>
      <c r="N152" s="7">
        <v>10.820150375366211</v>
      </c>
      <c r="O152" s="7">
        <v>10.671440124511719</v>
      </c>
      <c r="P152" s="7">
        <v>10.413379669189453</v>
      </c>
      <c r="Q152" s="7">
        <v>10.624059677124023</v>
      </c>
      <c r="R152" s="7">
        <v>10.781350135803223</v>
      </c>
      <c r="S152" s="7">
        <v>10.699970245361328</v>
      </c>
      <c r="T152" s="7">
        <v>10.595890045166016</v>
      </c>
      <c r="U152" s="7">
        <v>10.407199859619141</v>
      </c>
      <c r="V152" s="7">
        <v>10.687709808349609</v>
      </c>
      <c r="W152" s="7">
        <v>10.945690155029297</v>
      </c>
      <c r="X152" s="7">
        <v>10.419110298156738</v>
      </c>
      <c r="Y152" s="7">
        <v>10.450650215148926</v>
      </c>
      <c r="Z152" s="7">
        <v>10.590450286865234</v>
      </c>
      <c r="AA152" s="7">
        <v>10.332400321960449</v>
      </c>
      <c r="AB152" s="7">
        <v>10.254090309143066</v>
      </c>
      <c r="AC152" s="7">
        <v>9.9884929656982422</v>
      </c>
      <c r="AD152" s="7">
        <v>9.8568201065063477</v>
      </c>
      <c r="AE152" s="7">
        <v>9.5962953567504883</v>
      </c>
      <c r="AG152" s="7">
        <f t="shared" si="2"/>
        <v>10.560410152782094</v>
      </c>
    </row>
    <row r="153" spans="1:33" x14ac:dyDescent="0.2">
      <c r="A153" s="5" t="s">
        <v>32</v>
      </c>
      <c r="B153" s="5" t="s">
        <v>225</v>
      </c>
      <c r="C153" s="7"/>
      <c r="D153" s="7">
        <v>15.624520301818848</v>
      </c>
      <c r="E153" s="7">
        <v>15.624520301818848</v>
      </c>
      <c r="F153" s="7">
        <v>16.824520111083984</v>
      </c>
      <c r="G153" s="7">
        <v>16.324520111083984</v>
      </c>
      <c r="H153" s="7">
        <v>16.724519729614258</v>
      </c>
      <c r="I153" s="7">
        <v>18.224519729614258</v>
      </c>
      <c r="J153" s="7">
        <v>18.824520111083984</v>
      </c>
      <c r="K153" s="7">
        <v>18.224519729614258</v>
      </c>
      <c r="L153" s="7">
        <v>18.424520492553711</v>
      </c>
      <c r="M153" s="7">
        <v>18.424520492553711</v>
      </c>
      <c r="N153" s="7">
        <v>17.624521255493164</v>
      </c>
      <c r="O153" s="7">
        <v>17.324520111083984</v>
      </c>
      <c r="P153" s="7">
        <v>17.924520492553711</v>
      </c>
      <c r="Q153" s="7">
        <v>16.624521255493164</v>
      </c>
      <c r="R153" s="7">
        <v>16.424520492553711</v>
      </c>
      <c r="S153" s="7">
        <v>16.324520111083984</v>
      </c>
      <c r="T153" s="7">
        <v>16.524520874023438</v>
      </c>
      <c r="U153" s="7">
        <v>16.324520111083984</v>
      </c>
      <c r="V153" s="7">
        <v>15.724519729614258</v>
      </c>
      <c r="W153" s="7">
        <v>15.724519729614258</v>
      </c>
      <c r="X153" s="7">
        <v>15.40233039855957</v>
      </c>
      <c r="Y153" s="7">
        <v>15.305419921875</v>
      </c>
      <c r="Z153" s="7">
        <v>15.331379890441895</v>
      </c>
      <c r="AA153" s="7">
        <v>15.267959594726563</v>
      </c>
      <c r="AB153" s="7">
        <v>14.866470336914063</v>
      </c>
      <c r="AC153" s="7">
        <v>15.057880401611328</v>
      </c>
      <c r="AD153" s="7">
        <v>14.855310440063477</v>
      </c>
      <c r="AE153" s="7">
        <v>14.746029853820801</v>
      </c>
      <c r="AG153" s="7">
        <f t="shared" si="2"/>
        <v>15.747334653680975</v>
      </c>
    </row>
    <row r="154" spans="1:33" x14ac:dyDescent="0.2">
      <c r="A154" s="5" t="s">
        <v>165</v>
      </c>
      <c r="B154" s="5" t="s">
        <v>359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>
        <v>50.799999237060547</v>
      </c>
      <c r="O154" s="7"/>
      <c r="P154" s="7"/>
      <c r="Q154" s="7"/>
      <c r="R154" s="7"/>
      <c r="S154" s="7">
        <v>44.299999237060547</v>
      </c>
      <c r="T154" s="7">
        <v>46</v>
      </c>
      <c r="U154" s="7">
        <v>38.200000762939453</v>
      </c>
      <c r="V154" s="7">
        <v>38.200000762939453</v>
      </c>
      <c r="W154" s="7">
        <v>33</v>
      </c>
      <c r="X154" s="7">
        <v>34.200000762939453</v>
      </c>
      <c r="Y154" s="7"/>
      <c r="Z154" s="7"/>
      <c r="AA154" s="7"/>
      <c r="AB154" s="7"/>
      <c r="AC154" s="7"/>
      <c r="AD154" s="7"/>
      <c r="AE154" s="7"/>
      <c r="AG154" s="7">
        <f t="shared" si="2"/>
        <v>38.983333587646484</v>
      </c>
    </row>
    <row r="155" spans="1:33" x14ac:dyDescent="0.2">
      <c r="A155" s="5" t="s">
        <v>170</v>
      </c>
      <c r="B155" s="5" t="s">
        <v>364</v>
      </c>
      <c r="C155" s="7"/>
      <c r="D155" s="7"/>
      <c r="E155" s="7"/>
      <c r="F155" s="7"/>
      <c r="G155" s="7"/>
      <c r="H155" s="7"/>
      <c r="I155" s="7"/>
      <c r="J155" s="7"/>
      <c r="K155" s="7"/>
      <c r="L155" s="7">
        <v>25.463699340820313</v>
      </c>
      <c r="M155" s="7"/>
      <c r="N155" s="7"/>
      <c r="O155" s="7"/>
      <c r="P155" s="7">
        <v>46.700000762939453</v>
      </c>
      <c r="Q155" s="7"/>
      <c r="R155" s="7"/>
      <c r="S155" s="7"/>
      <c r="T155" s="7">
        <v>43.146648406982422</v>
      </c>
      <c r="U155" s="7"/>
      <c r="V155" s="7">
        <v>47.5</v>
      </c>
      <c r="W155" s="7"/>
      <c r="X155" s="7"/>
      <c r="Y155" s="7"/>
      <c r="Z155" s="7"/>
      <c r="AA155" s="7"/>
      <c r="AB155" s="7"/>
      <c r="AC155" s="7">
        <v>64.699996948242188</v>
      </c>
      <c r="AD155" s="7"/>
      <c r="AE155" s="7"/>
      <c r="AG155" s="7">
        <f t="shared" si="2"/>
        <v>45.323324203491211</v>
      </c>
    </row>
    <row r="156" spans="1:33" x14ac:dyDescent="0.2">
      <c r="A156" s="5" t="s">
        <v>177</v>
      </c>
      <c r="B156" s="5" t="s">
        <v>371</v>
      </c>
      <c r="C156" s="7"/>
      <c r="D156" s="7">
        <v>91.400001525878906</v>
      </c>
      <c r="E156" s="7">
        <v>82.655242919921875</v>
      </c>
      <c r="F156" s="7">
        <v>82.780082702636719</v>
      </c>
      <c r="G156" s="7">
        <v>83.368873596191406</v>
      </c>
      <c r="H156" s="7"/>
      <c r="I156" s="7"/>
      <c r="J156" s="7"/>
      <c r="K156" s="7"/>
      <c r="L156" s="7"/>
      <c r="M156" s="7"/>
      <c r="N156" s="7">
        <v>93.099998474121094</v>
      </c>
      <c r="O156" s="7"/>
      <c r="P156" s="7"/>
      <c r="Q156" s="7">
        <v>70.410392761230469</v>
      </c>
      <c r="R156" s="7"/>
      <c r="S156" s="7">
        <v>89.5</v>
      </c>
      <c r="T156" s="7"/>
      <c r="U156" s="7"/>
      <c r="V156" s="7"/>
      <c r="W156" s="7">
        <v>78.157661437988281</v>
      </c>
      <c r="X156" s="7">
        <v>87.300003051757813</v>
      </c>
      <c r="Y156" s="7"/>
      <c r="Z156" s="7">
        <v>75.900001525878906</v>
      </c>
      <c r="AA156" s="7">
        <v>52.229892730712891</v>
      </c>
      <c r="AB156" s="7"/>
      <c r="AC156" s="7"/>
      <c r="AD156" s="7"/>
      <c r="AE156" s="7"/>
      <c r="AG156" s="7">
        <f t="shared" si="2"/>
        <v>76.617511749267578</v>
      </c>
    </row>
    <row r="157" spans="1:33" x14ac:dyDescent="0.2">
      <c r="A157" s="5" t="s">
        <v>169</v>
      </c>
      <c r="B157" s="5" t="s">
        <v>363</v>
      </c>
      <c r="C157" s="7">
        <v>71.599998474121094</v>
      </c>
      <c r="D157" s="7">
        <v>69.300003051757813</v>
      </c>
      <c r="E157" s="7">
        <v>68.800003051757813</v>
      </c>
      <c r="F157" s="7">
        <v>65.699996948242188</v>
      </c>
      <c r="G157" s="7">
        <v>65.199996948242188</v>
      </c>
      <c r="H157" s="7">
        <v>64.300003051757813</v>
      </c>
      <c r="I157" s="7">
        <v>62.299999237060547</v>
      </c>
      <c r="J157" s="7">
        <v>62.299999237060547</v>
      </c>
      <c r="K157" s="7">
        <v>63.5</v>
      </c>
      <c r="L157" s="7">
        <v>61.700000762939453</v>
      </c>
      <c r="M157" s="7">
        <v>60.400001525878906</v>
      </c>
      <c r="N157" s="7">
        <v>59.599998474121094</v>
      </c>
      <c r="O157" s="7">
        <v>60</v>
      </c>
      <c r="P157" s="7">
        <v>59.5</v>
      </c>
      <c r="Q157" s="7">
        <v>56.200000762939453</v>
      </c>
      <c r="R157" s="7">
        <v>56.299999237060547</v>
      </c>
      <c r="S157" s="7">
        <v>56.299999237060547</v>
      </c>
      <c r="T157" s="7">
        <v>56.400001525878906</v>
      </c>
      <c r="U157" s="7">
        <v>56.799999237060547</v>
      </c>
      <c r="V157" s="7">
        <v>55.299999237060547</v>
      </c>
      <c r="W157" s="7">
        <v>55.599998474121094</v>
      </c>
      <c r="X157" s="7">
        <v>56</v>
      </c>
      <c r="Y157" s="7">
        <v>56.299999237060547</v>
      </c>
      <c r="Z157" s="7">
        <v>58.599998474121094</v>
      </c>
      <c r="AA157" s="7">
        <v>55.453079223632813</v>
      </c>
      <c r="AB157" s="7">
        <v>54.411960601806641</v>
      </c>
      <c r="AC157" s="7">
        <v>53.694976806640625</v>
      </c>
      <c r="AD157" s="7">
        <v>53.277023315429688</v>
      </c>
      <c r="AE157" s="7">
        <v>54.061534881591797</v>
      </c>
      <c r="AG157" s="7">
        <f t="shared" si="2"/>
        <v>56.13318495316939</v>
      </c>
    </row>
    <row r="158" spans="1:33" x14ac:dyDescent="0.2">
      <c r="A158" s="5" t="s">
        <v>171</v>
      </c>
      <c r="B158" s="5" t="s">
        <v>365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>
        <v>34.642219543457031</v>
      </c>
      <c r="O158" s="7"/>
      <c r="P158" s="7"/>
      <c r="Q158" s="7"/>
      <c r="R158" s="7"/>
      <c r="S158" s="7"/>
      <c r="T158" s="7"/>
      <c r="U158" s="7"/>
      <c r="V158" s="7"/>
      <c r="W158" s="7">
        <v>70.400001525878906</v>
      </c>
      <c r="X158" s="7"/>
      <c r="Y158" s="7"/>
      <c r="Z158" s="7"/>
      <c r="AA158" s="7"/>
      <c r="AB158" s="7"/>
      <c r="AC158" s="7"/>
      <c r="AD158" s="7"/>
      <c r="AE158" s="7"/>
      <c r="AG158" s="7">
        <f t="shared" si="2"/>
        <v>70.400001525878906</v>
      </c>
    </row>
    <row r="159" spans="1:33" x14ac:dyDescent="0.2">
      <c r="A159" s="5" t="s">
        <v>168</v>
      </c>
      <c r="B159" s="5" t="s">
        <v>362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>
        <v>89.099998474121094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G159" s="7">
        <f t="shared" si="2"/>
        <v>89.099998474121094</v>
      </c>
    </row>
    <row r="160" spans="1:33" x14ac:dyDescent="0.2">
      <c r="A160" s="5" t="s">
        <v>172</v>
      </c>
      <c r="B160" s="5" t="s">
        <v>366</v>
      </c>
      <c r="C160" s="7"/>
      <c r="D160" s="7"/>
      <c r="E160" s="7"/>
      <c r="F160" s="7"/>
      <c r="G160" s="7"/>
      <c r="H160" s="7"/>
      <c r="I160" s="7">
        <v>57.5</v>
      </c>
      <c r="J160" s="7"/>
      <c r="K160" s="7"/>
      <c r="L160" s="7"/>
      <c r="M160" s="7"/>
      <c r="N160" s="7"/>
      <c r="O160" s="7"/>
      <c r="P160" s="7">
        <v>56.299999237060547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G160" s="7" t="e">
        <f t="shared" si="2"/>
        <v>#DIV/0!</v>
      </c>
    </row>
    <row r="161" spans="1:33" x14ac:dyDescent="0.2">
      <c r="A161" s="5" t="s">
        <v>173</v>
      </c>
      <c r="B161" s="5" t="s">
        <v>367</v>
      </c>
      <c r="C161" s="7">
        <v>24.899999618530273</v>
      </c>
      <c r="D161" s="7">
        <v>23.200000762939453</v>
      </c>
      <c r="E161" s="7">
        <v>24.200000762939453</v>
      </c>
      <c r="F161" s="7">
        <v>25.299999237060547</v>
      </c>
      <c r="G161" s="7">
        <v>24.899999618530273</v>
      </c>
      <c r="H161" s="7">
        <v>24.700000762939453</v>
      </c>
      <c r="I161" s="7">
        <v>23.5</v>
      </c>
      <c r="J161" s="7">
        <v>23</v>
      </c>
      <c r="K161" s="7">
        <v>22</v>
      </c>
      <c r="L161" s="7">
        <v>22.600000381469727</v>
      </c>
      <c r="M161" s="7">
        <v>22.399999618530273</v>
      </c>
      <c r="N161" s="7">
        <v>22.799999237060547</v>
      </c>
      <c r="O161" s="7">
        <v>21.799999237060547</v>
      </c>
      <c r="P161" s="7">
        <v>21.200000762939453</v>
      </c>
      <c r="Q161" s="7">
        <v>20.299999237060547</v>
      </c>
      <c r="R161" s="7">
        <v>20.100000381469727</v>
      </c>
      <c r="S161" s="7"/>
      <c r="T161" s="7"/>
      <c r="U161" s="7"/>
      <c r="V161" s="7">
        <v>20.700000762939453</v>
      </c>
      <c r="W161" s="7">
        <v>21.5</v>
      </c>
      <c r="X161" s="7"/>
      <c r="Y161" s="7"/>
      <c r="Z161" s="7">
        <v>21.200000762939453</v>
      </c>
      <c r="AA161" s="7"/>
      <c r="AB161" s="7"/>
      <c r="AC161" s="7"/>
      <c r="AD161" s="7"/>
      <c r="AE161" s="7"/>
      <c r="AG161" s="7">
        <f t="shared" si="2"/>
        <v>20.875000476837158</v>
      </c>
    </row>
    <row r="162" spans="1:33" x14ac:dyDescent="0.2">
      <c r="A162" s="5" t="s">
        <v>174</v>
      </c>
      <c r="B162" s="5" t="s">
        <v>368</v>
      </c>
      <c r="C162" s="7"/>
      <c r="D162" s="7"/>
      <c r="E162" s="7"/>
      <c r="F162" s="7"/>
      <c r="G162" s="7">
        <v>29.200000762939453</v>
      </c>
      <c r="H162" s="7"/>
      <c r="I162" s="7"/>
      <c r="J162" s="7"/>
      <c r="K162" s="7"/>
      <c r="L162" s="7">
        <v>31.200000762939453</v>
      </c>
      <c r="M162" s="7">
        <v>31</v>
      </c>
      <c r="N162" s="7">
        <v>32.299999237060547</v>
      </c>
      <c r="O162" s="7">
        <v>32.299999237060547</v>
      </c>
      <c r="P162" s="7">
        <v>35.599998474121094</v>
      </c>
      <c r="Q162" s="7">
        <v>23.700000762939453</v>
      </c>
      <c r="R162" s="7">
        <v>31</v>
      </c>
      <c r="S162" s="7"/>
      <c r="T162" s="7">
        <v>30.299999237060547</v>
      </c>
      <c r="U162" s="7">
        <v>29.600000381469727</v>
      </c>
      <c r="V162" s="7"/>
      <c r="W162" s="7">
        <v>31.5</v>
      </c>
      <c r="X162" s="7">
        <v>29.200000762939453</v>
      </c>
      <c r="Y162" s="7">
        <v>29</v>
      </c>
      <c r="Z162" s="7">
        <v>28.600000381469727</v>
      </c>
      <c r="AA162" s="7"/>
      <c r="AB162" s="7"/>
      <c r="AC162" s="7"/>
      <c r="AD162" s="7"/>
      <c r="AE162" s="7"/>
      <c r="AG162" s="7">
        <f t="shared" si="2"/>
        <v>29.885714394705637</v>
      </c>
    </row>
    <row r="163" spans="1:33" x14ac:dyDescent="0.2">
      <c r="A163" s="5" t="s">
        <v>175</v>
      </c>
      <c r="B163" s="5" t="s">
        <v>369</v>
      </c>
      <c r="C163" s="7">
        <v>61</v>
      </c>
      <c r="D163" s="7">
        <v>62</v>
      </c>
      <c r="E163" s="7">
        <v>60.299999237060547</v>
      </c>
      <c r="F163" s="7">
        <v>57.799999237060547</v>
      </c>
      <c r="G163" s="7">
        <v>59.099998474121094</v>
      </c>
      <c r="H163" s="7">
        <v>58.5</v>
      </c>
      <c r="I163" s="7">
        <v>57.200000762939453</v>
      </c>
      <c r="J163" s="7">
        <v>55.400001525878906</v>
      </c>
      <c r="K163" s="7">
        <v>55.400001525878906</v>
      </c>
      <c r="L163" s="7">
        <v>55</v>
      </c>
      <c r="M163" s="7">
        <v>51.504318237304688</v>
      </c>
      <c r="N163" s="7">
        <v>52.808811187744141</v>
      </c>
      <c r="O163" s="7">
        <v>49.992431640625</v>
      </c>
      <c r="P163" s="7">
        <v>49.031261444091797</v>
      </c>
      <c r="Q163" s="7">
        <v>41.172809600830078</v>
      </c>
      <c r="R163" s="7">
        <v>42.949378967285156</v>
      </c>
      <c r="S163" s="7">
        <v>41.096179962158203</v>
      </c>
      <c r="T163" s="7">
        <v>39.537971496582031</v>
      </c>
      <c r="U163" s="7">
        <v>39.010238647460938</v>
      </c>
      <c r="V163" s="7">
        <v>39.973369598388672</v>
      </c>
      <c r="W163" s="7">
        <v>39.101650238037109</v>
      </c>
      <c r="X163" s="7">
        <v>38.289829254150391</v>
      </c>
      <c r="Y163" s="7">
        <v>37.067649841308594</v>
      </c>
      <c r="Z163" s="7">
        <v>35.926319122314453</v>
      </c>
      <c r="AA163" s="7">
        <v>33.939369201660156</v>
      </c>
      <c r="AB163" s="7">
        <v>32.862480163574219</v>
      </c>
      <c r="AC163" s="7">
        <v>32.446559906005859</v>
      </c>
      <c r="AD163" s="7">
        <v>32.734798431396484</v>
      </c>
      <c r="AE163" s="7">
        <v>32.008991241455078</v>
      </c>
      <c r="AG163" s="7">
        <f t="shared" si="2"/>
        <v>38.159494226629086</v>
      </c>
    </row>
    <row r="164" spans="1:33" x14ac:dyDescent="0.2">
      <c r="A164" s="5" t="s">
        <v>166</v>
      </c>
      <c r="B164" s="5" t="s">
        <v>360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>
        <v>10.399999618530273</v>
      </c>
      <c r="Q164" s="7">
        <v>9.6999998092651367</v>
      </c>
      <c r="R164" s="7">
        <v>8</v>
      </c>
      <c r="S164" s="7">
        <v>5.4000000953674316</v>
      </c>
      <c r="T164" s="7">
        <v>5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G164" s="7">
        <f t="shared" si="2"/>
        <v>6.1333333651224775</v>
      </c>
    </row>
    <row r="165" spans="1:33" x14ac:dyDescent="0.2">
      <c r="A165" s="5" t="s">
        <v>176</v>
      </c>
      <c r="B165" s="5" t="s">
        <v>370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>
        <v>3.7000000476837158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G165" s="7" t="e">
        <f t="shared" si="2"/>
        <v>#DIV/0!</v>
      </c>
    </row>
    <row r="166" spans="1:33" x14ac:dyDescent="0.2">
      <c r="A166" s="5" t="s">
        <v>178</v>
      </c>
      <c r="B166" s="5" t="s">
        <v>372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>
        <v>85.800003051757813</v>
      </c>
      <c r="P166" s="7">
        <v>85.5</v>
      </c>
      <c r="Q166" s="7"/>
      <c r="R166" s="7">
        <v>81.099998474121094</v>
      </c>
      <c r="S166" s="7"/>
      <c r="T166" s="7"/>
      <c r="U166" s="7"/>
      <c r="V166" s="7">
        <v>76.400001525878906</v>
      </c>
      <c r="W166" s="7">
        <v>85.812713623046875</v>
      </c>
      <c r="X166" s="7">
        <v>87.5</v>
      </c>
      <c r="Y166" s="7"/>
      <c r="Z166" s="7">
        <v>80.199996948242188</v>
      </c>
      <c r="AA166" s="7"/>
      <c r="AB166" s="7"/>
      <c r="AC166" s="7"/>
      <c r="AD166" s="7"/>
      <c r="AE166" s="7"/>
      <c r="AG166" s="7">
        <f t="shared" si="2"/>
        <v>82.20254211425781</v>
      </c>
    </row>
    <row r="167" spans="1:33" x14ac:dyDescent="0.2">
      <c r="A167" s="5" t="s">
        <v>179</v>
      </c>
      <c r="B167" s="5" t="s">
        <v>373</v>
      </c>
      <c r="C167" s="7"/>
      <c r="D167" s="7"/>
      <c r="E167" s="7"/>
      <c r="F167" s="7"/>
      <c r="G167" s="7"/>
      <c r="H167" s="7">
        <v>10.399999618530273</v>
      </c>
      <c r="I167" s="7">
        <v>11</v>
      </c>
      <c r="J167" s="7">
        <v>16.299999237060547</v>
      </c>
      <c r="K167" s="7">
        <v>17.700000762939453</v>
      </c>
      <c r="L167" s="7">
        <v>8.8000001907348633</v>
      </c>
      <c r="M167" s="7">
        <v>10.100000381469727</v>
      </c>
      <c r="N167" s="7">
        <v>10.899999618530273</v>
      </c>
      <c r="O167" s="7">
        <v>12.199999809265137</v>
      </c>
      <c r="P167" s="7">
        <v>12.5</v>
      </c>
      <c r="Q167" s="7">
        <v>16.399999618530273</v>
      </c>
      <c r="R167" s="7">
        <v>18.200000762939453</v>
      </c>
      <c r="S167" s="7">
        <v>19</v>
      </c>
      <c r="T167" s="7">
        <v>19.299999237060547</v>
      </c>
      <c r="U167" s="7">
        <v>18</v>
      </c>
      <c r="V167" s="7">
        <v>18.5</v>
      </c>
      <c r="W167" s="7">
        <v>17.880193710327148</v>
      </c>
      <c r="X167" s="7">
        <v>19.299999237060547</v>
      </c>
      <c r="Y167" s="7">
        <v>18.799999237060547</v>
      </c>
      <c r="Z167" s="7">
        <v>19.100000381469727</v>
      </c>
      <c r="AA167" s="7">
        <v>15.899999618530273</v>
      </c>
      <c r="AB167" s="7">
        <v>15.899999618530273</v>
      </c>
      <c r="AC167" s="7">
        <v>16.005817413330078</v>
      </c>
      <c r="AD167" s="7">
        <v>15.712039947509766</v>
      </c>
      <c r="AE167" s="7">
        <v>15.827980041503906</v>
      </c>
      <c r="AG167" s="7">
        <f t="shared" si="2"/>
        <v>18.1709265275435</v>
      </c>
    </row>
    <row r="168" spans="1:33" x14ac:dyDescent="0.2">
      <c r="A168" s="5" t="s">
        <v>5</v>
      </c>
      <c r="B168" s="5" t="s">
        <v>198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>
        <v>3.0999999046325684</v>
      </c>
      <c r="S168" s="7"/>
      <c r="T168" s="7"/>
      <c r="U168" s="7">
        <v>4.1999998092651367</v>
      </c>
      <c r="V168" s="7">
        <v>4.4268307685852051</v>
      </c>
      <c r="W168" s="7"/>
      <c r="X168" s="7"/>
      <c r="Y168" s="7"/>
      <c r="Z168" s="7"/>
      <c r="AA168" s="7"/>
      <c r="AB168" s="7"/>
      <c r="AC168" s="7">
        <v>2.9845187664031982</v>
      </c>
      <c r="AD168" s="7"/>
      <c r="AE168" s="7">
        <v>4</v>
      </c>
      <c r="AG168" s="7">
        <f t="shared" si="2"/>
        <v>3.9089434941609702</v>
      </c>
    </row>
    <row r="169" spans="1:33" x14ac:dyDescent="0.2">
      <c r="A169" s="5" t="s">
        <v>64</v>
      </c>
      <c r="B169" s="5" t="s">
        <v>257</v>
      </c>
      <c r="C169" s="7">
        <v>13.300000190734863</v>
      </c>
      <c r="D169" s="7">
        <v>13</v>
      </c>
      <c r="E169" s="7">
        <v>13.199999809265137</v>
      </c>
      <c r="F169" s="7">
        <v>13.100000381469727</v>
      </c>
      <c r="G169" s="7">
        <v>13.399999618530273</v>
      </c>
      <c r="H169" s="7">
        <v>13.5</v>
      </c>
      <c r="I169" s="7">
        <v>13</v>
      </c>
      <c r="J169" s="7">
        <v>13</v>
      </c>
      <c r="K169" s="7">
        <v>12.5</v>
      </c>
      <c r="L169" s="7">
        <v>12.600000381469727</v>
      </c>
      <c r="M169" s="7">
        <v>12.30564022064209</v>
      </c>
      <c r="N169" s="7">
        <v>12.258390426635742</v>
      </c>
      <c r="O169" s="7">
        <v>12.315710067749023</v>
      </c>
      <c r="P169" s="7">
        <v>12.937399864196777</v>
      </c>
      <c r="Q169" s="7">
        <v>13.096699714660645</v>
      </c>
      <c r="R169" s="7">
        <v>12.992670059204102</v>
      </c>
      <c r="S169" s="7">
        <v>13.226699829101563</v>
      </c>
      <c r="T169" s="7">
        <v>13.385640144348145</v>
      </c>
      <c r="U169" s="7">
        <v>13.337920188903809</v>
      </c>
      <c r="V169" s="7">
        <v>13.59319019317627</v>
      </c>
      <c r="W169" s="7">
        <v>13.983349800109863</v>
      </c>
      <c r="X169" s="7">
        <v>14.178030014038086</v>
      </c>
      <c r="Y169" s="7">
        <v>14.614469528198242</v>
      </c>
      <c r="Z169" s="7">
        <v>14.580610275268555</v>
      </c>
      <c r="AA169" s="7">
        <v>15.224849700927734</v>
      </c>
      <c r="AB169" s="7">
        <v>14.976790428161621</v>
      </c>
      <c r="AC169" s="7">
        <v>15.419500350952148</v>
      </c>
      <c r="AD169" s="7">
        <v>15.357660293579102</v>
      </c>
      <c r="AE169" s="7">
        <v>15.107540130615234</v>
      </c>
      <c r="AG169" s="7">
        <f t="shared" si="2"/>
        <v>14.008565469221635</v>
      </c>
    </row>
    <row r="170" spans="1:33" x14ac:dyDescent="0.2">
      <c r="A170" s="5" t="s">
        <v>181</v>
      </c>
      <c r="B170" s="5" t="s">
        <v>375</v>
      </c>
      <c r="C170" s="7">
        <v>8.8010053634643555</v>
      </c>
      <c r="D170" s="7">
        <v>9.0189857482910156</v>
      </c>
      <c r="E170" s="7">
        <v>8.6967897415161133</v>
      </c>
      <c r="F170" s="7">
        <v>8.8176174163818359</v>
      </c>
      <c r="G170" s="7">
        <v>8.7985906600952148</v>
      </c>
      <c r="H170" s="7">
        <v>8.5172367095947266</v>
      </c>
      <c r="I170" s="7">
        <v>8.4193906784057617</v>
      </c>
      <c r="J170" s="7">
        <v>8.2465047836303711</v>
      </c>
      <c r="K170" s="7">
        <v>7.9444098472595215</v>
      </c>
      <c r="L170" s="7">
        <v>7.6576218605041504</v>
      </c>
      <c r="M170" s="7">
        <v>7.4175939559936523</v>
      </c>
      <c r="N170" s="7">
        <v>7.3575949668884277</v>
      </c>
      <c r="O170" s="7">
        <v>7.2403469085693359</v>
      </c>
      <c r="P170" s="7">
        <v>7.5659408569335938</v>
      </c>
      <c r="Q170" s="7">
        <v>7.574042797088623</v>
      </c>
      <c r="R170" s="7">
        <v>7.4691448211669922</v>
      </c>
      <c r="S170" s="7">
        <v>7.4023561477661133</v>
      </c>
      <c r="T170" s="7">
        <v>7.2196102142333984</v>
      </c>
      <c r="U170" s="7">
        <v>7.0183157920837402</v>
      </c>
      <c r="V170" s="7">
        <v>7.0933489799499512</v>
      </c>
      <c r="W170" s="7">
        <v>7.0456809997558594</v>
      </c>
      <c r="X170" s="7">
        <v>6.8313798904418945</v>
      </c>
      <c r="Y170" s="7">
        <v>6.7656779289245605</v>
      </c>
      <c r="Z170" s="7">
        <v>6.6067137718200684</v>
      </c>
      <c r="AA170" s="7">
        <v>6.4549942016601563</v>
      </c>
      <c r="AB170" s="7">
        <v>6.456212043762207</v>
      </c>
      <c r="AC170" s="7">
        <v>6.4000711441040039</v>
      </c>
      <c r="AD170" s="7">
        <v>6.2620072364807129</v>
      </c>
      <c r="AE170" s="7">
        <v>6.2936158180236816</v>
      </c>
      <c r="AG170" s="7">
        <f t="shared" si="2"/>
        <v>6.9421304355968125</v>
      </c>
    </row>
    <row r="171" spans="1:33" x14ac:dyDescent="0.2">
      <c r="A171" s="5" t="s">
        <v>180</v>
      </c>
      <c r="B171" s="5" t="s">
        <v>374</v>
      </c>
      <c r="C171" s="7"/>
      <c r="D171" s="7"/>
      <c r="E171" s="7"/>
      <c r="F171" s="7"/>
      <c r="G171" s="7"/>
      <c r="H171" s="7"/>
      <c r="I171" s="7"/>
      <c r="J171" s="7"/>
      <c r="K171" s="7">
        <v>26.899999618530273</v>
      </c>
      <c r="L171" s="7">
        <v>27.299999237060547</v>
      </c>
      <c r="M171" s="7">
        <v>27</v>
      </c>
      <c r="N171" s="7">
        <v>28.799999237060547</v>
      </c>
      <c r="O171" s="7">
        <v>32</v>
      </c>
      <c r="P171" s="7">
        <v>29.799999237060547</v>
      </c>
      <c r="Q171" s="7"/>
      <c r="R171" s="7">
        <v>28.600000381469727</v>
      </c>
      <c r="S171" s="7">
        <v>29.899999618530273</v>
      </c>
      <c r="T171" s="7">
        <v>29.899999618530273</v>
      </c>
      <c r="U171" s="7">
        <v>28.100000381469727</v>
      </c>
      <c r="V171" s="7">
        <v>27.799999237060547</v>
      </c>
      <c r="W171" s="7">
        <v>26.899999618530273</v>
      </c>
      <c r="X171" s="7">
        <v>28.299999237060547</v>
      </c>
      <c r="Y171" s="7">
        <v>27.299999237060547</v>
      </c>
      <c r="Z171" s="7">
        <v>27.5</v>
      </c>
      <c r="AA171" s="7">
        <v>27.523000717163086</v>
      </c>
      <c r="AB171" s="7">
        <v>29.511999130249023</v>
      </c>
      <c r="AC171" s="7">
        <v>29.854999542236328</v>
      </c>
      <c r="AD171" s="7">
        <v>31.218000411987305</v>
      </c>
      <c r="AE171" s="7">
        <v>31.802999496459961</v>
      </c>
      <c r="AG171" s="7">
        <f t="shared" si="2"/>
        <v>28.30318156155673</v>
      </c>
    </row>
    <row r="172" spans="1:33" x14ac:dyDescent="0.2">
      <c r="A172" s="5" t="s">
        <v>186</v>
      </c>
      <c r="B172" s="5" t="s">
        <v>380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>
        <v>71.400001525878906</v>
      </c>
      <c r="W172" s="7"/>
      <c r="X172" s="7"/>
      <c r="Y172" s="7"/>
      <c r="Z172" s="7"/>
      <c r="AA172" s="7"/>
      <c r="AB172" s="7"/>
      <c r="AC172" s="7"/>
      <c r="AD172" s="7"/>
      <c r="AE172" s="7"/>
      <c r="AG172" s="7">
        <f t="shared" si="2"/>
        <v>71.400001525878906</v>
      </c>
    </row>
    <row r="173" spans="1:33" x14ac:dyDescent="0.2">
      <c r="A173" s="5" t="s">
        <v>184</v>
      </c>
      <c r="B173" s="5" t="s">
        <v>378</v>
      </c>
      <c r="C173" s="7"/>
      <c r="D173" s="7">
        <v>31.804000854492188</v>
      </c>
      <c r="E173" s="7">
        <v>32.265998840332031</v>
      </c>
      <c r="F173" s="7">
        <v>33.368000030517578</v>
      </c>
      <c r="G173" s="7">
        <v>38.299999237060547</v>
      </c>
      <c r="H173" s="7">
        <v>37.900001525878906</v>
      </c>
      <c r="I173" s="7">
        <v>38.700000762939453</v>
      </c>
      <c r="J173" s="7">
        <v>36.099998474121094</v>
      </c>
      <c r="K173" s="7">
        <v>39.599998474121094</v>
      </c>
      <c r="L173" s="7">
        <v>40.799999237060547</v>
      </c>
      <c r="M173" s="7">
        <v>42</v>
      </c>
      <c r="N173" s="7">
        <v>41</v>
      </c>
      <c r="O173" s="7">
        <v>39.900001525878906</v>
      </c>
      <c r="P173" s="7">
        <v>40.400001525878906</v>
      </c>
      <c r="Q173" s="7">
        <v>37.900001525878906</v>
      </c>
      <c r="R173" s="7">
        <v>36.099998474121094</v>
      </c>
      <c r="S173" s="7">
        <v>34.900001525878906</v>
      </c>
      <c r="T173" s="7">
        <v>34</v>
      </c>
      <c r="U173" s="7">
        <v>34.599998474121094</v>
      </c>
      <c r="V173" s="7">
        <v>41.599998474121094</v>
      </c>
      <c r="W173" s="7">
        <v>43</v>
      </c>
      <c r="X173" s="7">
        <v>42.799999237060547</v>
      </c>
      <c r="Y173" s="7">
        <v>41.599998474121094</v>
      </c>
      <c r="Z173" s="7">
        <v>35.299999237060547</v>
      </c>
      <c r="AA173" s="7">
        <v>36.061000823974609</v>
      </c>
      <c r="AB173" s="7">
        <v>37.305000305175781</v>
      </c>
      <c r="AC173" s="7">
        <v>49.672000885009766</v>
      </c>
      <c r="AD173" s="7">
        <v>48.976001739501953</v>
      </c>
      <c r="AE173" s="7">
        <v>51.368000030517578</v>
      </c>
      <c r="AG173" s="7">
        <f t="shared" si="2"/>
        <v>37.933272275057703</v>
      </c>
    </row>
    <row r="174" spans="1:33" x14ac:dyDescent="0.2">
      <c r="A174" s="5" t="s">
        <v>185</v>
      </c>
      <c r="B174" s="5" t="s">
        <v>379</v>
      </c>
      <c r="C174" s="7"/>
      <c r="D174" s="7"/>
      <c r="E174" s="7"/>
      <c r="F174" s="7"/>
      <c r="G174" s="7"/>
      <c r="H174" s="7"/>
      <c r="I174" s="7">
        <v>82.800003051757813</v>
      </c>
      <c r="J174" s="7">
        <v>81.199996948242188</v>
      </c>
      <c r="K174" s="7">
        <v>78.599998474121094</v>
      </c>
      <c r="L174" s="7">
        <v>81.099998474121094</v>
      </c>
      <c r="M174" s="7">
        <v>80.300003051757813</v>
      </c>
      <c r="N174" s="7">
        <v>77.800003051757813</v>
      </c>
      <c r="O174" s="7">
        <v>78.699996948242188</v>
      </c>
      <c r="P174" s="7">
        <v>77.300003051757813</v>
      </c>
      <c r="Q174" s="7">
        <v>74.400001525878906</v>
      </c>
      <c r="R174" s="7"/>
      <c r="S174" s="7"/>
      <c r="T174" s="7"/>
      <c r="U174" s="7"/>
      <c r="V174" s="7">
        <v>66.527244567871094</v>
      </c>
      <c r="W174" s="7">
        <v>66.21160888671875</v>
      </c>
      <c r="X174" s="7">
        <v>65.380523681640625</v>
      </c>
      <c r="Y174" s="7">
        <v>65.263969421386719</v>
      </c>
      <c r="Z174" s="7">
        <v>65.161148071289063</v>
      </c>
      <c r="AA174" s="7">
        <v>64.354194641113281</v>
      </c>
      <c r="AB174" s="7">
        <v>60.687358856201172</v>
      </c>
      <c r="AC174" s="7">
        <v>58.804416656494141</v>
      </c>
      <c r="AD174" s="7">
        <v>57.170680999755859</v>
      </c>
      <c r="AE174" s="7">
        <v>56.0634765625</v>
      </c>
      <c r="AG174" s="7">
        <f t="shared" si="2"/>
        <v>64.79800687517438</v>
      </c>
    </row>
    <row r="175" spans="1:33" x14ac:dyDescent="0.2">
      <c r="A175" s="5" t="s">
        <v>409</v>
      </c>
      <c r="B175" s="5" t="s">
        <v>337</v>
      </c>
      <c r="C175" s="7"/>
      <c r="D175" s="7"/>
      <c r="E175" s="7"/>
      <c r="F175" s="7"/>
      <c r="G175" s="7"/>
      <c r="H175" s="7"/>
      <c r="I175" s="7">
        <v>38.599998474121094</v>
      </c>
      <c r="J175" s="7">
        <v>38</v>
      </c>
      <c r="K175" s="7">
        <v>34.700000762939453</v>
      </c>
      <c r="L175" s="7">
        <v>32.200000762939453</v>
      </c>
      <c r="M175" s="7">
        <v>33.900001525878906</v>
      </c>
      <c r="N175" s="7">
        <v>37.799999237060547</v>
      </c>
      <c r="O175" s="7">
        <v>40.799999237060547</v>
      </c>
      <c r="P175" s="7">
        <v>42.700000762939453</v>
      </c>
      <c r="Q175" s="7">
        <v>41.700000762939453</v>
      </c>
      <c r="R175" s="7">
        <v>40.5</v>
      </c>
      <c r="S175" s="7">
        <v>40.700000762939453</v>
      </c>
      <c r="T175" s="7">
        <v>40.200000762939453</v>
      </c>
      <c r="U175" s="7">
        <v>34.700000762939453</v>
      </c>
      <c r="V175" s="7">
        <v>33.5</v>
      </c>
      <c r="W175" s="7">
        <v>32.400001525878906</v>
      </c>
      <c r="X175" s="7">
        <v>27.012180328369141</v>
      </c>
      <c r="Y175" s="7">
        <v>26.695409774780273</v>
      </c>
      <c r="Z175" s="7">
        <v>25.590328216552734</v>
      </c>
      <c r="AA175" s="7">
        <v>32.299999237060547</v>
      </c>
      <c r="AB175" s="7">
        <v>31.299999237060547</v>
      </c>
      <c r="AC175" s="7">
        <v>30.5</v>
      </c>
      <c r="AD175" s="7">
        <v>29.600000381469727</v>
      </c>
      <c r="AE175" s="7">
        <v>30.299999237060547</v>
      </c>
      <c r="AG175" s="7">
        <f t="shared" si="2"/>
        <v>33.172538237138227</v>
      </c>
    </row>
    <row r="176" spans="1:33" x14ac:dyDescent="0.2">
      <c r="A176" s="5" t="s">
        <v>189</v>
      </c>
      <c r="B176" s="5" t="s">
        <v>383</v>
      </c>
      <c r="C176" s="7"/>
      <c r="D176" s="7"/>
      <c r="E176" s="7"/>
      <c r="F176" s="7"/>
      <c r="G176" s="7"/>
      <c r="H176" s="7"/>
      <c r="I176" s="7"/>
      <c r="J176" s="7"/>
      <c r="K176" s="7"/>
      <c r="L176" s="7">
        <v>58.400001525878906</v>
      </c>
      <c r="M176" s="7"/>
      <c r="N176" s="7"/>
      <c r="O176" s="7"/>
      <c r="P176" s="7"/>
      <c r="Q176" s="7">
        <v>39.400001525878906</v>
      </c>
      <c r="R176" s="7">
        <v>47.5</v>
      </c>
      <c r="S176" s="7"/>
      <c r="T176" s="7"/>
      <c r="U176" s="7"/>
      <c r="V176" s="7"/>
      <c r="W176" s="7">
        <v>34.099998474121094</v>
      </c>
      <c r="X176" s="7"/>
      <c r="Y176" s="7"/>
      <c r="Z176" s="7"/>
      <c r="AA176" s="7"/>
      <c r="AB176" s="7"/>
      <c r="AC176" s="7"/>
      <c r="AD176" s="7"/>
      <c r="AE176" s="7"/>
      <c r="AG176" s="7">
        <f t="shared" si="2"/>
        <v>40.799999237060547</v>
      </c>
    </row>
    <row r="177" spans="1:33" x14ac:dyDescent="0.2">
      <c r="A177" s="5" t="s">
        <v>191</v>
      </c>
      <c r="B177" s="5" t="s">
        <v>385</v>
      </c>
      <c r="C177" s="7">
        <v>66.5</v>
      </c>
      <c r="D177" s="7">
        <v>70.699996948242188</v>
      </c>
      <c r="E177" s="7"/>
      <c r="F177" s="7"/>
      <c r="G177" s="7"/>
      <c r="H177" s="7"/>
      <c r="I177" s="7">
        <v>78.699996948242188</v>
      </c>
      <c r="J177" s="7"/>
      <c r="K177" s="7">
        <v>81.800003051757813</v>
      </c>
      <c r="L177" s="7"/>
      <c r="M177" s="7">
        <v>81.699996948242188</v>
      </c>
      <c r="N177" s="7"/>
      <c r="O177" s="7"/>
      <c r="P177" s="7">
        <v>79.400001525878906</v>
      </c>
      <c r="Q177" s="7"/>
      <c r="R177" s="7">
        <v>82</v>
      </c>
      <c r="S177" s="7"/>
      <c r="T177" s="7"/>
      <c r="U177" s="7">
        <v>81.599998474121094</v>
      </c>
      <c r="V177" s="7"/>
      <c r="W177" s="7">
        <v>77.599998474121094</v>
      </c>
      <c r="X177" s="7"/>
      <c r="Y177" s="7">
        <v>79.599998474121094</v>
      </c>
      <c r="Z177" s="7"/>
      <c r="AA177" s="7">
        <v>77.699996948242188</v>
      </c>
      <c r="AB177" s="7"/>
      <c r="AC177" s="7"/>
      <c r="AD177" s="7">
        <v>58.799999237060547</v>
      </c>
      <c r="AE177" s="7">
        <v>57.299999237060547</v>
      </c>
      <c r="AG177" s="7">
        <f t="shared" si="2"/>
        <v>79.699998474121088</v>
      </c>
    </row>
    <row r="178" spans="1:33" x14ac:dyDescent="0.2">
      <c r="A178" s="5" t="s">
        <v>192</v>
      </c>
      <c r="B178" s="5" t="s">
        <v>386</v>
      </c>
      <c r="C178" s="7"/>
      <c r="D178" s="7"/>
      <c r="E178" s="7"/>
      <c r="F178" s="7"/>
      <c r="G178" s="7">
        <v>63.900001525878906</v>
      </c>
      <c r="H178" s="7"/>
      <c r="I178" s="7"/>
      <c r="J178" s="7">
        <v>60.799999237060547</v>
      </c>
      <c r="K178" s="7"/>
      <c r="L178" s="7">
        <v>60.700000762939453</v>
      </c>
      <c r="M178" s="7"/>
      <c r="N178" s="7"/>
      <c r="O178" s="7">
        <v>62.299999237060547</v>
      </c>
      <c r="P178" s="7"/>
      <c r="Q178" s="7"/>
      <c r="R178" s="7"/>
      <c r="S178" s="7"/>
      <c r="T178" s="7"/>
      <c r="U178" s="7"/>
      <c r="V178" s="7"/>
      <c r="W178" s="7"/>
      <c r="X178" s="7">
        <v>75</v>
      </c>
      <c r="Y178" s="7">
        <v>66</v>
      </c>
      <c r="Z178" s="7"/>
      <c r="AA178" s="7">
        <v>74.559120178222656</v>
      </c>
      <c r="AB178" s="7"/>
      <c r="AC178" s="7"/>
      <c r="AD178" s="7"/>
      <c r="AE178" s="7"/>
      <c r="AG178" s="7">
        <f t="shared" si="2"/>
        <v>71.853040059407547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A0B4-EABE-42C3-813F-B4EC23D71258}">
  <dimension ref="A1:AE135"/>
  <sheetViews>
    <sheetView workbookViewId="0">
      <pane xSplit="2" ySplit="1" topLeftCell="J130" activePane="bottomRight" state="frozen"/>
      <selection pane="topRight" activeCell="C1" sqref="C1"/>
      <selection pane="bottomLeft" activeCell="A2" sqref="A2"/>
      <selection pane="bottomRight" activeCell="P158" sqref="P158"/>
    </sheetView>
  </sheetViews>
  <sheetFormatPr defaultColWidth="9.140625" defaultRowHeight="12.75" x14ac:dyDescent="0.2"/>
  <cols>
    <col min="1" max="1" width="20.85546875" style="3" customWidth="1"/>
    <col min="2" max="16384" width="9.140625" style="3"/>
  </cols>
  <sheetData>
    <row r="1" spans="1:31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</row>
    <row r="2" spans="1:31" x14ac:dyDescent="0.2">
      <c r="A2" s="3" t="s">
        <v>1</v>
      </c>
      <c r="B2" s="3" t="s">
        <v>194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>
        <v>3.7000000476837158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">
      <c r="A3" s="3" t="s">
        <v>3</v>
      </c>
      <c r="B3" s="3" t="s">
        <v>196</v>
      </c>
      <c r="C3" s="8"/>
      <c r="D3" s="8"/>
      <c r="E3" s="8"/>
      <c r="F3" s="8"/>
      <c r="G3" s="8"/>
      <c r="H3" s="8">
        <v>32</v>
      </c>
      <c r="I3" s="8"/>
      <c r="J3" s="8"/>
      <c r="K3" s="8"/>
      <c r="L3" s="8"/>
      <c r="M3" s="8"/>
      <c r="N3" s="8"/>
      <c r="O3" s="8"/>
      <c r="P3" s="8"/>
      <c r="Q3" s="8">
        <v>48.900001525878906</v>
      </c>
      <c r="R3" s="8"/>
      <c r="S3" s="8"/>
      <c r="T3" s="8">
        <v>37.900001525878906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A4" s="3" t="s">
        <v>52</v>
      </c>
      <c r="B4" s="3" t="s">
        <v>245</v>
      </c>
      <c r="C4" s="8"/>
      <c r="D4" s="8"/>
      <c r="E4" s="8"/>
      <c r="F4" s="8"/>
      <c r="G4" s="8"/>
      <c r="H4" s="8"/>
      <c r="I4" s="8"/>
      <c r="J4" s="8">
        <v>31</v>
      </c>
      <c r="K4" s="8"/>
      <c r="L4" s="8"/>
      <c r="M4" s="8"/>
      <c r="N4" s="8"/>
      <c r="O4" s="8">
        <v>36.700000762939453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">
      <c r="A5" s="3" t="s">
        <v>6</v>
      </c>
      <c r="B5" s="3" t="s">
        <v>199</v>
      </c>
      <c r="C5" s="8"/>
      <c r="D5" s="8"/>
      <c r="E5" s="8"/>
      <c r="F5" s="8"/>
      <c r="G5" s="8"/>
      <c r="H5" s="8">
        <v>53</v>
      </c>
      <c r="I5" s="8"/>
      <c r="J5" s="8"/>
      <c r="K5" s="8"/>
      <c r="L5" s="8"/>
      <c r="M5" s="8"/>
      <c r="N5" s="8"/>
      <c r="O5" s="8"/>
      <c r="P5" s="8"/>
      <c r="Q5" s="8">
        <v>35</v>
      </c>
      <c r="R5" s="8"/>
      <c r="S5" s="8"/>
      <c r="T5" s="8">
        <v>42.5</v>
      </c>
      <c r="U5" s="8">
        <v>42.299999237060547</v>
      </c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2">
      <c r="A6" s="3" t="s">
        <v>7</v>
      </c>
      <c r="B6" s="3" t="s">
        <v>200</v>
      </c>
      <c r="C6" s="8"/>
      <c r="D6" s="8"/>
      <c r="E6" s="8"/>
      <c r="F6" s="8"/>
      <c r="G6" s="8"/>
      <c r="H6" s="8">
        <v>66.599998474121094</v>
      </c>
      <c r="I6" s="8"/>
      <c r="J6" s="8"/>
      <c r="K6" s="8"/>
      <c r="L6" s="8"/>
      <c r="M6" s="8"/>
      <c r="N6" s="8"/>
      <c r="O6" s="8">
        <v>64.400001525878906</v>
      </c>
      <c r="P6" s="8"/>
      <c r="Q6" s="8"/>
      <c r="R6" s="8"/>
      <c r="S6" s="8"/>
      <c r="T6" s="8">
        <v>88</v>
      </c>
      <c r="U6" s="8">
        <v>32.099998474121094</v>
      </c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2">
      <c r="A7" s="3" t="s">
        <v>9</v>
      </c>
      <c r="B7" s="3" t="s">
        <v>202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>
        <v>92.599998474121094</v>
      </c>
      <c r="Q7" s="8"/>
      <c r="R7" s="8">
        <v>90.699996948242188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2">
      <c r="A8" s="3" t="s">
        <v>10</v>
      </c>
      <c r="B8" s="3" t="s">
        <v>203</v>
      </c>
      <c r="C8" s="8"/>
      <c r="D8" s="8"/>
      <c r="E8" s="8"/>
      <c r="F8" s="8">
        <v>95.800003051757813</v>
      </c>
      <c r="G8" s="8"/>
      <c r="H8" s="8"/>
      <c r="I8" s="8"/>
      <c r="J8" s="8"/>
      <c r="K8" s="8"/>
      <c r="L8" s="8"/>
      <c r="M8" s="8"/>
      <c r="N8" s="8"/>
      <c r="O8" s="8"/>
      <c r="P8" s="8"/>
      <c r="Q8" s="8">
        <v>80.800003051757813</v>
      </c>
      <c r="R8" s="8">
        <v>93.699996948242188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2">
      <c r="A9" s="3" t="s">
        <v>11</v>
      </c>
      <c r="B9" s="3" t="s">
        <v>204</v>
      </c>
      <c r="C9" s="8"/>
      <c r="D9" s="8"/>
      <c r="E9" s="8"/>
      <c r="F9" s="8"/>
      <c r="G9" s="8"/>
      <c r="H9" s="8"/>
      <c r="I9" s="8">
        <v>52</v>
      </c>
      <c r="J9" s="8"/>
      <c r="K9" s="8"/>
      <c r="L9" s="8"/>
      <c r="M9" s="8"/>
      <c r="N9" s="8"/>
      <c r="O9" s="8"/>
      <c r="P9" s="8"/>
      <c r="Q9" s="8"/>
      <c r="R9" s="8"/>
      <c r="S9" s="8"/>
      <c r="T9" s="8">
        <v>35.400001525878906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2">
      <c r="A10" s="3" t="s">
        <v>18</v>
      </c>
      <c r="B10" s="3" t="s">
        <v>211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20.200000762939453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2">
      <c r="A11" s="3" t="s">
        <v>16</v>
      </c>
      <c r="B11" s="3" t="s">
        <v>209</v>
      </c>
      <c r="C11" s="8"/>
      <c r="D11" s="8"/>
      <c r="E11" s="8"/>
      <c r="F11" s="8">
        <v>3.5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2.5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2">
      <c r="A12" s="3" t="s">
        <v>21</v>
      </c>
      <c r="B12" s="3" t="s">
        <v>214</v>
      </c>
      <c r="C12" s="8"/>
      <c r="D12" s="8"/>
      <c r="E12" s="8">
        <v>97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v>93.5</v>
      </c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2">
      <c r="A13" s="3" t="s">
        <v>13</v>
      </c>
      <c r="B13" s="3" t="s">
        <v>206</v>
      </c>
      <c r="C13" s="8"/>
      <c r="D13" s="8"/>
      <c r="E13" s="8"/>
      <c r="F13" s="8"/>
      <c r="G13" s="8"/>
      <c r="H13" s="8">
        <v>86.199996948242188</v>
      </c>
      <c r="I13" s="8"/>
      <c r="J13" s="8"/>
      <c r="K13" s="8"/>
      <c r="L13" s="8"/>
      <c r="M13" s="8"/>
      <c r="N13" s="8"/>
      <c r="O13" s="8"/>
      <c r="P13" s="8"/>
      <c r="Q13" s="8"/>
      <c r="R13" s="8">
        <v>91.400001525878906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2">
      <c r="A14" s="3" t="s">
        <v>14</v>
      </c>
      <c r="B14" s="3" t="s">
        <v>207</v>
      </c>
      <c r="C14" s="8"/>
      <c r="D14" s="8"/>
      <c r="E14" s="8"/>
      <c r="F14" s="8"/>
      <c r="G14" s="8"/>
      <c r="H14" s="8"/>
      <c r="I14" s="8">
        <v>4.8000001907348633</v>
      </c>
      <c r="J14" s="8"/>
      <c r="K14" s="8"/>
      <c r="L14" s="8"/>
      <c r="M14" s="8"/>
      <c r="N14" s="8"/>
      <c r="O14" s="8"/>
      <c r="P14" s="8"/>
      <c r="Q14" s="8"/>
      <c r="R14" s="8">
        <v>5.5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2">
      <c r="A15" s="3" t="s">
        <v>24</v>
      </c>
      <c r="B15" s="3" t="s">
        <v>217</v>
      </c>
      <c r="C15" s="8"/>
      <c r="D15" s="8"/>
      <c r="E15" s="8"/>
      <c r="F15" s="8"/>
      <c r="G15" s="8"/>
      <c r="H15" s="8"/>
      <c r="I15" s="8"/>
      <c r="J15" s="8"/>
      <c r="K15" s="8"/>
      <c r="L15" s="8">
        <v>14.800000190734863</v>
      </c>
      <c r="M15" s="8"/>
      <c r="N15" s="8"/>
      <c r="O15" s="8">
        <v>10.100000381469727</v>
      </c>
      <c r="P15" s="8"/>
      <c r="Q15" s="8"/>
      <c r="R15" s="8"/>
      <c r="S15" s="8"/>
      <c r="T15" s="8">
        <v>11.5</v>
      </c>
      <c r="U15" s="8">
        <v>12.199999809265137</v>
      </c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2">
      <c r="A16" s="3" t="s">
        <v>20</v>
      </c>
      <c r="B16" s="3" t="s">
        <v>213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>
        <v>36</v>
      </c>
      <c r="R16" s="8">
        <v>35.5</v>
      </c>
      <c r="S16" s="8"/>
      <c r="T16" s="8"/>
      <c r="U16" s="8"/>
      <c r="V16" s="8">
        <v>24.5</v>
      </c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">
      <c r="A17" s="3" t="s">
        <v>29</v>
      </c>
      <c r="B17" s="3" t="s">
        <v>222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>
        <v>9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2">
      <c r="A18" s="3" t="s">
        <v>25</v>
      </c>
      <c r="B18" s="3" t="s">
        <v>218</v>
      </c>
      <c r="C18" s="8"/>
      <c r="D18" s="8"/>
      <c r="E18" s="8"/>
      <c r="F18" s="8"/>
      <c r="G18" s="8"/>
      <c r="H18" s="8"/>
      <c r="I18" s="8">
        <v>36</v>
      </c>
      <c r="J18" s="8"/>
      <c r="K18" s="8"/>
      <c r="L18" s="8"/>
      <c r="M18" s="8"/>
      <c r="N18" s="8"/>
      <c r="O18" s="8"/>
      <c r="P18" s="8"/>
      <c r="Q18" s="8">
        <v>52.599998474121094</v>
      </c>
      <c r="R18" s="8"/>
      <c r="S18" s="8"/>
      <c r="T18" s="8">
        <v>51</v>
      </c>
      <c r="U18" s="8">
        <v>55.200000762939453</v>
      </c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">
      <c r="A19" s="3" t="s">
        <v>17</v>
      </c>
      <c r="B19" s="3" t="s">
        <v>210</v>
      </c>
      <c r="C19" s="8"/>
      <c r="D19" s="8"/>
      <c r="E19" s="8"/>
      <c r="F19" s="8"/>
      <c r="G19" s="8">
        <v>64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>
        <v>83.5</v>
      </c>
      <c r="U19" s="8">
        <v>78.699996948242188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">
      <c r="A20" s="3" t="s">
        <v>15</v>
      </c>
      <c r="B20" s="3" t="s">
        <v>208</v>
      </c>
      <c r="C20" s="8"/>
      <c r="D20" s="8"/>
      <c r="E20" s="8"/>
      <c r="F20" s="8">
        <v>3.0999999046325684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>
        <v>1.2000000476837158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">
      <c r="A21" s="3" t="s">
        <v>12</v>
      </c>
      <c r="B21" s="3" t="s">
        <v>205</v>
      </c>
      <c r="C21" s="8"/>
      <c r="D21" s="8"/>
      <c r="E21" s="8"/>
      <c r="F21" s="8">
        <v>3.2999999523162842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>
        <v>3.5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2">
      <c r="A22" s="3" t="s">
        <v>36</v>
      </c>
      <c r="B22" s="3" t="s">
        <v>229</v>
      </c>
      <c r="C22" s="8"/>
      <c r="D22" s="8"/>
      <c r="E22" s="8"/>
      <c r="F22" s="8">
        <v>13.699999809265137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>
        <v>16.200000762939453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2">
      <c r="A23" s="3" t="s">
        <v>31</v>
      </c>
      <c r="B23" s="3" t="s">
        <v>224</v>
      </c>
      <c r="C23" s="8"/>
      <c r="D23" s="8"/>
      <c r="E23" s="8">
        <v>91.900001525878906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>
        <v>57</v>
      </c>
      <c r="Q23" s="8"/>
      <c r="R23" s="8">
        <v>90.5</v>
      </c>
      <c r="S23" s="8"/>
      <c r="T23" s="8">
        <v>66.900001525878906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2">
      <c r="A24" s="3" t="s">
        <v>30</v>
      </c>
      <c r="B24" s="3" t="s">
        <v>223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>
        <v>1.5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2">
      <c r="A25" s="3" t="s">
        <v>167</v>
      </c>
      <c r="B25" s="3" t="s">
        <v>361</v>
      </c>
      <c r="C25" s="8">
        <v>1.1000000238418579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>
        <v>2.7000000476837158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2">
      <c r="A26" s="3" t="s">
        <v>33</v>
      </c>
      <c r="B26" s="3" t="s">
        <v>226</v>
      </c>
      <c r="C26" s="8"/>
      <c r="D26" s="8"/>
      <c r="E26" s="8"/>
      <c r="F26" s="8"/>
      <c r="G26" s="8"/>
      <c r="H26" s="8">
        <v>70</v>
      </c>
      <c r="I26" s="8"/>
      <c r="J26" s="8"/>
      <c r="K26" s="8"/>
      <c r="L26" s="8"/>
      <c r="M26" s="8"/>
      <c r="N26" s="8">
        <v>54.799999237060547</v>
      </c>
      <c r="O26" s="8"/>
      <c r="P26" s="8">
        <v>58</v>
      </c>
      <c r="Q26" s="8"/>
      <c r="R26" s="8"/>
      <c r="S26" s="8"/>
      <c r="T26" s="8">
        <v>57.299999237060547</v>
      </c>
      <c r="U26" s="8">
        <v>59.599998474121094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2">
      <c r="A27" s="3" t="s">
        <v>34</v>
      </c>
      <c r="B27" s="3" t="s">
        <v>227</v>
      </c>
      <c r="C27" s="8"/>
      <c r="D27" s="8"/>
      <c r="E27" s="8"/>
      <c r="F27" s="8"/>
      <c r="G27" s="8">
        <v>17.600000381469727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>
        <v>20.5</v>
      </c>
      <c r="S27" s="8"/>
      <c r="T27" s="8">
        <v>26.899999618530273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2">
      <c r="A28" s="3" t="s">
        <v>39</v>
      </c>
      <c r="B28" s="3" t="s">
        <v>232</v>
      </c>
      <c r="C28" s="8"/>
      <c r="D28" s="8"/>
      <c r="E28" s="8"/>
      <c r="F28" s="8"/>
      <c r="G28" s="8"/>
      <c r="H28" s="8"/>
      <c r="I28" s="8"/>
      <c r="J28" s="8"/>
      <c r="K28" s="8"/>
      <c r="L28" s="8">
        <v>20.700000762939453</v>
      </c>
      <c r="M28" s="8">
        <v>19</v>
      </c>
      <c r="N28" s="8"/>
      <c r="O28" s="8"/>
      <c r="P28" s="8"/>
      <c r="Q28" s="8"/>
      <c r="R28" s="8"/>
      <c r="S28" s="8">
        <v>24.5</v>
      </c>
      <c r="T28" s="8">
        <v>24.899999618530273</v>
      </c>
      <c r="U28" s="8">
        <v>31.5</v>
      </c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2">
      <c r="A29" s="3" t="s">
        <v>37</v>
      </c>
      <c r="B29" s="3" t="s">
        <v>230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14.199999809265137</v>
      </c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2">
      <c r="A30" s="3" t="s">
        <v>38</v>
      </c>
      <c r="B30" s="3" t="s">
        <v>231</v>
      </c>
      <c r="C30" s="8"/>
      <c r="D30" s="8"/>
      <c r="E30" s="8">
        <v>5.8000001907348633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9.6999998092651367</v>
      </c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2">
      <c r="A31" s="3" t="s">
        <v>42</v>
      </c>
      <c r="B31" s="3" t="s">
        <v>235</v>
      </c>
      <c r="C31" s="8"/>
      <c r="D31" s="8"/>
      <c r="E31" s="8"/>
      <c r="F31" s="8"/>
      <c r="G31" s="8"/>
      <c r="H31" s="8"/>
      <c r="I31" s="8"/>
      <c r="J31" s="8"/>
      <c r="K31" s="8">
        <v>50.599998474121094</v>
      </c>
      <c r="L31" s="8"/>
      <c r="M31" s="8"/>
      <c r="N31" s="8"/>
      <c r="O31" s="8"/>
      <c r="P31" s="8"/>
      <c r="Q31" s="8">
        <v>55.5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2">
      <c r="A32" s="3" t="s">
        <v>35</v>
      </c>
      <c r="B32" s="3" t="s">
        <v>228</v>
      </c>
      <c r="C32" s="8"/>
      <c r="D32" s="8"/>
      <c r="E32" s="8"/>
      <c r="F32" s="8"/>
      <c r="G32" s="8"/>
      <c r="H32" s="8"/>
      <c r="I32" s="8"/>
      <c r="J32" s="8">
        <v>9.3000001907348633</v>
      </c>
      <c r="K32" s="8"/>
      <c r="L32" s="8"/>
      <c r="M32" s="8"/>
      <c r="N32" s="8"/>
      <c r="O32" s="8"/>
      <c r="P32" s="8"/>
      <c r="Q32" s="8">
        <v>12.800000190734863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2">
      <c r="A33" s="3" t="s">
        <v>76</v>
      </c>
      <c r="B33" s="3" t="s">
        <v>269</v>
      </c>
      <c r="C33" s="8"/>
      <c r="D33" s="8"/>
      <c r="E33" s="8"/>
      <c r="F33" s="8"/>
      <c r="G33" s="8"/>
      <c r="H33" s="8"/>
      <c r="I33" s="8"/>
      <c r="J33" s="8">
        <v>66</v>
      </c>
      <c r="K33" s="8"/>
      <c r="L33" s="8"/>
      <c r="M33" s="8"/>
      <c r="N33" s="8">
        <v>67</v>
      </c>
      <c r="O33" s="8"/>
      <c r="P33" s="8"/>
      <c r="Q33" s="8">
        <v>71</v>
      </c>
      <c r="R33" s="8">
        <v>77</v>
      </c>
      <c r="S33" s="8"/>
      <c r="T33" s="8">
        <v>75.199996948242188</v>
      </c>
      <c r="U33" s="8"/>
      <c r="V33" s="8"/>
      <c r="W33" s="8">
        <v>82.900001525878906</v>
      </c>
      <c r="X33" s="8"/>
      <c r="Y33" s="8"/>
      <c r="Z33" s="8"/>
      <c r="AA33" s="8"/>
      <c r="AB33" s="8"/>
      <c r="AC33" s="8"/>
      <c r="AD33" s="8"/>
      <c r="AE33" s="8"/>
    </row>
    <row r="34" spans="1:31" x14ac:dyDescent="0.2">
      <c r="A34" s="3" t="s">
        <v>46</v>
      </c>
      <c r="B34" s="3" t="s">
        <v>239</v>
      </c>
      <c r="C34" s="8"/>
      <c r="D34" s="8"/>
      <c r="E34" s="8"/>
      <c r="F34" s="8"/>
      <c r="G34" s="8"/>
      <c r="H34" s="8">
        <v>85</v>
      </c>
      <c r="I34" s="8"/>
      <c r="J34" s="8"/>
      <c r="K34" s="8"/>
      <c r="L34" s="8"/>
      <c r="M34" s="8"/>
      <c r="N34" s="8"/>
      <c r="O34" s="8"/>
      <c r="P34" s="8">
        <v>86.300003051757813</v>
      </c>
      <c r="Q34" s="8"/>
      <c r="R34" s="8"/>
      <c r="S34" s="8"/>
      <c r="T34" s="8">
        <v>95.400001525878906</v>
      </c>
      <c r="U34" s="8">
        <v>93</v>
      </c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2">
      <c r="A35" s="3" t="s">
        <v>50</v>
      </c>
      <c r="B35" s="3" t="s">
        <v>243</v>
      </c>
      <c r="C35" s="8"/>
      <c r="D35" s="8"/>
      <c r="E35" s="8"/>
      <c r="F35" s="8">
        <v>89.599998474121094</v>
      </c>
      <c r="G35" s="8"/>
      <c r="H35" s="8"/>
      <c r="I35" s="8"/>
      <c r="J35" s="8"/>
      <c r="K35" s="8"/>
      <c r="L35" s="8"/>
      <c r="M35" s="8"/>
      <c r="N35" s="8"/>
      <c r="O35" s="8"/>
      <c r="P35" s="8">
        <v>92</v>
      </c>
      <c r="Q35" s="8"/>
      <c r="R35" s="8">
        <v>94.599998474121094</v>
      </c>
      <c r="S35" s="8"/>
      <c r="T35" s="8">
        <v>92.900001525878906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2">
      <c r="A36" s="3" t="s">
        <v>51</v>
      </c>
      <c r="B36" s="3" t="s">
        <v>244</v>
      </c>
      <c r="C36" s="8"/>
      <c r="D36" s="8"/>
      <c r="E36" s="8"/>
      <c r="F36" s="8"/>
      <c r="G36" s="8"/>
      <c r="H36" s="8"/>
      <c r="I36" s="8"/>
      <c r="J36" s="8"/>
      <c r="K36" s="8"/>
      <c r="L36" s="8">
        <v>14.399999618530273</v>
      </c>
      <c r="M36" s="8">
        <v>31</v>
      </c>
      <c r="N36" s="8">
        <v>26.799999237060547</v>
      </c>
      <c r="O36" s="8"/>
      <c r="P36" s="8"/>
      <c r="Q36" s="8"/>
      <c r="R36" s="8">
        <v>27.200000762939453</v>
      </c>
      <c r="S36" s="8"/>
      <c r="T36" s="8">
        <v>21.399999618530273</v>
      </c>
      <c r="U36" s="8">
        <v>25.600000381469727</v>
      </c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2">
      <c r="A37" s="3" t="s">
        <v>53</v>
      </c>
      <c r="B37" s="3" t="s">
        <v>246</v>
      </c>
      <c r="C37" s="8"/>
      <c r="D37" s="8"/>
      <c r="E37" s="8"/>
      <c r="F37" s="8"/>
      <c r="G37" s="8"/>
      <c r="H37" s="8"/>
      <c r="I37" s="8"/>
      <c r="J37" s="8"/>
      <c r="K37" s="8"/>
      <c r="L37" s="8">
        <v>43.099998474121094</v>
      </c>
      <c r="M37" s="8"/>
      <c r="N37" s="8"/>
      <c r="O37" s="8">
        <v>23.200000762939453</v>
      </c>
      <c r="P37" s="8"/>
      <c r="Q37" s="8">
        <v>26.399999618530273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2">
      <c r="A38" s="3" t="s">
        <v>54</v>
      </c>
      <c r="B38" s="3" t="s">
        <v>247</v>
      </c>
      <c r="C38" s="8"/>
      <c r="D38" s="8"/>
      <c r="E38" s="8"/>
      <c r="F38" s="8"/>
      <c r="G38" s="8">
        <v>50</v>
      </c>
      <c r="H38" s="8"/>
      <c r="I38" s="8"/>
      <c r="J38" s="8"/>
      <c r="K38" s="8"/>
      <c r="L38" s="8"/>
      <c r="M38" s="8"/>
      <c r="N38" s="8"/>
      <c r="O38" s="8"/>
      <c r="P38" s="8"/>
      <c r="Q38" s="8">
        <v>55.5</v>
      </c>
      <c r="R38" s="8"/>
      <c r="S38" s="8"/>
      <c r="T38" s="8"/>
      <c r="U38" s="8"/>
      <c r="V38" s="8">
        <v>55.099998474121094</v>
      </c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2">
      <c r="A39" s="3" t="s">
        <v>155</v>
      </c>
      <c r="B39" s="3" t="s">
        <v>349</v>
      </c>
      <c r="C39" s="8"/>
      <c r="D39" s="8"/>
      <c r="E39" s="8"/>
      <c r="F39" s="8"/>
      <c r="G39" s="8"/>
      <c r="H39" s="8"/>
      <c r="I39" s="8">
        <v>26.200000762939453</v>
      </c>
      <c r="J39" s="8"/>
      <c r="K39" s="8"/>
      <c r="L39" s="8"/>
      <c r="M39" s="8"/>
      <c r="N39" s="8"/>
      <c r="O39" s="8"/>
      <c r="P39" s="8">
        <v>18</v>
      </c>
      <c r="Q39" s="8"/>
      <c r="R39" s="8">
        <v>29.799999237060547</v>
      </c>
      <c r="S39" s="8"/>
      <c r="T39" s="8">
        <v>24</v>
      </c>
      <c r="U39" s="8">
        <v>22.899999618530273</v>
      </c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2">
      <c r="A40" s="3" t="s">
        <v>57</v>
      </c>
      <c r="B40" s="3" t="s">
        <v>250</v>
      </c>
      <c r="C40" s="8"/>
      <c r="D40" s="8"/>
      <c r="E40" s="8"/>
      <c r="F40" s="8"/>
      <c r="G40" s="8"/>
      <c r="H40" s="8">
        <v>76</v>
      </c>
      <c r="I40" s="8"/>
      <c r="J40" s="8"/>
      <c r="K40" s="8"/>
      <c r="L40" s="8"/>
      <c r="M40" s="8">
        <v>91</v>
      </c>
      <c r="N40" s="8"/>
      <c r="O40" s="8"/>
      <c r="P40" s="8"/>
      <c r="Q40" s="8">
        <v>94.5</v>
      </c>
      <c r="R40" s="8">
        <v>95.199996948242188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2">
      <c r="A41" s="3" t="s">
        <v>163</v>
      </c>
      <c r="B41" s="3" t="s">
        <v>357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>
        <v>15.399999618530273</v>
      </c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2">
      <c r="A42" s="3" t="s">
        <v>59</v>
      </c>
      <c r="B42" s="3" t="s">
        <v>252</v>
      </c>
      <c r="C42" s="8"/>
      <c r="D42" s="8"/>
      <c r="E42" s="8"/>
      <c r="F42" s="8">
        <v>90.300003051757813</v>
      </c>
      <c r="G42" s="8"/>
      <c r="H42" s="8"/>
      <c r="I42" s="8"/>
      <c r="J42" s="8"/>
      <c r="K42" s="8"/>
      <c r="L42" s="8"/>
      <c r="M42" s="8"/>
      <c r="N42" s="8"/>
      <c r="O42" s="8"/>
      <c r="P42" s="8">
        <v>90.300003051757813</v>
      </c>
      <c r="Q42" s="8"/>
      <c r="R42" s="8">
        <v>89.699996948242188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2">
      <c r="A43" s="3" t="s">
        <v>61</v>
      </c>
      <c r="B43" s="3" t="s">
        <v>254</v>
      </c>
      <c r="C43" s="8"/>
      <c r="D43" s="8"/>
      <c r="E43" s="8"/>
      <c r="F43" s="8">
        <v>88.400001525878906</v>
      </c>
      <c r="G43" s="8"/>
      <c r="H43" s="8"/>
      <c r="I43" s="8"/>
      <c r="J43" s="8"/>
      <c r="K43" s="8"/>
      <c r="L43" s="8"/>
      <c r="M43" s="8"/>
      <c r="N43" s="8"/>
      <c r="O43" s="8"/>
      <c r="P43" s="8">
        <v>90</v>
      </c>
      <c r="Q43" s="8"/>
      <c r="R43" s="8">
        <v>87.300003051757813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2">
      <c r="A44" s="3" t="s">
        <v>63</v>
      </c>
      <c r="B44" s="3" t="s">
        <v>256</v>
      </c>
      <c r="C44" s="8"/>
      <c r="D44" s="8">
        <v>7.3000001907348633</v>
      </c>
      <c r="E44" s="8"/>
      <c r="F44" s="8"/>
      <c r="G44" s="8"/>
      <c r="H44" s="8">
        <v>15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2">
      <c r="A45" s="3" t="s">
        <v>68</v>
      </c>
      <c r="B45" s="3" t="s">
        <v>261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>
        <v>3.7999999523162842</v>
      </c>
      <c r="Q45" s="8"/>
      <c r="R45" s="8"/>
      <c r="S45" s="8">
        <v>2.7000000476837158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2">
      <c r="A46" s="3" t="s">
        <v>65</v>
      </c>
      <c r="B46" s="3" t="s">
        <v>258</v>
      </c>
      <c r="C46" s="8"/>
      <c r="D46" s="8"/>
      <c r="E46" s="8"/>
      <c r="F46" s="8"/>
      <c r="G46" s="8"/>
      <c r="H46" s="8"/>
      <c r="I46" s="8">
        <v>77</v>
      </c>
      <c r="J46" s="8"/>
      <c r="K46" s="8"/>
      <c r="L46" s="8"/>
      <c r="M46" s="8">
        <v>41.700000762939453</v>
      </c>
      <c r="N46" s="8"/>
      <c r="O46" s="8"/>
      <c r="P46" s="8"/>
      <c r="Q46" s="8">
        <v>29.200000762939453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2">
      <c r="A47" s="3" t="s">
        <v>47</v>
      </c>
      <c r="B47" s="3" t="s">
        <v>240</v>
      </c>
      <c r="C47" s="8"/>
      <c r="D47" s="8"/>
      <c r="E47" s="8"/>
      <c r="F47" s="8"/>
      <c r="G47" s="8"/>
      <c r="H47" s="8">
        <v>94.199996948242188</v>
      </c>
      <c r="I47" s="8"/>
      <c r="J47" s="8"/>
      <c r="K47" s="8"/>
      <c r="L47" s="8"/>
      <c r="M47" s="8"/>
      <c r="N47" s="8"/>
      <c r="O47" s="8"/>
      <c r="P47" s="8">
        <v>88</v>
      </c>
      <c r="Q47" s="8"/>
      <c r="R47" s="8">
        <v>86.900001525878906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2">
      <c r="A48" s="3" t="s">
        <v>66</v>
      </c>
      <c r="B48" s="3" t="s">
        <v>259</v>
      </c>
      <c r="C48" s="8"/>
      <c r="D48" s="8"/>
      <c r="E48" s="8"/>
      <c r="F48" s="8">
        <v>7.1999998092651367</v>
      </c>
      <c r="G48" s="8"/>
      <c r="H48" s="8"/>
      <c r="I48" s="8"/>
      <c r="J48" s="8"/>
      <c r="K48" s="8"/>
      <c r="L48" s="8"/>
      <c r="M48" s="8"/>
      <c r="N48" s="8"/>
      <c r="O48" s="8"/>
      <c r="P48" s="8">
        <v>9.1000003814697266</v>
      </c>
      <c r="Q48" s="8">
        <v>8.1000003814697266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2">
      <c r="A49" s="3" t="s">
        <v>71</v>
      </c>
      <c r="B49" s="3" t="s">
        <v>264</v>
      </c>
      <c r="C49" s="8"/>
      <c r="D49" s="8"/>
      <c r="E49" s="8"/>
      <c r="F49" s="8"/>
      <c r="G49" s="8"/>
      <c r="H49" s="8"/>
      <c r="I49" s="8">
        <v>88</v>
      </c>
      <c r="J49" s="8"/>
      <c r="K49" s="8"/>
      <c r="L49" s="8"/>
      <c r="M49" s="8"/>
      <c r="N49" s="8"/>
      <c r="O49" s="8">
        <v>79</v>
      </c>
      <c r="P49" s="8"/>
      <c r="Q49" s="8"/>
      <c r="R49" s="8">
        <v>86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2">
      <c r="A50" s="3" t="s">
        <v>73</v>
      </c>
      <c r="B50" s="3" t="s">
        <v>266</v>
      </c>
      <c r="C50" s="8"/>
      <c r="D50" s="8"/>
      <c r="E50" s="8"/>
      <c r="F50" s="8"/>
      <c r="G50" s="8"/>
      <c r="H50" s="8"/>
      <c r="I50" s="8"/>
      <c r="J50" s="8"/>
      <c r="K50" s="8"/>
      <c r="L50" s="8">
        <v>22.799999237060547</v>
      </c>
      <c r="M50" s="8">
        <v>19</v>
      </c>
      <c r="N50" s="8"/>
      <c r="O50" s="8"/>
      <c r="P50" s="8"/>
      <c r="Q50" s="8"/>
      <c r="R50" s="8">
        <v>24</v>
      </c>
      <c r="S50" s="8"/>
      <c r="T50" s="8"/>
      <c r="U50" s="8">
        <v>20.299999237060547</v>
      </c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2">
      <c r="A51" s="3" t="s">
        <v>67</v>
      </c>
      <c r="B51" s="3" t="s">
        <v>260</v>
      </c>
      <c r="C51" s="8"/>
      <c r="D51" s="8"/>
      <c r="E51" s="8"/>
      <c r="F51" s="8">
        <v>12.100000381469727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2">
      <c r="A52" s="3" t="s">
        <v>69</v>
      </c>
      <c r="B52" s="3" t="s">
        <v>262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2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2">
      <c r="A53" s="3" t="s">
        <v>75</v>
      </c>
      <c r="B53" s="3" t="s">
        <v>268</v>
      </c>
      <c r="C53" s="8"/>
      <c r="D53" s="8"/>
      <c r="E53" s="8"/>
      <c r="F53" s="8"/>
      <c r="G53" s="8"/>
      <c r="H53" s="8"/>
      <c r="I53" s="8"/>
      <c r="J53" s="8"/>
      <c r="K53" s="8"/>
      <c r="L53" s="8">
        <v>20.600000381469727</v>
      </c>
      <c r="M53" s="8"/>
      <c r="N53" s="8"/>
      <c r="O53" s="8"/>
      <c r="P53" s="8"/>
      <c r="Q53" s="8"/>
      <c r="R53" s="8"/>
      <c r="S53" s="8">
        <v>16.100000381469727</v>
      </c>
      <c r="T53" s="8"/>
      <c r="U53" s="8">
        <v>17.299999237060547</v>
      </c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2">
      <c r="A54" s="3" t="s">
        <v>78</v>
      </c>
      <c r="B54" s="3" t="s">
        <v>271</v>
      </c>
      <c r="C54" s="8"/>
      <c r="D54" s="8"/>
      <c r="E54" s="8"/>
      <c r="F54" s="8"/>
      <c r="G54" s="8"/>
      <c r="H54" s="8"/>
      <c r="I54" s="8">
        <v>77</v>
      </c>
      <c r="J54" s="8"/>
      <c r="K54" s="8"/>
      <c r="L54" s="8"/>
      <c r="M54" s="8"/>
      <c r="N54" s="8"/>
      <c r="O54" s="8">
        <v>56.299999237060547</v>
      </c>
      <c r="P54" s="8"/>
      <c r="Q54" s="8"/>
      <c r="R54" s="8"/>
      <c r="S54" s="8"/>
      <c r="T54" s="8">
        <v>93</v>
      </c>
      <c r="U54" s="8">
        <v>92</v>
      </c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2">
      <c r="A55" s="3" t="s">
        <v>80</v>
      </c>
      <c r="B55" s="3" t="s">
        <v>273</v>
      </c>
      <c r="C55" s="8"/>
      <c r="D55" s="8"/>
      <c r="E55" s="8">
        <v>10.600000381469727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>
        <v>9</v>
      </c>
      <c r="R55" s="8"/>
      <c r="S55" s="8">
        <v>10.300000190734863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2">
      <c r="A56" s="3" t="s">
        <v>79</v>
      </c>
      <c r="B56" s="3" t="s">
        <v>272</v>
      </c>
      <c r="C56" s="8"/>
      <c r="D56" s="8"/>
      <c r="E56" s="8"/>
      <c r="F56" s="8"/>
      <c r="G56" s="8"/>
      <c r="H56" s="8">
        <v>8</v>
      </c>
      <c r="I56" s="8"/>
      <c r="J56" s="8"/>
      <c r="K56" s="8"/>
      <c r="L56" s="8"/>
      <c r="M56" s="8"/>
      <c r="N56" s="8"/>
      <c r="O56" s="8">
        <v>15.5</v>
      </c>
      <c r="P56" s="8"/>
      <c r="Q56" s="8"/>
      <c r="R56" s="8"/>
      <c r="S56" s="8"/>
      <c r="T56" s="8"/>
      <c r="U56" s="8">
        <v>7.0999999046325684</v>
      </c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2">
      <c r="A57" s="3" t="s">
        <v>82</v>
      </c>
      <c r="B57" s="3" t="s">
        <v>275</v>
      </c>
      <c r="C57" s="8"/>
      <c r="D57" s="8"/>
      <c r="E57" s="8"/>
      <c r="F57" s="8"/>
      <c r="G57" s="8">
        <v>29.799999237060547</v>
      </c>
      <c r="H57" s="8"/>
      <c r="I57" s="8"/>
      <c r="J57" s="8"/>
      <c r="K57" s="8"/>
      <c r="L57" s="8"/>
      <c r="M57" s="8">
        <v>35.099998474121094</v>
      </c>
      <c r="N57" s="8">
        <v>34.200000762939453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2">
      <c r="A58" s="3" t="s">
        <v>83</v>
      </c>
      <c r="B58" s="3" t="s">
        <v>276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>
        <v>18.399999618530273</v>
      </c>
      <c r="R58" s="8"/>
      <c r="S58" s="8"/>
      <c r="T58" s="8"/>
      <c r="U58" s="8"/>
      <c r="V58" s="8">
        <v>35.599998474121094</v>
      </c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2">
      <c r="A59" s="3" t="s">
        <v>81</v>
      </c>
      <c r="B59" s="3" t="s">
        <v>274</v>
      </c>
      <c r="C59" s="8"/>
      <c r="D59" s="8"/>
      <c r="E59" s="8">
        <v>79.300003051757813</v>
      </c>
      <c r="F59" s="8"/>
      <c r="G59" s="8"/>
      <c r="H59" s="8"/>
      <c r="I59" s="8"/>
      <c r="J59" s="8"/>
      <c r="K59" s="8"/>
      <c r="L59" s="8"/>
      <c r="M59" s="8"/>
      <c r="N59" s="8"/>
      <c r="O59" s="8">
        <v>93</v>
      </c>
      <c r="P59" s="8"/>
      <c r="Q59" s="8"/>
      <c r="R59" s="8">
        <v>88.900001525878906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2">
      <c r="A60" s="3" t="s">
        <v>85</v>
      </c>
      <c r="B60" s="3" t="s">
        <v>278</v>
      </c>
      <c r="C60" s="8"/>
      <c r="D60" s="8"/>
      <c r="E60" s="8">
        <v>82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2">
      <c r="A61" s="3" t="s">
        <v>86</v>
      </c>
      <c r="B61" s="3" t="s">
        <v>279</v>
      </c>
      <c r="C61" s="8"/>
      <c r="D61" s="8"/>
      <c r="E61" s="8"/>
      <c r="F61" s="8"/>
      <c r="G61" s="8"/>
      <c r="H61" s="8"/>
      <c r="I61" s="8"/>
      <c r="J61" s="8">
        <v>87</v>
      </c>
      <c r="K61" s="8"/>
      <c r="L61" s="8"/>
      <c r="M61" s="8"/>
      <c r="N61" s="8"/>
      <c r="O61" s="8"/>
      <c r="P61" s="8">
        <v>90</v>
      </c>
      <c r="Q61" s="8"/>
      <c r="R61" s="8">
        <v>90.099998474121094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2">
      <c r="A62" s="3" t="s">
        <v>87</v>
      </c>
      <c r="B62" s="3" t="s">
        <v>280</v>
      </c>
      <c r="C62" s="8"/>
      <c r="D62" s="8"/>
      <c r="E62" s="8"/>
      <c r="F62" s="8"/>
      <c r="G62" s="8"/>
      <c r="H62" s="8"/>
      <c r="I62" s="8"/>
      <c r="J62" s="8"/>
      <c r="K62" s="8"/>
      <c r="L62" s="8">
        <v>44.400001525878906</v>
      </c>
      <c r="M62" s="8"/>
      <c r="N62" s="8"/>
      <c r="O62" s="8"/>
      <c r="P62" s="8"/>
      <c r="Q62" s="8">
        <v>17.200000762939453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2">
      <c r="A63" s="3" t="s">
        <v>89</v>
      </c>
      <c r="B63" s="3" t="s">
        <v>282</v>
      </c>
      <c r="C63" s="8"/>
      <c r="D63" s="8"/>
      <c r="E63" s="8"/>
      <c r="F63" s="8"/>
      <c r="G63" s="8">
        <v>97.5</v>
      </c>
      <c r="H63" s="8"/>
      <c r="I63" s="8"/>
      <c r="J63" s="8"/>
      <c r="K63" s="8"/>
      <c r="L63" s="8"/>
      <c r="M63" s="8"/>
      <c r="N63" s="8"/>
      <c r="O63" s="8"/>
      <c r="P63" s="8">
        <v>94</v>
      </c>
      <c r="Q63" s="8"/>
      <c r="R63" s="8">
        <v>95.400001525878906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2">
      <c r="A64" s="3" t="s">
        <v>88</v>
      </c>
      <c r="B64" s="3" t="s">
        <v>281</v>
      </c>
      <c r="C64" s="8"/>
      <c r="D64" s="8"/>
      <c r="E64" s="8"/>
      <c r="F64" s="8"/>
      <c r="G64" s="8"/>
      <c r="H64" s="8">
        <v>40</v>
      </c>
      <c r="I64" s="8"/>
      <c r="J64" s="8"/>
      <c r="K64" s="8"/>
      <c r="L64" s="8"/>
      <c r="M64" s="8"/>
      <c r="N64" s="8">
        <v>36</v>
      </c>
      <c r="O64" s="8"/>
      <c r="P64" s="8">
        <v>30.299999237060547</v>
      </c>
      <c r="Q64" s="8">
        <v>32.200000762939453</v>
      </c>
      <c r="R64" s="8"/>
      <c r="S64" s="8">
        <v>38.400001525878906</v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2">
      <c r="A65" s="3" t="s">
        <v>90</v>
      </c>
      <c r="B65" s="3" t="s">
        <v>283</v>
      </c>
      <c r="C65" s="8"/>
      <c r="D65" s="8"/>
      <c r="E65" s="8"/>
      <c r="F65" s="8"/>
      <c r="G65" s="8"/>
      <c r="H65" s="8"/>
      <c r="I65" s="8"/>
      <c r="J65" s="8">
        <v>51</v>
      </c>
      <c r="K65" s="8"/>
      <c r="L65" s="8"/>
      <c r="M65" s="8"/>
      <c r="N65" s="8">
        <v>38.299999237060547</v>
      </c>
      <c r="O65" s="8"/>
      <c r="P65" s="8"/>
      <c r="Q65" s="8">
        <v>62.5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2">
      <c r="A66" s="3" t="s">
        <v>91</v>
      </c>
      <c r="B66" s="3" t="s">
        <v>284</v>
      </c>
      <c r="C66" s="8"/>
      <c r="D66" s="8"/>
      <c r="E66" s="8"/>
      <c r="F66" s="8"/>
      <c r="G66" s="8"/>
      <c r="H66" s="8">
        <v>18</v>
      </c>
      <c r="I66" s="8"/>
      <c r="J66" s="8"/>
      <c r="K66" s="8"/>
      <c r="L66" s="8"/>
      <c r="M66" s="8"/>
      <c r="N66" s="8"/>
      <c r="O66" s="8"/>
      <c r="P66" s="8"/>
      <c r="Q66" s="8"/>
      <c r="R66" s="8">
        <v>8</v>
      </c>
      <c r="S66" s="8">
        <v>7.5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2">
      <c r="A67" s="3" t="s">
        <v>96</v>
      </c>
      <c r="B67" s="3" t="s">
        <v>289</v>
      </c>
      <c r="C67" s="8"/>
      <c r="D67" s="8"/>
      <c r="E67" s="8"/>
      <c r="F67" s="8"/>
      <c r="G67" s="8"/>
      <c r="H67" s="8"/>
      <c r="I67" s="8">
        <v>58</v>
      </c>
      <c r="J67" s="8"/>
      <c r="K67" s="8"/>
      <c r="L67" s="8"/>
      <c r="M67" s="8"/>
      <c r="N67" s="8"/>
      <c r="O67" s="8"/>
      <c r="P67" s="8">
        <v>88.699996948242188</v>
      </c>
      <c r="Q67" s="8"/>
      <c r="R67" s="8">
        <v>49.5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2">
      <c r="A68" s="3" t="s">
        <v>188</v>
      </c>
      <c r="B68" s="3" t="s">
        <v>382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>
        <v>23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2">
      <c r="A69" s="3" t="s">
        <v>92</v>
      </c>
      <c r="B69" s="3" t="s">
        <v>285</v>
      </c>
      <c r="C69" s="8"/>
      <c r="D69" s="8"/>
      <c r="E69" s="8"/>
      <c r="F69" s="8"/>
      <c r="G69" s="8"/>
      <c r="H69" s="8"/>
      <c r="I69" s="8"/>
      <c r="J69" s="8">
        <v>44</v>
      </c>
      <c r="K69" s="8"/>
      <c r="L69" s="8"/>
      <c r="M69" s="8"/>
      <c r="N69" s="8"/>
      <c r="O69" s="8"/>
      <c r="P69" s="8"/>
      <c r="Q69" s="8">
        <v>28.299999237060547</v>
      </c>
      <c r="R69" s="8"/>
      <c r="S69" s="8">
        <v>40.400001525878906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2">
      <c r="A70" s="3" t="s">
        <v>107</v>
      </c>
      <c r="B70" s="3" t="s">
        <v>300</v>
      </c>
      <c r="C70" s="8"/>
      <c r="D70" s="8"/>
      <c r="E70" s="8"/>
      <c r="F70" s="8"/>
      <c r="G70" s="8"/>
      <c r="H70" s="8">
        <v>60.5</v>
      </c>
      <c r="I70" s="8"/>
      <c r="J70" s="8"/>
      <c r="K70" s="8"/>
      <c r="L70" s="8"/>
      <c r="M70" s="8"/>
      <c r="N70" s="8"/>
      <c r="O70" s="8"/>
      <c r="P70" s="8">
        <v>91.699996948242188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2">
      <c r="A71" s="3" t="s">
        <v>99</v>
      </c>
      <c r="B71" s="3" t="s">
        <v>292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>
        <v>34.5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2">
      <c r="A72" s="3" t="s">
        <v>104</v>
      </c>
      <c r="B72" s="3" t="s">
        <v>297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>
        <v>4.4000000953674316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2">
      <c r="A73" s="3" t="s">
        <v>101</v>
      </c>
      <c r="B73" s="3" t="s">
        <v>294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>
        <v>65.5</v>
      </c>
      <c r="Q73" s="8">
        <v>68.5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2">
      <c r="A74" s="3" t="s">
        <v>105</v>
      </c>
      <c r="B74" s="3" t="s">
        <v>298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>
        <v>77</v>
      </c>
      <c r="P74" s="8"/>
      <c r="Q74" s="8">
        <v>79.699996948242188</v>
      </c>
      <c r="R74" s="8"/>
      <c r="S74" s="8"/>
      <c r="T74" s="8">
        <v>82.900001525878906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2">
      <c r="A75" s="3" t="s">
        <v>110</v>
      </c>
      <c r="B75" s="3" t="s">
        <v>303</v>
      </c>
      <c r="C75" s="8"/>
      <c r="D75" s="8"/>
      <c r="E75" s="8"/>
      <c r="F75" s="8">
        <v>5.4000000953674316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>
        <v>5.3000001907348633</v>
      </c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2">
      <c r="A76" s="3" t="s">
        <v>123</v>
      </c>
      <c r="B76" s="3" t="s">
        <v>317</v>
      </c>
      <c r="C76" s="8"/>
      <c r="D76" s="8"/>
      <c r="E76" s="8"/>
      <c r="F76" s="8">
        <v>48.700000762939453</v>
      </c>
      <c r="G76" s="8"/>
      <c r="H76" s="8"/>
      <c r="I76" s="8"/>
      <c r="J76" s="8"/>
      <c r="K76" s="8"/>
      <c r="L76" s="8"/>
      <c r="M76" s="8">
        <v>65</v>
      </c>
      <c r="N76" s="8"/>
      <c r="O76" s="8"/>
      <c r="P76" s="8"/>
      <c r="Q76" s="8"/>
      <c r="R76" s="8"/>
      <c r="S76" s="8"/>
      <c r="T76" s="8"/>
      <c r="U76" s="8">
        <v>49</v>
      </c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2">
      <c r="A77" s="3" t="s">
        <v>114</v>
      </c>
      <c r="B77" s="3" t="s">
        <v>308</v>
      </c>
      <c r="C77" s="8">
        <v>2.5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>
        <v>7.3000001907348633</v>
      </c>
      <c r="X77" s="8"/>
      <c r="Y77" s="8"/>
      <c r="Z77" s="8"/>
      <c r="AA77" s="8"/>
      <c r="AB77" s="8"/>
      <c r="AC77" s="8"/>
      <c r="AD77" s="8"/>
      <c r="AE77" s="8"/>
    </row>
    <row r="78" spans="1:31" x14ac:dyDescent="0.2">
      <c r="A78" s="3" t="s">
        <v>120</v>
      </c>
      <c r="B78" s="3" t="s">
        <v>314</v>
      </c>
      <c r="C78" s="8"/>
      <c r="D78" s="8"/>
      <c r="E78" s="8"/>
      <c r="F78" s="8"/>
      <c r="G78" s="8"/>
      <c r="H78" s="8">
        <v>5</v>
      </c>
      <c r="I78" s="8"/>
      <c r="J78" s="8"/>
      <c r="K78" s="8"/>
      <c r="L78" s="8"/>
      <c r="M78" s="8">
        <v>13.100000381469727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2">
      <c r="A79" s="3" t="s">
        <v>121</v>
      </c>
      <c r="B79" s="3" t="s">
        <v>315</v>
      </c>
      <c r="C79" s="8"/>
      <c r="D79" s="8"/>
      <c r="E79" s="8"/>
      <c r="F79" s="8"/>
      <c r="G79" s="8"/>
      <c r="H79" s="8">
        <v>60</v>
      </c>
      <c r="I79" s="8"/>
      <c r="J79" s="8"/>
      <c r="K79" s="8"/>
      <c r="L79" s="8"/>
      <c r="M79" s="8">
        <v>53.400001525878906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2">
      <c r="A80" s="3" t="s">
        <v>112</v>
      </c>
      <c r="B80" s="3" t="s">
        <v>305</v>
      </c>
      <c r="C80" s="8"/>
      <c r="D80" s="8"/>
      <c r="E80" s="8"/>
      <c r="F80" s="8"/>
      <c r="G80" s="8"/>
      <c r="H80" s="8"/>
      <c r="I80" s="8"/>
      <c r="J80" s="8">
        <v>30</v>
      </c>
      <c r="K80" s="8"/>
      <c r="L80" s="8"/>
      <c r="M80" s="8"/>
      <c r="N80" s="8"/>
      <c r="O80" s="8">
        <v>34.5</v>
      </c>
      <c r="P80" s="8"/>
      <c r="Q80" s="8"/>
      <c r="R80" s="8"/>
      <c r="S80" s="8">
        <v>36.200000762939453</v>
      </c>
      <c r="T80" s="8"/>
      <c r="U80" s="8">
        <v>27.399999618530273</v>
      </c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2">
      <c r="A81" s="3" t="s">
        <v>109</v>
      </c>
      <c r="B81" s="3" t="s">
        <v>302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>
        <v>60.599998474121094</v>
      </c>
      <c r="N81" s="8"/>
      <c r="O81" s="8"/>
      <c r="P81" s="8"/>
      <c r="Q81" s="8"/>
      <c r="R81" s="8"/>
      <c r="S81" s="8"/>
      <c r="T81" s="8">
        <v>42</v>
      </c>
      <c r="U81" s="8"/>
      <c r="V81" s="8">
        <v>56.700000762939453</v>
      </c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2">
      <c r="A82" s="3" t="s">
        <v>118</v>
      </c>
      <c r="B82" s="3" t="s">
        <v>312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>
        <v>61.400001525878906</v>
      </c>
      <c r="P82" s="8"/>
      <c r="Q82" s="8"/>
      <c r="R82" s="8">
        <v>33.5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2">
      <c r="A83" s="3" t="s">
        <v>108</v>
      </c>
      <c r="B83" s="3" t="s">
        <v>301</v>
      </c>
      <c r="C83" s="8"/>
      <c r="D83" s="8"/>
      <c r="E83" s="8"/>
      <c r="F83" s="8"/>
      <c r="G83" s="8">
        <v>20.899999618530273</v>
      </c>
      <c r="H83" s="8"/>
      <c r="I83" s="8"/>
      <c r="J83" s="8"/>
      <c r="K83" s="8"/>
      <c r="L83" s="8"/>
      <c r="M83" s="8">
        <v>17.299999237060547</v>
      </c>
      <c r="N83" s="8"/>
      <c r="O83" s="8"/>
      <c r="P83" s="8">
        <v>22.399999618530273</v>
      </c>
      <c r="Q83" s="8"/>
      <c r="R83" s="8"/>
      <c r="S83" s="8"/>
      <c r="T83" s="8">
        <v>23.799999237060547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2">
      <c r="A84" s="3" t="s">
        <v>119</v>
      </c>
      <c r="B84" s="3" t="s">
        <v>313</v>
      </c>
      <c r="C84" s="8"/>
      <c r="D84" s="8"/>
      <c r="E84" s="8"/>
      <c r="F84" s="8"/>
      <c r="G84" s="8"/>
      <c r="H84" s="8">
        <v>2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>
        <v>1.8999999761581421</v>
      </c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2">
      <c r="A85" s="3" t="s">
        <v>124</v>
      </c>
      <c r="B85" s="3" t="s">
        <v>318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>
        <v>9.6000003814697266</v>
      </c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2">
      <c r="A86" s="3" t="s">
        <v>131</v>
      </c>
      <c r="B86" s="3" t="s">
        <v>325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>
        <v>2.0999999046325684</v>
      </c>
      <c r="Q86" s="8"/>
      <c r="R86" s="8"/>
      <c r="S86" s="8">
        <v>3.5</v>
      </c>
      <c r="T86" s="8"/>
      <c r="U86" s="8">
        <v>3.4000000953674316</v>
      </c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2">
      <c r="A87" s="3" t="s">
        <v>129</v>
      </c>
      <c r="B87" s="3" t="s">
        <v>323</v>
      </c>
      <c r="C87" s="8"/>
      <c r="D87" s="8"/>
      <c r="E87" s="8"/>
      <c r="F87" s="8">
        <v>91.699996948242188</v>
      </c>
      <c r="G87" s="8"/>
      <c r="H87" s="8"/>
      <c r="I87" s="8"/>
      <c r="J87" s="8"/>
      <c r="K87" s="8"/>
      <c r="L87" s="8"/>
      <c r="M87" s="8"/>
      <c r="N87" s="8"/>
      <c r="O87" s="8">
        <v>94</v>
      </c>
      <c r="P87" s="8"/>
      <c r="Q87" s="8"/>
      <c r="R87" s="8">
        <v>90.699996948242188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2">
      <c r="A88" s="3" t="s">
        <v>132</v>
      </c>
      <c r="B88" s="3" t="s">
        <v>326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>
        <v>92.699996948242188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2">
      <c r="A89" s="3" t="s">
        <v>128</v>
      </c>
      <c r="B89" s="3" t="s">
        <v>322</v>
      </c>
      <c r="C89" s="8"/>
      <c r="D89" s="8"/>
      <c r="E89" s="8"/>
      <c r="F89" s="8"/>
      <c r="G89" s="8"/>
      <c r="H89" s="8"/>
      <c r="I89" s="8"/>
      <c r="J89" s="8"/>
      <c r="K89" s="8"/>
      <c r="L89" s="8">
        <v>14.300000190734863</v>
      </c>
      <c r="M89" s="8"/>
      <c r="N89" s="8">
        <v>14.899999618530273</v>
      </c>
      <c r="O89" s="8"/>
      <c r="P89" s="8"/>
      <c r="Q89" s="8"/>
      <c r="R89" s="8">
        <v>17.899999618530273</v>
      </c>
      <c r="S89" s="8"/>
      <c r="T89" s="8"/>
      <c r="U89" s="8">
        <v>21.700000762939453</v>
      </c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2">
      <c r="A90" s="3" t="s">
        <v>126</v>
      </c>
      <c r="B90" s="3" t="s">
        <v>320</v>
      </c>
      <c r="C90" s="8"/>
      <c r="D90" s="8"/>
      <c r="E90" s="8">
        <v>1.2999999523162842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>
        <v>1.8999999761581421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2">
      <c r="A91" s="3" t="s">
        <v>127</v>
      </c>
      <c r="B91" s="3" t="s">
        <v>321</v>
      </c>
      <c r="C91" s="8"/>
      <c r="D91" s="8"/>
      <c r="E91" s="8"/>
      <c r="F91" s="8">
        <v>1.2999999523162842</v>
      </c>
      <c r="G91" s="8"/>
      <c r="H91" s="8"/>
      <c r="I91" s="8"/>
      <c r="J91" s="8"/>
      <c r="K91" s="8"/>
      <c r="L91" s="8"/>
      <c r="M91" s="8">
        <v>1.8999999761581421</v>
      </c>
      <c r="N91" s="8"/>
      <c r="O91" s="8"/>
      <c r="P91" s="8"/>
      <c r="Q91" s="8">
        <v>8.1000003814697266</v>
      </c>
      <c r="R91" s="8">
        <v>1.7000000476837158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2">
      <c r="A92" s="17" t="s">
        <v>408</v>
      </c>
      <c r="B92" s="3" t="s">
        <v>307</v>
      </c>
      <c r="C92" s="8"/>
      <c r="D92" s="8"/>
      <c r="E92" s="8"/>
      <c r="F92" s="8"/>
      <c r="G92" s="8"/>
      <c r="H92" s="8">
        <v>49</v>
      </c>
      <c r="I92" s="8"/>
      <c r="J92" s="8"/>
      <c r="K92" s="8"/>
      <c r="L92" s="8"/>
      <c r="M92" s="8">
        <v>63.799999237060547</v>
      </c>
      <c r="N92" s="8"/>
      <c r="O92" s="8"/>
      <c r="P92" s="8"/>
      <c r="Q92" s="8"/>
      <c r="R92" s="8"/>
      <c r="S92" s="8"/>
      <c r="T92" s="8"/>
      <c r="U92" s="8">
        <v>52.299999237060547</v>
      </c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2">
      <c r="A93" s="3" t="s">
        <v>130</v>
      </c>
      <c r="B93" s="3" t="s">
        <v>324</v>
      </c>
      <c r="C93" s="8"/>
      <c r="D93" s="8"/>
      <c r="E93" s="8"/>
      <c r="F93" s="8">
        <v>94</v>
      </c>
      <c r="G93" s="8"/>
      <c r="H93" s="8"/>
      <c r="I93" s="8"/>
      <c r="J93" s="8"/>
      <c r="K93" s="8"/>
      <c r="L93" s="8"/>
      <c r="M93" s="8"/>
      <c r="N93" s="8"/>
      <c r="O93" s="8"/>
      <c r="P93" s="8">
        <v>92</v>
      </c>
      <c r="Q93" s="8"/>
      <c r="R93" s="8">
        <v>93.199996948242188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2">
      <c r="A94" s="3" t="s">
        <v>134</v>
      </c>
      <c r="B94" s="3" t="s">
        <v>328</v>
      </c>
      <c r="C94" s="8"/>
      <c r="D94" s="8"/>
      <c r="E94" s="8"/>
      <c r="F94" s="8">
        <v>3.5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>
        <v>6.4000000953674316</v>
      </c>
      <c r="R94" s="8"/>
      <c r="S94" s="8"/>
      <c r="T94" s="8"/>
      <c r="U94" s="8">
        <v>3.9000000953674316</v>
      </c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2">
      <c r="A95" s="3" t="s">
        <v>135</v>
      </c>
      <c r="B95" s="3" t="s">
        <v>329</v>
      </c>
      <c r="C95" s="8"/>
      <c r="D95" s="8"/>
      <c r="E95" s="8"/>
      <c r="F95" s="8"/>
      <c r="G95" s="8"/>
      <c r="H95" s="8"/>
      <c r="I95" s="8"/>
      <c r="J95" s="8"/>
      <c r="K95" s="8">
        <v>51.599998474121094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2">
      <c r="A96" s="3" t="s">
        <v>138</v>
      </c>
      <c r="B96" s="3" t="s">
        <v>332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>
        <v>4.4000000953674316</v>
      </c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2">
      <c r="A97" s="3" t="s">
        <v>142</v>
      </c>
      <c r="B97" s="3" t="s">
        <v>336</v>
      </c>
      <c r="C97" s="8"/>
      <c r="D97" s="8"/>
      <c r="E97" s="8"/>
      <c r="F97" s="8"/>
      <c r="G97" s="8"/>
      <c r="H97" s="8"/>
      <c r="I97" s="8"/>
      <c r="J97" s="8">
        <v>31</v>
      </c>
      <c r="K97" s="8"/>
      <c r="L97" s="8"/>
      <c r="M97" s="8"/>
      <c r="N97" s="8">
        <v>18</v>
      </c>
      <c r="O97" s="8"/>
      <c r="P97" s="8"/>
      <c r="Q97" s="8">
        <v>12.399999618530273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2">
      <c r="A98" s="3" t="s">
        <v>136</v>
      </c>
      <c r="B98" s="3" t="s">
        <v>330</v>
      </c>
      <c r="C98" s="8"/>
      <c r="D98" s="8"/>
      <c r="E98" s="8"/>
      <c r="F98" s="8"/>
      <c r="G98" s="8"/>
      <c r="H98" s="8"/>
      <c r="I98" s="8"/>
      <c r="J98" s="8">
        <v>20</v>
      </c>
      <c r="K98" s="8"/>
      <c r="L98" s="8"/>
      <c r="M98" s="8"/>
      <c r="N98" s="8">
        <v>31</v>
      </c>
      <c r="O98" s="8"/>
      <c r="P98" s="8">
        <v>16.299999237060547</v>
      </c>
      <c r="Q98" s="8"/>
      <c r="R98" s="8"/>
      <c r="S98" s="8"/>
      <c r="T98" s="8">
        <v>16.5</v>
      </c>
      <c r="U98" s="8">
        <v>21.700000762939453</v>
      </c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2">
      <c r="A99" s="3" t="s">
        <v>137</v>
      </c>
      <c r="B99" s="3" t="s">
        <v>331</v>
      </c>
      <c r="C99" s="8"/>
      <c r="D99" s="8"/>
      <c r="E99" s="8"/>
      <c r="F99" s="8"/>
      <c r="G99" s="8"/>
      <c r="H99" s="8"/>
      <c r="I99" s="8">
        <v>28.299999237060547</v>
      </c>
      <c r="J99" s="8"/>
      <c r="K99" s="8"/>
      <c r="L99" s="8"/>
      <c r="M99" s="8">
        <v>27.100000381469727</v>
      </c>
      <c r="N99" s="8"/>
      <c r="O99" s="8"/>
      <c r="P99" s="8"/>
      <c r="Q99" s="8"/>
      <c r="R99" s="8"/>
      <c r="S99" s="8"/>
      <c r="T99" s="8">
        <v>25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2">
      <c r="A100" s="3" t="s">
        <v>139</v>
      </c>
      <c r="B100" s="3" t="s">
        <v>333</v>
      </c>
      <c r="C100" s="8"/>
      <c r="D100" s="8"/>
      <c r="E100" s="8"/>
      <c r="F100" s="8"/>
      <c r="G100" s="8"/>
      <c r="H100" s="8"/>
      <c r="I100" s="8">
        <v>68</v>
      </c>
      <c r="J100" s="8"/>
      <c r="K100" s="8"/>
      <c r="L100" s="8"/>
      <c r="M100" s="8"/>
      <c r="N100" s="8"/>
      <c r="O100" s="8"/>
      <c r="P100" s="8"/>
      <c r="Q100" s="8"/>
      <c r="R100" s="8">
        <v>81.400001525878906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2">
      <c r="A101" s="3" t="s">
        <v>141</v>
      </c>
      <c r="B101" s="3" t="s">
        <v>335</v>
      </c>
      <c r="C101" s="8"/>
      <c r="D101" s="8"/>
      <c r="E101" s="8"/>
      <c r="F101" s="8"/>
      <c r="G101" s="8"/>
      <c r="H101" s="8"/>
      <c r="I101" s="8">
        <v>84.300003051757813</v>
      </c>
      <c r="J101" s="8"/>
      <c r="K101" s="8"/>
      <c r="L101" s="8"/>
      <c r="M101" s="8"/>
      <c r="N101" s="8"/>
      <c r="O101" s="8"/>
      <c r="P101" s="8">
        <v>92</v>
      </c>
      <c r="Q101" s="8"/>
      <c r="R101" s="8">
        <v>92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2">
      <c r="A102" s="3" t="s">
        <v>146</v>
      </c>
      <c r="B102" s="3" t="s">
        <v>340</v>
      </c>
      <c r="C102" s="8"/>
      <c r="D102" s="8"/>
      <c r="E102" s="8"/>
      <c r="F102" s="8"/>
      <c r="G102" s="8">
        <v>55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>
        <v>57.599998474121094</v>
      </c>
      <c r="S102" s="8"/>
      <c r="T102" s="8">
        <v>67.900001525878906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2">
      <c r="A103" s="3" t="s">
        <v>147</v>
      </c>
      <c r="B103" s="3" t="s">
        <v>341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>
        <v>66.800003051757813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2">
      <c r="A104" s="3" t="s">
        <v>148</v>
      </c>
      <c r="B104" s="3" t="s">
        <v>342</v>
      </c>
      <c r="C104" s="8"/>
      <c r="D104" s="8"/>
      <c r="E104" s="8"/>
      <c r="F104" s="8">
        <v>9.3000001907348633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>
        <v>4.5999999046325684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2">
      <c r="A105" s="3" t="s">
        <v>151</v>
      </c>
      <c r="B105" s="3" t="s">
        <v>345</v>
      </c>
      <c r="C105" s="8"/>
      <c r="D105" s="8"/>
      <c r="E105" s="8"/>
      <c r="F105" s="8"/>
      <c r="G105" s="8"/>
      <c r="H105" s="8"/>
      <c r="I105" s="8"/>
      <c r="J105" s="8"/>
      <c r="K105" s="8">
        <v>4.3000001907348633</v>
      </c>
      <c r="L105" s="8"/>
      <c r="M105" s="8"/>
      <c r="N105" s="8"/>
      <c r="O105" s="8"/>
      <c r="P105" s="8">
        <v>5.0999999046325684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2">
      <c r="A106" s="3" t="s">
        <v>156</v>
      </c>
      <c r="B106" s="3" t="s">
        <v>350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>
        <v>45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2">
      <c r="A107" s="3" t="s">
        <v>154</v>
      </c>
      <c r="B107" s="3" t="s">
        <v>348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>
        <v>5.5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2">
      <c r="A108" s="3" t="s">
        <v>152</v>
      </c>
      <c r="B108" s="3" t="s">
        <v>346</v>
      </c>
      <c r="C108" s="8"/>
      <c r="D108" s="8"/>
      <c r="E108" s="8"/>
      <c r="F108" s="8"/>
      <c r="G108" s="8"/>
      <c r="H108" s="8">
        <v>73</v>
      </c>
      <c r="I108" s="8"/>
      <c r="J108" s="8"/>
      <c r="K108" s="8"/>
      <c r="L108" s="8"/>
      <c r="M108" s="8">
        <v>70</v>
      </c>
      <c r="N108" s="8"/>
      <c r="O108" s="8"/>
      <c r="P108" s="8"/>
      <c r="Q108" s="8"/>
      <c r="R108" s="8"/>
      <c r="S108" s="8"/>
      <c r="T108" s="8"/>
      <c r="U108" s="8">
        <v>62.099998474121094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2">
      <c r="A109" s="3" t="s">
        <v>160</v>
      </c>
      <c r="B109" s="3" t="s">
        <v>354</v>
      </c>
      <c r="C109" s="8"/>
      <c r="D109" s="8"/>
      <c r="E109" s="8"/>
      <c r="F109" s="8"/>
      <c r="G109" s="8"/>
      <c r="H109" s="8"/>
      <c r="I109" s="8">
        <v>73</v>
      </c>
      <c r="J109" s="8"/>
      <c r="K109" s="8"/>
      <c r="L109" s="8"/>
      <c r="M109" s="8">
        <v>70.900001525878906</v>
      </c>
      <c r="N109" s="8"/>
      <c r="O109" s="8"/>
      <c r="P109" s="8">
        <v>78.900001525878906</v>
      </c>
      <c r="Q109" s="8"/>
      <c r="R109" s="8">
        <v>85.5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2">
      <c r="A110" s="3" t="s">
        <v>161</v>
      </c>
      <c r="B110" s="3" t="s">
        <v>355</v>
      </c>
      <c r="C110" s="8"/>
      <c r="D110" s="8"/>
      <c r="E110" s="8"/>
      <c r="F110" s="8"/>
      <c r="G110" s="8"/>
      <c r="H110" s="8">
        <v>86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>
        <v>87.300003051757813</v>
      </c>
      <c r="U110" s="8">
        <v>87.400001525878906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2">
      <c r="A111" s="3" t="s">
        <v>190</v>
      </c>
      <c r="B111" s="3" t="s">
        <v>384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6.3000001907348633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2">
      <c r="A112" s="3" t="s">
        <v>56</v>
      </c>
      <c r="B112" s="3" t="s">
        <v>249</v>
      </c>
      <c r="C112" s="8"/>
      <c r="D112" s="8"/>
      <c r="E112" s="8"/>
      <c r="F112" s="8"/>
      <c r="G112" s="8">
        <v>85.300003051757813</v>
      </c>
      <c r="H112" s="8"/>
      <c r="I112" s="8"/>
      <c r="J112" s="8"/>
      <c r="K112" s="8"/>
      <c r="L112" s="8"/>
      <c r="M112" s="8"/>
      <c r="N112" s="8"/>
      <c r="O112" s="8"/>
      <c r="P112" s="8">
        <v>92</v>
      </c>
      <c r="Q112" s="8"/>
      <c r="R112" s="8">
        <v>69.400001525878906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2">
      <c r="A113" s="3" t="s">
        <v>103</v>
      </c>
      <c r="B113" s="3" t="s">
        <v>296</v>
      </c>
      <c r="C113" s="8"/>
      <c r="D113" s="8"/>
      <c r="E113" s="8">
        <v>28.799999237060547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>
        <v>35.599998474121094</v>
      </c>
      <c r="R113" s="8"/>
      <c r="S113" s="8">
        <v>24.100000381469727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2">
      <c r="A114" s="3" t="s">
        <v>150</v>
      </c>
      <c r="B114" s="3" t="s">
        <v>344</v>
      </c>
      <c r="C114" s="8"/>
      <c r="D114" s="8"/>
      <c r="E114" s="8"/>
      <c r="F114" s="8"/>
      <c r="G114" s="8"/>
      <c r="H114" s="8">
        <v>12.100000381469727</v>
      </c>
      <c r="I114" s="8">
        <v>3.9000000953674316</v>
      </c>
      <c r="J114" s="8"/>
      <c r="K114" s="8"/>
      <c r="L114" s="8"/>
      <c r="M114" s="8"/>
      <c r="N114" s="8"/>
      <c r="O114" s="8"/>
      <c r="P114" s="8"/>
      <c r="Q114" s="8"/>
      <c r="R114" s="8">
        <v>5.1999998092651367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2">
      <c r="A115" s="3" t="s">
        <v>162</v>
      </c>
      <c r="B115" s="3" t="s">
        <v>356</v>
      </c>
      <c r="C115" s="8"/>
      <c r="D115" s="8"/>
      <c r="E115" s="8"/>
      <c r="F115" s="8"/>
      <c r="G115" s="8">
        <v>91.099998474121094</v>
      </c>
      <c r="H115" s="8"/>
      <c r="I115" s="8"/>
      <c r="J115" s="8"/>
      <c r="K115" s="8"/>
      <c r="L115" s="8"/>
      <c r="M115" s="8"/>
      <c r="N115" s="8"/>
      <c r="O115" s="8"/>
      <c r="P115" s="8">
        <v>90</v>
      </c>
      <c r="Q115" s="8"/>
      <c r="R115" s="8">
        <v>88.800003051757813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2">
      <c r="A116" s="3" t="s">
        <v>32</v>
      </c>
      <c r="B116" s="3" t="s">
        <v>225</v>
      </c>
      <c r="C116" s="8"/>
      <c r="D116" s="8"/>
      <c r="E116" s="8"/>
      <c r="F116" s="8"/>
      <c r="G116" s="8">
        <v>98.099998474121094</v>
      </c>
      <c r="H116" s="8"/>
      <c r="I116" s="8"/>
      <c r="J116" s="8"/>
      <c r="K116" s="8"/>
      <c r="L116" s="8"/>
      <c r="M116" s="8"/>
      <c r="N116" s="8"/>
      <c r="O116" s="8"/>
      <c r="P116" s="8">
        <v>99</v>
      </c>
      <c r="Q116" s="8"/>
      <c r="R116" s="8">
        <v>95.400001525878906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2">
      <c r="A117" s="3" t="s">
        <v>165</v>
      </c>
      <c r="B117" s="3" t="s">
        <v>359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>
        <v>17.399999618530273</v>
      </c>
      <c r="R117" s="8"/>
      <c r="S117" s="8"/>
      <c r="T117" s="8"/>
      <c r="U117" s="8">
        <v>26.799999237060547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2">
      <c r="A118" s="3" t="s">
        <v>177</v>
      </c>
      <c r="B118" s="3" t="s">
        <v>371</v>
      </c>
      <c r="C118" s="8"/>
      <c r="D118" s="8"/>
      <c r="E118" s="8"/>
      <c r="F118" s="8"/>
      <c r="G118" s="8"/>
      <c r="H118" s="8"/>
      <c r="I118" s="8">
        <v>2</v>
      </c>
      <c r="J118" s="8"/>
      <c r="K118" s="8"/>
      <c r="L118" s="8"/>
      <c r="M118" s="8"/>
      <c r="N118" s="8"/>
      <c r="O118" s="8"/>
      <c r="P118" s="8"/>
      <c r="Q118" s="8"/>
      <c r="R118" s="8"/>
      <c r="S118" s="8">
        <v>4.3000001907348633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2">
      <c r="A119" s="3" t="s">
        <v>169</v>
      </c>
      <c r="B119" s="3" t="s">
        <v>363</v>
      </c>
      <c r="C119" s="8"/>
      <c r="D119" s="8"/>
      <c r="E119" s="8"/>
      <c r="F119" s="8"/>
      <c r="G119" s="8"/>
      <c r="H119" s="8"/>
      <c r="I119" s="8"/>
      <c r="J119" s="8"/>
      <c r="K119" s="8"/>
      <c r="L119" s="8">
        <v>18</v>
      </c>
      <c r="M119" s="8"/>
      <c r="N119" s="8"/>
      <c r="O119" s="8"/>
      <c r="P119" s="8">
        <v>22.5</v>
      </c>
      <c r="Q119" s="8"/>
      <c r="R119" s="8">
        <v>27.200000762939453</v>
      </c>
      <c r="S119" s="8"/>
      <c r="T119" s="8"/>
      <c r="U119" s="8">
        <v>22.799999237060547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2">
      <c r="A120" s="3" t="s">
        <v>168</v>
      </c>
      <c r="B120" s="3" t="s">
        <v>362</v>
      </c>
      <c r="C120" s="8"/>
      <c r="D120" s="8"/>
      <c r="E120" s="8"/>
      <c r="F120" s="8"/>
      <c r="G120" s="8"/>
      <c r="H120" s="8"/>
      <c r="I120" s="8"/>
      <c r="J120" s="8">
        <v>15.899999618530273</v>
      </c>
      <c r="K120" s="8"/>
      <c r="L120" s="8"/>
      <c r="M120" s="8"/>
      <c r="N120" s="8"/>
      <c r="O120" s="8"/>
      <c r="P120" s="8">
        <v>7.3000001907348633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2">
      <c r="A121" s="3" t="s">
        <v>173</v>
      </c>
      <c r="B121" s="3" t="s">
        <v>367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>
        <v>55.599998474121094</v>
      </c>
      <c r="R121" s="8"/>
      <c r="S121" s="8"/>
      <c r="T121" s="8"/>
      <c r="U121" s="8">
        <v>71.099998474121094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2">
      <c r="A122" s="3" t="s">
        <v>174</v>
      </c>
      <c r="B122" s="3" t="s">
        <v>368</v>
      </c>
      <c r="C122" s="8"/>
      <c r="D122" s="8">
        <v>39.400001525878906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>
        <v>54.900001525878906</v>
      </c>
      <c r="Q122" s="8">
        <v>48.599998474121094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2">
      <c r="A123" s="3" t="s">
        <v>175</v>
      </c>
      <c r="B123" s="3" t="s">
        <v>369</v>
      </c>
      <c r="C123" s="8">
        <v>34.599998474121094</v>
      </c>
      <c r="D123" s="8"/>
      <c r="E123" s="8"/>
      <c r="F123" s="8"/>
      <c r="G123" s="8"/>
      <c r="H123" s="8"/>
      <c r="I123" s="8"/>
      <c r="J123" s="8">
        <v>37.099998474121094</v>
      </c>
      <c r="K123" s="8"/>
      <c r="L123" s="8"/>
      <c r="M123" s="8"/>
      <c r="N123" s="8"/>
      <c r="O123" s="8">
        <v>45</v>
      </c>
      <c r="P123" s="8"/>
      <c r="Q123" s="8"/>
      <c r="R123" s="8"/>
      <c r="S123" s="8"/>
      <c r="T123" s="8">
        <v>58.599998474121094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2">
      <c r="A124" s="3" t="s">
        <v>178</v>
      </c>
      <c r="B124" s="3" t="s">
        <v>372</v>
      </c>
      <c r="C124" s="8"/>
      <c r="D124" s="8"/>
      <c r="E124" s="8"/>
      <c r="F124" s="8"/>
      <c r="G124" s="8">
        <v>8.1999998092651367</v>
      </c>
      <c r="H124" s="8"/>
      <c r="I124" s="8"/>
      <c r="J124" s="8"/>
      <c r="K124" s="8"/>
      <c r="L124" s="8"/>
      <c r="M124" s="8"/>
      <c r="N124" s="8"/>
      <c r="O124" s="8"/>
      <c r="P124" s="8"/>
      <c r="Q124" s="8">
        <v>10.300000190734863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2">
      <c r="A125" s="3" t="s">
        <v>179</v>
      </c>
      <c r="B125" s="3" t="s">
        <v>373</v>
      </c>
      <c r="C125" s="8"/>
      <c r="D125" s="8"/>
      <c r="E125" s="8"/>
      <c r="F125" s="8"/>
      <c r="G125" s="8"/>
      <c r="H125" s="8">
        <v>69.800003051757813</v>
      </c>
      <c r="I125" s="8"/>
      <c r="J125" s="8"/>
      <c r="K125" s="8"/>
      <c r="L125" s="8"/>
      <c r="M125" s="8"/>
      <c r="N125" s="8"/>
      <c r="O125" s="8"/>
      <c r="P125" s="8"/>
      <c r="Q125" s="8"/>
      <c r="R125" s="8">
        <v>76</v>
      </c>
      <c r="S125" s="8"/>
      <c r="T125" s="8">
        <v>68.199996948242188</v>
      </c>
      <c r="U125" s="8"/>
      <c r="V125" s="8"/>
      <c r="W125" s="8">
        <v>65.300003051757813</v>
      </c>
      <c r="X125" s="8"/>
      <c r="Y125" s="8"/>
      <c r="Z125" s="8"/>
      <c r="AA125" s="8"/>
      <c r="AB125" s="8"/>
      <c r="AC125" s="8"/>
      <c r="AD125" s="8"/>
      <c r="AE125" s="8"/>
    </row>
    <row r="126" spans="1:31" x14ac:dyDescent="0.2">
      <c r="A126" s="3" t="s">
        <v>64</v>
      </c>
      <c r="B126" s="3" t="s">
        <v>257</v>
      </c>
      <c r="C126" s="8"/>
      <c r="D126" s="8"/>
      <c r="E126" s="8"/>
      <c r="F126" s="8"/>
      <c r="G126" s="8">
        <v>89.699996948242188</v>
      </c>
      <c r="H126" s="8"/>
      <c r="I126" s="8"/>
      <c r="J126" s="8"/>
      <c r="K126" s="8"/>
      <c r="L126" s="8"/>
      <c r="M126" s="8"/>
      <c r="N126" s="8"/>
      <c r="O126" s="8"/>
      <c r="P126" s="8">
        <v>94</v>
      </c>
      <c r="Q126" s="8"/>
      <c r="R126" s="8">
        <v>93.199996948242188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2">
      <c r="A127" s="3" t="s">
        <v>181</v>
      </c>
      <c r="B127" s="3" t="s">
        <v>375</v>
      </c>
      <c r="C127" s="8"/>
      <c r="D127" s="8"/>
      <c r="E127" s="8"/>
      <c r="F127" s="8">
        <v>94</v>
      </c>
      <c r="G127" s="8"/>
      <c r="H127" s="8"/>
      <c r="I127" s="8"/>
      <c r="J127" s="8"/>
      <c r="K127" s="8"/>
      <c r="L127" s="8"/>
      <c r="M127" s="8"/>
      <c r="N127" s="8"/>
      <c r="O127" s="8"/>
      <c r="P127" s="8">
        <v>91</v>
      </c>
      <c r="Q127" s="8"/>
      <c r="R127" s="8">
        <v>92.199996948242188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2">
      <c r="A128" s="3" t="s">
        <v>180</v>
      </c>
      <c r="B128" s="3" t="s">
        <v>374</v>
      </c>
      <c r="C128" s="8"/>
      <c r="D128" s="8"/>
      <c r="E128" s="8"/>
      <c r="F128" s="8"/>
      <c r="G128" s="8"/>
      <c r="H128" s="8">
        <v>82</v>
      </c>
      <c r="I128" s="8"/>
      <c r="J128" s="8"/>
      <c r="K128" s="8"/>
      <c r="L128" s="8"/>
      <c r="M128" s="8"/>
      <c r="N128" s="8"/>
      <c r="O128" s="8"/>
      <c r="P128" s="8"/>
      <c r="Q128" s="8">
        <v>55</v>
      </c>
      <c r="R128" s="8"/>
      <c r="S128" s="8"/>
      <c r="T128" s="8">
        <v>78.5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2">
      <c r="A129" s="3" t="s">
        <v>182</v>
      </c>
      <c r="B129" s="3" t="s">
        <v>376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>
        <v>86.099998474121094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2">
      <c r="A130" s="3" t="s">
        <v>184</v>
      </c>
      <c r="B130" s="3" t="s">
        <v>378</v>
      </c>
      <c r="C130" s="8"/>
      <c r="D130" s="8"/>
      <c r="E130" s="8"/>
      <c r="F130" s="8"/>
      <c r="G130" s="8"/>
      <c r="H130" s="8"/>
      <c r="I130" s="8"/>
      <c r="J130" s="8"/>
      <c r="K130" s="8"/>
      <c r="L130" s="8">
        <v>23.600000381469727</v>
      </c>
      <c r="M130" s="8"/>
      <c r="N130" s="8">
        <v>20.799999237060547</v>
      </c>
      <c r="O130" s="8"/>
      <c r="P130" s="8"/>
      <c r="Q130" s="8">
        <v>31.799999237060547</v>
      </c>
      <c r="R130" s="8"/>
      <c r="S130" s="8"/>
      <c r="T130" s="8"/>
      <c r="U130" s="8">
        <v>33.900001525878906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2">
      <c r="A131" s="3" t="s">
        <v>185</v>
      </c>
      <c r="B131" s="3" t="s">
        <v>379</v>
      </c>
      <c r="C131" s="8"/>
      <c r="D131" s="8"/>
      <c r="E131" s="8"/>
      <c r="F131" s="8"/>
      <c r="G131" s="8"/>
      <c r="H131" s="8"/>
      <c r="I131" s="8"/>
      <c r="J131" s="8"/>
      <c r="K131" s="8">
        <v>8.3999996185302734</v>
      </c>
      <c r="L131" s="8"/>
      <c r="M131" s="8"/>
      <c r="N131" s="8"/>
      <c r="O131" s="8"/>
      <c r="P131" s="8"/>
      <c r="Q131" s="8"/>
      <c r="R131" s="8">
        <v>13.199999809265137</v>
      </c>
      <c r="S131" s="8"/>
      <c r="T131" s="8"/>
      <c r="U131" s="8">
        <v>19.299999237060547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2">
      <c r="A132" s="17" t="s">
        <v>409</v>
      </c>
      <c r="B132" s="3" t="s">
        <v>337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>
        <v>18.799999237060547</v>
      </c>
      <c r="N132" s="8"/>
      <c r="O132" s="8"/>
      <c r="P132" s="8"/>
      <c r="Q132" s="8"/>
      <c r="R132" s="8"/>
      <c r="S132" s="8"/>
      <c r="T132" s="8"/>
      <c r="U132" s="8">
        <v>17</v>
      </c>
      <c r="V132" s="8">
        <v>14</v>
      </c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2">
      <c r="A133" s="3" t="s">
        <v>189</v>
      </c>
      <c r="B133" s="3" t="s">
        <v>383</v>
      </c>
      <c r="C133" s="8"/>
      <c r="D133" s="8"/>
      <c r="E133" s="8"/>
      <c r="F133" s="8"/>
      <c r="G133" s="8"/>
      <c r="H133" s="8"/>
      <c r="I133" s="8"/>
      <c r="J133" s="8"/>
      <c r="K133" s="8"/>
      <c r="L133" s="8">
        <v>15</v>
      </c>
      <c r="M133" s="8"/>
      <c r="N133" s="8"/>
      <c r="O133" s="8"/>
      <c r="P133" s="8"/>
      <c r="Q133" s="8"/>
      <c r="R133" s="8">
        <v>10</v>
      </c>
      <c r="S133" s="8">
        <v>10.399999618530273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2">
      <c r="A134" s="3" t="s">
        <v>191</v>
      </c>
      <c r="B134" s="3" t="s">
        <v>385</v>
      </c>
      <c r="C134" s="8"/>
      <c r="D134" s="8"/>
      <c r="E134" s="8"/>
      <c r="F134" s="8"/>
      <c r="G134" s="8">
        <v>10.199999809265137</v>
      </c>
      <c r="H134" s="8"/>
      <c r="I134" s="8"/>
      <c r="J134" s="8"/>
      <c r="K134" s="8"/>
      <c r="L134" s="8"/>
      <c r="M134" s="8">
        <v>5.9000000953674316</v>
      </c>
      <c r="N134" s="8"/>
      <c r="O134" s="8"/>
      <c r="P134" s="8"/>
      <c r="Q134" s="8"/>
      <c r="R134" s="8"/>
      <c r="S134" s="8">
        <v>10.899999618530273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2">
      <c r="A135" s="3" t="s">
        <v>192</v>
      </c>
      <c r="B135" s="3" t="s">
        <v>386</v>
      </c>
      <c r="C135" s="8"/>
      <c r="D135" s="8"/>
      <c r="E135" s="8"/>
      <c r="F135" s="8"/>
      <c r="G135" s="8"/>
      <c r="H135" s="8">
        <v>12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C962-1067-4AA7-B2A4-92954BF2FAB7}">
  <dimension ref="A1:AG73"/>
  <sheetViews>
    <sheetView zoomScaleNormal="100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AG2" sqref="AG1:AG2"/>
    </sheetView>
  </sheetViews>
  <sheetFormatPr defaultColWidth="9.140625" defaultRowHeight="14.25" x14ac:dyDescent="0.2"/>
  <cols>
    <col min="1" max="1" width="37.5703125" style="9" customWidth="1"/>
    <col min="2" max="16384" width="9.140625" style="9"/>
  </cols>
  <sheetData>
    <row r="1" spans="1:33" s="4" customFormat="1" ht="12.75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G1" s="4" t="s">
        <v>426</v>
      </c>
    </row>
    <row r="2" spans="1:33" x14ac:dyDescent="0.2">
      <c r="A2" s="9" t="s">
        <v>3</v>
      </c>
      <c r="B2" s="9" t="s">
        <v>196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>
        <v>66.59</v>
      </c>
      <c r="Z2" s="10">
        <v>60.98</v>
      </c>
      <c r="AA2" s="10"/>
      <c r="AB2" s="10"/>
      <c r="AC2" s="10"/>
      <c r="AD2" s="10"/>
      <c r="AE2" s="10"/>
      <c r="AG2" s="7">
        <f>AVERAGE($R2:$AB2)</f>
        <v>63.784999999999997</v>
      </c>
    </row>
    <row r="3" spans="1:33" x14ac:dyDescent="0.2">
      <c r="A3" s="9" t="s">
        <v>2</v>
      </c>
      <c r="B3" s="9" t="s">
        <v>195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>
        <v>79.16</v>
      </c>
      <c r="R3" s="10"/>
      <c r="S3" s="10"/>
      <c r="T3" s="10"/>
      <c r="U3" s="10"/>
      <c r="V3" s="10"/>
      <c r="W3" s="10"/>
      <c r="X3" s="10">
        <v>84.32</v>
      </c>
      <c r="Y3" s="10"/>
      <c r="Z3" s="10"/>
      <c r="AA3" s="10"/>
      <c r="AB3" s="10"/>
      <c r="AC3" s="10"/>
      <c r="AD3" s="10"/>
      <c r="AE3" s="10"/>
      <c r="AG3" s="7">
        <f t="shared" ref="AG3:AG66" si="0">AVERAGE($R3:$AB3)</f>
        <v>84.32</v>
      </c>
    </row>
    <row r="4" spans="1:33" x14ac:dyDescent="0.2">
      <c r="A4" s="9" t="s">
        <v>6</v>
      </c>
      <c r="B4" s="9" t="s">
        <v>199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>
        <v>59.57</v>
      </c>
      <c r="R4" s="10">
        <v>58.02</v>
      </c>
      <c r="S4" s="10">
        <v>55.26</v>
      </c>
      <c r="T4" s="10"/>
      <c r="U4" s="10">
        <v>50.25</v>
      </c>
      <c r="V4" s="10">
        <v>49.69</v>
      </c>
      <c r="W4" s="10">
        <v>48.54</v>
      </c>
      <c r="X4" s="10">
        <v>47.69</v>
      </c>
      <c r="Y4" s="10">
        <v>47.79</v>
      </c>
      <c r="Z4" s="10">
        <v>47.43</v>
      </c>
      <c r="AA4" s="10">
        <v>46.84</v>
      </c>
      <c r="AB4" s="10"/>
      <c r="AC4" s="10"/>
      <c r="AD4" s="10">
        <v>47.91</v>
      </c>
      <c r="AE4" s="10">
        <v>48.11</v>
      </c>
      <c r="AG4" s="7">
        <f t="shared" si="0"/>
        <v>50.167777777777779</v>
      </c>
    </row>
    <row r="5" spans="1:33" x14ac:dyDescent="0.2">
      <c r="A5" s="9" t="s">
        <v>7</v>
      </c>
      <c r="B5" s="9" t="s">
        <v>200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>
        <v>51.17</v>
      </c>
      <c r="V5" s="10">
        <v>55.03</v>
      </c>
      <c r="W5" s="10"/>
      <c r="X5" s="10">
        <v>62.36</v>
      </c>
      <c r="Y5" s="10">
        <v>61.54</v>
      </c>
      <c r="Z5" s="10">
        <v>60.36</v>
      </c>
      <c r="AA5" s="10">
        <v>59.12</v>
      </c>
      <c r="AB5" s="10">
        <v>52.13</v>
      </c>
      <c r="AC5" s="10">
        <v>49.91</v>
      </c>
      <c r="AD5" s="10">
        <v>47.88</v>
      </c>
      <c r="AE5" s="10">
        <v>50.33</v>
      </c>
      <c r="AG5" s="7">
        <f t="shared" si="0"/>
        <v>57.387142857142855</v>
      </c>
    </row>
    <row r="6" spans="1:33" x14ac:dyDescent="0.2">
      <c r="A6" s="9" t="s">
        <v>16</v>
      </c>
      <c r="B6" s="9" t="s">
        <v>209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>
        <v>87.85</v>
      </c>
      <c r="X6" s="10"/>
      <c r="Y6" s="10"/>
      <c r="Z6" s="10">
        <v>89.42</v>
      </c>
      <c r="AA6" s="10"/>
      <c r="AB6" s="10"/>
      <c r="AC6" s="10"/>
      <c r="AD6" s="10">
        <v>94.7</v>
      </c>
      <c r="AE6" s="10"/>
      <c r="AG6" s="7">
        <f t="shared" si="0"/>
        <v>88.634999999999991</v>
      </c>
    </row>
    <row r="7" spans="1:33" x14ac:dyDescent="0.2">
      <c r="A7" s="9" t="s">
        <v>14</v>
      </c>
      <c r="B7" s="9" t="s">
        <v>207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>
        <v>96.82</v>
      </c>
      <c r="Y7" s="10"/>
      <c r="Z7" s="10"/>
      <c r="AA7" s="10"/>
      <c r="AB7" s="10"/>
      <c r="AC7" s="10"/>
      <c r="AD7" s="10"/>
      <c r="AE7" s="10"/>
      <c r="AG7" s="7">
        <f t="shared" si="0"/>
        <v>96.82</v>
      </c>
    </row>
    <row r="8" spans="1:33" x14ac:dyDescent="0.2">
      <c r="A8" s="9" t="s">
        <v>24</v>
      </c>
      <c r="B8" s="9" t="s">
        <v>217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v>95.82</v>
      </c>
      <c r="S8" s="10">
        <v>96.15</v>
      </c>
      <c r="T8" s="10">
        <v>84.26</v>
      </c>
      <c r="U8" s="10">
        <v>85.94</v>
      </c>
      <c r="V8" s="10">
        <v>84.16</v>
      </c>
      <c r="W8" s="10"/>
      <c r="X8" s="10">
        <v>83.36</v>
      </c>
      <c r="Y8" s="10">
        <v>82.13</v>
      </c>
      <c r="Z8" s="10">
        <v>80.430000000000007</v>
      </c>
      <c r="AA8" s="10">
        <v>85.21</v>
      </c>
      <c r="AB8" s="10">
        <v>84.1</v>
      </c>
      <c r="AC8" s="10">
        <v>76.260000000000005</v>
      </c>
      <c r="AD8" s="10">
        <v>79.12</v>
      </c>
      <c r="AE8" s="10">
        <v>80.7</v>
      </c>
      <c r="AG8" s="7">
        <f t="shared" si="0"/>
        <v>86.156000000000006</v>
      </c>
    </row>
    <row r="9" spans="1:33" x14ac:dyDescent="0.2">
      <c r="A9" s="9" t="s">
        <v>20</v>
      </c>
      <c r="B9" s="9" t="s">
        <v>213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37.97</v>
      </c>
      <c r="T9" s="10">
        <v>37.06</v>
      </c>
      <c r="U9" s="10">
        <v>35.58</v>
      </c>
      <c r="V9" s="10">
        <v>33.79</v>
      </c>
      <c r="W9" s="10">
        <v>32.36</v>
      </c>
      <c r="X9" s="10">
        <v>30.88</v>
      </c>
      <c r="Y9" s="10">
        <v>33.69</v>
      </c>
      <c r="Z9" s="10">
        <v>31.51</v>
      </c>
      <c r="AA9" s="10">
        <v>29.28</v>
      </c>
      <c r="AB9" s="10">
        <v>30.13</v>
      </c>
      <c r="AC9" s="10">
        <v>30.48</v>
      </c>
      <c r="AD9" s="10">
        <v>24.82</v>
      </c>
      <c r="AE9" s="10">
        <v>22.14</v>
      </c>
      <c r="AG9" s="7">
        <f t="shared" si="0"/>
        <v>33.225000000000001</v>
      </c>
    </row>
    <row r="10" spans="1:33" x14ac:dyDescent="0.2">
      <c r="A10" s="9" t="s">
        <v>25</v>
      </c>
      <c r="B10" s="9" t="s">
        <v>218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49.7</v>
      </c>
      <c r="W10" s="10"/>
      <c r="X10" s="10">
        <v>46.03</v>
      </c>
      <c r="Y10" s="10">
        <v>45.1</v>
      </c>
      <c r="Z10" s="10">
        <v>44.09</v>
      </c>
      <c r="AA10" s="10">
        <v>44.78</v>
      </c>
      <c r="AB10" s="10">
        <v>44.98</v>
      </c>
      <c r="AC10" s="10"/>
      <c r="AD10" s="10"/>
      <c r="AE10" s="10"/>
      <c r="AG10" s="7">
        <f t="shared" si="0"/>
        <v>45.78</v>
      </c>
    </row>
    <row r="11" spans="1:33" x14ac:dyDescent="0.2">
      <c r="A11" s="9" t="s">
        <v>27</v>
      </c>
      <c r="B11" s="9" t="s">
        <v>220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33.020000000000003</v>
      </c>
      <c r="AB11" s="10"/>
      <c r="AC11" s="10"/>
      <c r="AD11" s="10">
        <v>37.700000000000003</v>
      </c>
      <c r="AE11" s="10">
        <v>37.49</v>
      </c>
      <c r="AG11" s="7">
        <f t="shared" si="0"/>
        <v>33.020000000000003</v>
      </c>
    </row>
    <row r="12" spans="1:33" x14ac:dyDescent="0.2">
      <c r="A12" s="9" t="s">
        <v>15</v>
      </c>
      <c r="B12" s="9" t="s">
        <v>208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95.39</v>
      </c>
      <c r="AG12" s="7" t="e">
        <f t="shared" si="0"/>
        <v>#DIV/0!</v>
      </c>
    </row>
    <row r="13" spans="1:33" x14ac:dyDescent="0.2">
      <c r="A13" s="9" t="s">
        <v>12</v>
      </c>
      <c r="B13" s="9" t="s">
        <v>205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v>98.31</v>
      </c>
      <c r="AB13" s="10"/>
      <c r="AC13" s="10"/>
      <c r="AD13" s="10"/>
      <c r="AE13" s="10"/>
      <c r="AG13" s="7">
        <f t="shared" si="0"/>
        <v>98.31</v>
      </c>
    </row>
    <row r="14" spans="1:33" x14ac:dyDescent="0.2">
      <c r="A14" s="9" t="s">
        <v>41</v>
      </c>
      <c r="B14" s="9" t="s">
        <v>234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63.82</v>
      </c>
      <c r="AC14" s="10"/>
      <c r="AD14" s="10"/>
      <c r="AE14" s="10"/>
      <c r="AG14" s="7">
        <f t="shared" si="0"/>
        <v>63.82</v>
      </c>
    </row>
    <row r="15" spans="1:33" x14ac:dyDescent="0.2">
      <c r="A15" s="9" t="s">
        <v>93</v>
      </c>
      <c r="B15" s="9" t="s">
        <v>286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93.57</v>
      </c>
      <c r="Z15" s="10"/>
      <c r="AA15" s="10"/>
      <c r="AB15" s="10"/>
      <c r="AC15" s="10"/>
      <c r="AD15" s="10"/>
      <c r="AE15" s="10"/>
      <c r="AG15" s="7">
        <f t="shared" si="0"/>
        <v>93.57</v>
      </c>
    </row>
    <row r="16" spans="1:33" x14ac:dyDescent="0.2">
      <c r="A16" s="9" t="s">
        <v>36</v>
      </c>
      <c r="B16" s="9" t="s">
        <v>229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90.98</v>
      </c>
      <c r="U16" s="10"/>
      <c r="V16" s="10"/>
      <c r="W16" s="10"/>
      <c r="X16" s="10"/>
      <c r="Y16" s="10"/>
      <c r="Z16" s="10"/>
      <c r="AA16" s="10">
        <v>90.23</v>
      </c>
      <c r="AB16" s="10"/>
      <c r="AC16" s="10"/>
      <c r="AD16" s="10"/>
      <c r="AE16" s="10"/>
      <c r="AG16" s="7">
        <f t="shared" si="0"/>
        <v>90.605000000000004</v>
      </c>
    </row>
    <row r="17" spans="1:33" x14ac:dyDescent="0.2">
      <c r="A17" s="9" t="s">
        <v>33</v>
      </c>
      <c r="B17" s="9" t="s">
        <v>226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v>64.69</v>
      </c>
      <c r="AE17" s="10">
        <v>29.28</v>
      </c>
      <c r="AG17" s="7" t="e">
        <f t="shared" si="0"/>
        <v>#DIV/0!</v>
      </c>
    </row>
    <row r="18" spans="1:33" x14ac:dyDescent="0.2">
      <c r="A18" s="9" t="s">
        <v>39</v>
      </c>
      <c r="B18" s="9" t="s">
        <v>232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>
        <v>67.86</v>
      </c>
      <c r="X18" s="10">
        <v>67.040000000000006</v>
      </c>
      <c r="Y18" s="10">
        <v>66.55</v>
      </c>
      <c r="Z18" s="10">
        <v>64.930000000000007</v>
      </c>
      <c r="AA18" s="10">
        <v>63.24</v>
      </c>
      <c r="AB18" s="10">
        <v>63.07</v>
      </c>
      <c r="AC18" s="10">
        <v>62.38</v>
      </c>
      <c r="AD18" s="10">
        <v>61.92</v>
      </c>
      <c r="AE18" s="10">
        <v>62.36</v>
      </c>
      <c r="AG18" s="7">
        <f t="shared" si="0"/>
        <v>65.448333333333338</v>
      </c>
    </row>
    <row r="19" spans="1:33" x14ac:dyDescent="0.2">
      <c r="A19" s="9" t="s">
        <v>40</v>
      </c>
      <c r="B19" s="9" t="s">
        <v>233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>
        <v>94.71</v>
      </c>
      <c r="AB19" s="10"/>
      <c r="AC19" s="10"/>
      <c r="AD19" s="10"/>
      <c r="AE19" s="10"/>
      <c r="AG19" s="7">
        <f t="shared" si="0"/>
        <v>94.71</v>
      </c>
    </row>
    <row r="20" spans="1:33" x14ac:dyDescent="0.2">
      <c r="A20" s="9" t="s">
        <v>37</v>
      </c>
      <c r="B20" s="9" t="s">
        <v>230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v>98.62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G20" s="7">
        <f t="shared" si="0"/>
        <v>98.62</v>
      </c>
    </row>
    <row r="21" spans="1:33" x14ac:dyDescent="0.2">
      <c r="A21" s="9" t="s">
        <v>42</v>
      </c>
      <c r="B21" s="9" t="s">
        <v>235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37.85</v>
      </c>
      <c r="X21" s="10">
        <v>34.72</v>
      </c>
      <c r="Y21" s="10">
        <v>36.82</v>
      </c>
      <c r="Z21" s="10">
        <v>38.76</v>
      </c>
      <c r="AA21" s="10">
        <v>38.840000000000003</v>
      </c>
      <c r="AB21" s="10">
        <v>39.74</v>
      </c>
      <c r="AC21" s="10">
        <v>37.869999999999997</v>
      </c>
      <c r="AD21" s="10">
        <v>38.200000000000003</v>
      </c>
      <c r="AE21" s="10">
        <v>37.85</v>
      </c>
      <c r="AG21" s="7">
        <f t="shared" si="0"/>
        <v>37.788333333333334</v>
      </c>
    </row>
    <row r="22" spans="1:33" x14ac:dyDescent="0.2">
      <c r="A22" s="9" t="s">
        <v>35</v>
      </c>
      <c r="B22" s="9" t="s">
        <v>228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94.77</v>
      </c>
      <c r="Z22" s="10">
        <v>97.71</v>
      </c>
      <c r="AA22" s="10"/>
      <c r="AB22" s="10"/>
      <c r="AC22" s="10">
        <v>92.77</v>
      </c>
      <c r="AD22" s="10">
        <v>86.66</v>
      </c>
      <c r="AE22" s="10"/>
      <c r="AG22" s="7">
        <f t="shared" si="0"/>
        <v>96.24</v>
      </c>
    </row>
    <row r="23" spans="1:33" x14ac:dyDescent="0.2">
      <c r="A23" s="9" t="s">
        <v>51</v>
      </c>
      <c r="B23" s="9" t="s">
        <v>244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90.4</v>
      </c>
      <c r="N23" s="10">
        <v>88.42</v>
      </c>
      <c r="O23" s="10">
        <v>91.01</v>
      </c>
      <c r="P23" s="10">
        <v>89.8</v>
      </c>
      <c r="Q23" s="10">
        <v>89.41</v>
      </c>
      <c r="R23" s="10">
        <v>70.459999999999994</v>
      </c>
      <c r="S23" s="10">
        <v>65.38</v>
      </c>
      <c r="T23" s="10">
        <v>57.7</v>
      </c>
      <c r="U23" s="10">
        <v>57.99</v>
      </c>
      <c r="V23" s="10">
        <v>55.01</v>
      </c>
      <c r="W23" s="10">
        <v>53.94</v>
      </c>
      <c r="X23" s="10">
        <v>56.17</v>
      </c>
      <c r="Y23" s="10">
        <v>56.26</v>
      </c>
      <c r="Z23" s="10">
        <v>55.9</v>
      </c>
      <c r="AA23" s="10">
        <v>54.24</v>
      </c>
      <c r="AB23" s="10">
        <v>56.28</v>
      </c>
      <c r="AC23" s="10">
        <v>56.34</v>
      </c>
      <c r="AD23" s="10">
        <v>57.17</v>
      </c>
      <c r="AE23" s="10">
        <v>56.79</v>
      </c>
      <c r="AG23" s="7">
        <f t="shared" si="0"/>
        <v>58.120909090909088</v>
      </c>
    </row>
    <row r="24" spans="1:33" x14ac:dyDescent="0.2">
      <c r="A24" s="9" t="s">
        <v>53</v>
      </c>
      <c r="B24" s="9" t="s">
        <v>246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>
        <v>83.19</v>
      </c>
      <c r="O24" s="10"/>
      <c r="P24" s="10">
        <v>81.83</v>
      </c>
      <c r="Q24" s="10">
        <v>82.42</v>
      </c>
      <c r="R24" s="10">
        <v>82.3</v>
      </c>
      <c r="S24" s="10">
        <v>82.22</v>
      </c>
      <c r="T24" s="10">
        <v>81.59</v>
      </c>
      <c r="U24" s="10">
        <v>80.16</v>
      </c>
      <c r="V24" s="10">
        <v>78.37</v>
      </c>
      <c r="W24" s="10">
        <v>75.540000000000006</v>
      </c>
      <c r="X24" s="10">
        <v>72.569999999999993</v>
      </c>
      <c r="Y24" s="10">
        <v>71.099999999999994</v>
      </c>
      <c r="Z24" s="10">
        <v>69.73</v>
      </c>
      <c r="AA24" s="10">
        <v>67.569999999999993</v>
      </c>
      <c r="AB24" s="10">
        <v>68.150000000000006</v>
      </c>
      <c r="AC24" s="10">
        <v>70.790000000000006</v>
      </c>
      <c r="AD24" s="10">
        <v>72.41</v>
      </c>
      <c r="AE24" s="10">
        <v>72.67</v>
      </c>
      <c r="AG24" s="7">
        <f t="shared" si="0"/>
        <v>75.390909090909091</v>
      </c>
    </row>
    <row r="25" spans="1:33" x14ac:dyDescent="0.2">
      <c r="A25" s="9" t="s">
        <v>54</v>
      </c>
      <c r="B25" s="9" t="s">
        <v>247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55.75</v>
      </c>
      <c r="V25" s="10">
        <v>55.41</v>
      </c>
      <c r="W25" s="10">
        <v>57.64</v>
      </c>
      <c r="X25" s="10">
        <v>58.73</v>
      </c>
      <c r="Y25" s="10">
        <v>55.92</v>
      </c>
      <c r="Z25" s="10">
        <v>57.61</v>
      </c>
      <c r="AA25" s="10"/>
      <c r="AB25" s="10">
        <v>59.83</v>
      </c>
      <c r="AC25" s="10">
        <v>61.93</v>
      </c>
      <c r="AD25" s="10">
        <v>63.78</v>
      </c>
      <c r="AE25" s="10">
        <v>63.35</v>
      </c>
      <c r="AG25" s="7">
        <f t="shared" si="0"/>
        <v>57.269999999999996</v>
      </c>
    </row>
    <row r="26" spans="1:33" x14ac:dyDescent="0.2">
      <c r="A26" s="9" t="s">
        <v>155</v>
      </c>
      <c r="B26" s="9" t="s">
        <v>349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72.45</v>
      </c>
      <c r="X26" s="10">
        <v>72.55</v>
      </c>
      <c r="Y26" s="10">
        <v>72.569999999999993</v>
      </c>
      <c r="Z26" s="10">
        <v>71.38</v>
      </c>
      <c r="AA26" s="10">
        <v>69.34</v>
      </c>
      <c r="AB26" s="10">
        <v>69.099999999999994</v>
      </c>
      <c r="AC26" s="10">
        <v>69.47</v>
      </c>
      <c r="AD26" s="10">
        <v>70.16</v>
      </c>
      <c r="AE26" s="10">
        <v>68.510000000000005</v>
      </c>
      <c r="AG26" s="7">
        <f t="shared" si="0"/>
        <v>71.231666666666669</v>
      </c>
    </row>
    <row r="27" spans="1:33" x14ac:dyDescent="0.2">
      <c r="A27" s="9" t="s">
        <v>68</v>
      </c>
      <c r="B27" s="9" t="s">
        <v>261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>
        <v>76.489999999999995</v>
      </c>
      <c r="Z27" s="10"/>
      <c r="AA27" s="10"/>
      <c r="AB27" s="10"/>
      <c r="AC27" s="10"/>
      <c r="AD27" s="10"/>
      <c r="AE27" s="10">
        <v>77.63</v>
      </c>
      <c r="AG27" s="7">
        <f t="shared" si="0"/>
        <v>76.489999999999995</v>
      </c>
    </row>
    <row r="28" spans="1:33" x14ac:dyDescent="0.2">
      <c r="A28" s="9" t="s">
        <v>66</v>
      </c>
      <c r="B28" s="9" t="s">
        <v>259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93.78</v>
      </c>
      <c r="T28" s="10"/>
      <c r="U28" s="10"/>
      <c r="V28" s="10"/>
      <c r="W28" s="10"/>
      <c r="X28" s="10"/>
      <c r="Y28" s="10"/>
      <c r="Z28" s="10">
        <v>92.12</v>
      </c>
      <c r="AA28" s="10"/>
      <c r="AB28" s="10">
        <v>88.76</v>
      </c>
      <c r="AC28" s="10"/>
      <c r="AD28" s="10"/>
      <c r="AE28" s="10"/>
      <c r="AG28" s="7">
        <f t="shared" si="0"/>
        <v>91.553333333333342</v>
      </c>
    </row>
    <row r="29" spans="1:33" x14ac:dyDescent="0.2">
      <c r="A29" s="9" t="s">
        <v>73</v>
      </c>
      <c r="B29" s="9" t="s">
        <v>266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81.11</v>
      </c>
      <c r="Q29" s="10">
        <v>81.209999999999994</v>
      </c>
      <c r="R29" s="10"/>
      <c r="S29" s="10">
        <v>80.13</v>
      </c>
      <c r="T29" s="10"/>
      <c r="U29" s="10"/>
      <c r="V29" s="10"/>
      <c r="W29" s="10">
        <v>80.930000000000007</v>
      </c>
      <c r="X29" s="10">
        <v>81.209999999999994</v>
      </c>
      <c r="Y29" s="10">
        <v>82.66</v>
      </c>
      <c r="Z29" s="10">
        <v>80.53</v>
      </c>
      <c r="AA29" s="10">
        <v>78.06</v>
      </c>
      <c r="AB29" s="10">
        <v>79.180000000000007</v>
      </c>
      <c r="AC29" s="10">
        <v>79.209999999999994</v>
      </c>
      <c r="AD29" s="10">
        <v>80.11</v>
      </c>
      <c r="AE29" s="10"/>
      <c r="AG29" s="7">
        <f t="shared" si="0"/>
        <v>80.385714285714272</v>
      </c>
    </row>
    <row r="30" spans="1:33" x14ac:dyDescent="0.2">
      <c r="A30" s="9" t="s">
        <v>74</v>
      </c>
      <c r="B30" s="9" t="s">
        <v>267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58.07</v>
      </c>
      <c r="AG30" s="7" t="e">
        <f t="shared" si="0"/>
        <v>#DIV/0!</v>
      </c>
    </row>
    <row r="31" spans="1:33" x14ac:dyDescent="0.2">
      <c r="A31" s="9" t="s">
        <v>77</v>
      </c>
      <c r="B31" s="9" t="s">
        <v>270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v>91.51</v>
      </c>
      <c r="Z31" s="10"/>
      <c r="AA31" s="10"/>
      <c r="AB31" s="10"/>
      <c r="AC31" s="10"/>
      <c r="AD31" s="10"/>
      <c r="AE31" s="10"/>
      <c r="AG31" s="7">
        <f t="shared" si="0"/>
        <v>91.51</v>
      </c>
    </row>
    <row r="32" spans="1:33" x14ac:dyDescent="0.2">
      <c r="A32" s="9" t="s">
        <v>75</v>
      </c>
      <c r="B32" s="9" t="s">
        <v>268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74.34</v>
      </c>
      <c r="T32" s="10">
        <v>72.180000000000007</v>
      </c>
      <c r="U32" s="10">
        <v>79.349999999999994</v>
      </c>
      <c r="V32" s="10">
        <v>78.77</v>
      </c>
      <c r="W32" s="10">
        <v>80.349999999999994</v>
      </c>
      <c r="X32" s="10">
        <v>81.91</v>
      </c>
      <c r="Y32" s="10">
        <v>83.73</v>
      </c>
      <c r="Z32" s="10">
        <v>93.03</v>
      </c>
      <c r="AA32" s="10">
        <v>91.71</v>
      </c>
      <c r="AB32" s="10">
        <v>88.79</v>
      </c>
      <c r="AC32" s="10">
        <v>90.18</v>
      </c>
      <c r="AD32" s="10">
        <v>82.61</v>
      </c>
      <c r="AE32" s="10"/>
      <c r="AG32" s="7">
        <f t="shared" si="0"/>
        <v>82.415999999999997</v>
      </c>
    </row>
    <row r="33" spans="1:33" x14ac:dyDescent="0.2">
      <c r="A33" s="9" t="s">
        <v>80</v>
      </c>
      <c r="B33" s="9" t="s">
        <v>273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>
        <v>87.89</v>
      </c>
      <c r="X33" s="10"/>
      <c r="Y33" s="10">
        <v>86.53</v>
      </c>
      <c r="Z33" s="10"/>
      <c r="AA33" s="10"/>
      <c r="AB33" s="10"/>
      <c r="AC33" s="10"/>
      <c r="AD33" s="10"/>
      <c r="AE33" s="10">
        <v>88.63</v>
      </c>
      <c r="AG33" s="7">
        <f t="shared" si="0"/>
        <v>87.210000000000008</v>
      </c>
    </row>
    <row r="34" spans="1:33" x14ac:dyDescent="0.2">
      <c r="A34" s="9" t="s">
        <v>79</v>
      </c>
      <c r="B34" s="9" t="s">
        <v>272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84.31</v>
      </c>
      <c r="AD34" s="10">
        <v>84.24</v>
      </c>
      <c r="AE34" s="10">
        <v>82.38</v>
      </c>
      <c r="AG34" s="7" t="e">
        <f t="shared" si="0"/>
        <v>#DIV/0!</v>
      </c>
    </row>
    <row r="35" spans="1:33" x14ac:dyDescent="0.2">
      <c r="A35" s="9" t="s">
        <v>92</v>
      </c>
      <c r="B35" s="9" t="s">
        <v>285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73.83</v>
      </c>
      <c r="AG35" s="7" t="e">
        <f t="shared" si="0"/>
        <v>#DIV/0!</v>
      </c>
    </row>
    <row r="36" spans="1:33" x14ac:dyDescent="0.2">
      <c r="A36" s="9" t="s">
        <v>98</v>
      </c>
      <c r="B36" s="9" t="s">
        <v>291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82.88</v>
      </c>
      <c r="AE36" s="10"/>
      <c r="AG36" s="7" t="e">
        <f t="shared" si="0"/>
        <v>#DIV/0!</v>
      </c>
    </row>
    <row r="37" spans="1:33" x14ac:dyDescent="0.2">
      <c r="A37" s="9" t="s">
        <v>100</v>
      </c>
      <c r="B37" s="9" t="s">
        <v>293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>
        <v>86.71</v>
      </c>
      <c r="X37" s="10"/>
      <c r="Y37" s="10">
        <v>92.23</v>
      </c>
      <c r="Z37" s="10"/>
      <c r="AA37" s="10">
        <v>93.37</v>
      </c>
      <c r="AB37" s="10"/>
      <c r="AC37" s="10"/>
      <c r="AD37" s="10"/>
      <c r="AE37" s="10"/>
      <c r="AG37" s="7">
        <f t="shared" si="0"/>
        <v>90.77</v>
      </c>
    </row>
    <row r="38" spans="1:33" x14ac:dyDescent="0.2">
      <c r="A38" s="9" t="s">
        <v>110</v>
      </c>
      <c r="B38" s="9" t="s">
        <v>303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>
        <v>95.2</v>
      </c>
      <c r="AC38" s="10"/>
      <c r="AD38" s="10"/>
      <c r="AE38" s="10"/>
      <c r="AG38" s="7">
        <f t="shared" si="0"/>
        <v>95.2</v>
      </c>
    </row>
    <row r="39" spans="1:33" x14ac:dyDescent="0.2">
      <c r="A39" s="9" t="s">
        <v>111</v>
      </c>
      <c r="B39" s="9" t="s">
        <v>304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51.7</v>
      </c>
      <c r="AD39" s="10"/>
      <c r="AE39" s="10"/>
      <c r="AG39" s="7" t="e">
        <f t="shared" si="0"/>
        <v>#DIV/0!</v>
      </c>
    </row>
    <row r="40" spans="1:33" x14ac:dyDescent="0.2">
      <c r="A40" s="9" t="s">
        <v>114</v>
      </c>
      <c r="B40" s="9" t="s">
        <v>308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89.89</v>
      </c>
      <c r="AA40" s="10">
        <v>95.3</v>
      </c>
      <c r="AB40" s="10">
        <v>96.13</v>
      </c>
      <c r="AC40" s="10">
        <v>94.91</v>
      </c>
      <c r="AD40" s="10">
        <v>94.72</v>
      </c>
      <c r="AE40" s="10">
        <v>93.37</v>
      </c>
      <c r="AG40" s="7">
        <f t="shared" si="0"/>
        <v>93.773333333333326</v>
      </c>
    </row>
    <row r="41" spans="1:33" x14ac:dyDescent="0.2">
      <c r="A41" s="9" t="s">
        <v>120</v>
      </c>
      <c r="B41" s="9" t="s">
        <v>314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91.24</v>
      </c>
      <c r="AE41" s="10"/>
      <c r="AG41" s="7" t="e">
        <f t="shared" si="0"/>
        <v>#DIV/0!</v>
      </c>
    </row>
    <row r="42" spans="1:33" x14ac:dyDescent="0.2">
      <c r="A42" s="9" t="s">
        <v>121</v>
      </c>
      <c r="B42" s="9" t="s">
        <v>315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51.3</v>
      </c>
      <c r="Z42" s="10">
        <v>51.52</v>
      </c>
      <c r="AA42" s="10">
        <v>54.72</v>
      </c>
      <c r="AB42" s="10">
        <v>53.33</v>
      </c>
      <c r="AC42" s="10">
        <v>52.87</v>
      </c>
      <c r="AD42" s="10">
        <v>52.17</v>
      </c>
      <c r="AE42" s="10">
        <v>53.53</v>
      </c>
      <c r="AG42" s="7">
        <f t="shared" si="0"/>
        <v>52.717500000000001</v>
      </c>
    </row>
    <row r="43" spans="1:33" x14ac:dyDescent="0.2">
      <c r="A43" s="9" t="s">
        <v>112</v>
      </c>
      <c r="B43" s="9" t="s">
        <v>305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>
        <v>65.959999999999994</v>
      </c>
      <c r="P43" s="10">
        <v>66.180000000000007</v>
      </c>
      <c r="Q43" s="10">
        <v>65.92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G43" s="7" t="e">
        <f t="shared" si="0"/>
        <v>#DIV/0!</v>
      </c>
    </row>
    <row r="44" spans="1:33" x14ac:dyDescent="0.2">
      <c r="A44" s="9" t="s">
        <v>118</v>
      </c>
      <c r="B44" s="9" t="s">
        <v>312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>
        <v>49.56</v>
      </c>
      <c r="V44" s="10">
        <v>45.74</v>
      </c>
      <c r="W44" s="10">
        <v>52.14</v>
      </c>
      <c r="X44" s="10">
        <v>56.27</v>
      </c>
      <c r="Y44" s="10">
        <v>58.57</v>
      </c>
      <c r="Z44" s="10">
        <v>56.3</v>
      </c>
      <c r="AA44" s="10">
        <v>49.8</v>
      </c>
      <c r="AB44" s="10">
        <v>49.99</v>
      </c>
      <c r="AC44" s="10">
        <v>50.66</v>
      </c>
      <c r="AD44" s="10">
        <v>51.3</v>
      </c>
      <c r="AE44" s="10">
        <v>48.8</v>
      </c>
      <c r="AG44" s="7">
        <f t="shared" si="0"/>
        <v>52.296250000000008</v>
      </c>
    </row>
    <row r="45" spans="1:33" x14ac:dyDescent="0.2">
      <c r="A45" s="9" t="s">
        <v>119</v>
      </c>
      <c r="B45" s="9" t="s">
        <v>313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95.67</v>
      </c>
      <c r="AC45" s="10"/>
      <c r="AD45" s="10"/>
      <c r="AE45" s="10"/>
      <c r="AG45" s="7">
        <f t="shared" si="0"/>
        <v>95.67</v>
      </c>
    </row>
    <row r="46" spans="1:33" x14ac:dyDescent="0.2">
      <c r="A46" s="9" t="s">
        <v>116</v>
      </c>
      <c r="B46" s="9" t="s">
        <v>310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v>82.56</v>
      </c>
      <c r="AC46" s="10"/>
      <c r="AD46" s="10">
        <v>80.14</v>
      </c>
      <c r="AE46" s="10">
        <v>79.489999999999995</v>
      </c>
      <c r="AG46" s="7">
        <f t="shared" si="0"/>
        <v>82.56</v>
      </c>
    </row>
    <row r="47" spans="1:33" x14ac:dyDescent="0.2">
      <c r="A47" s="9" t="s">
        <v>124</v>
      </c>
      <c r="B47" s="9" t="s">
        <v>318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54.18</v>
      </c>
      <c r="Z47" s="10">
        <v>59.37</v>
      </c>
      <c r="AA47" s="10">
        <v>56.51</v>
      </c>
      <c r="AB47" s="10"/>
      <c r="AC47" s="10">
        <v>66.95</v>
      </c>
      <c r="AD47" s="10"/>
      <c r="AE47" s="10">
        <v>55.76</v>
      </c>
      <c r="AG47" s="7">
        <f t="shared" si="0"/>
        <v>56.686666666666667</v>
      </c>
    </row>
    <row r="48" spans="1:33" x14ac:dyDescent="0.2">
      <c r="A48" s="9" t="s">
        <v>131</v>
      </c>
      <c r="B48" s="9" t="s">
        <v>325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>
        <v>99.65</v>
      </c>
      <c r="V48" s="10"/>
      <c r="W48" s="10"/>
      <c r="X48" s="10"/>
      <c r="Y48" s="10"/>
      <c r="Z48" s="10"/>
      <c r="AA48" s="10"/>
      <c r="AB48" s="10"/>
      <c r="AC48" s="10"/>
      <c r="AD48" s="10">
        <v>80.81</v>
      </c>
      <c r="AE48" s="10"/>
      <c r="AG48" s="7">
        <f t="shared" si="0"/>
        <v>99.65</v>
      </c>
    </row>
    <row r="49" spans="1:33" x14ac:dyDescent="0.2">
      <c r="A49" s="9" t="s">
        <v>128</v>
      </c>
      <c r="B49" s="9" t="s">
        <v>322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>
        <v>81.790000000000006</v>
      </c>
      <c r="Z49" s="10"/>
      <c r="AA49" s="10"/>
      <c r="AB49" s="10"/>
      <c r="AC49" s="10"/>
      <c r="AD49" s="10"/>
      <c r="AE49" s="10"/>
      <c r="AG49" s="7">
        <f t="shared" si="0"/>
        <v>81.790000000000006</v>
      </c>
    </row>
    <row r="50" spans="1:33" x14ac:dyDescent="0.2">
      <c r="A50" s="9" t="s">
        <v>126</v>
      </c>
      <c r="B50" s="9" t="s">
        <v>320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>
        <v>95.38</v>
      </c>
      <c r="Y50" s="10"/>
      <c r="Z50" s="10"/>
      <c r="AA50" s="10"/>
      <c r="AB50" s="10"/>
      <c r="AC50" s="10"/>
      <c r="AD50" s="10">
        <v>78.2</v>
      </c>
      <c r="AE50" s="10"/>
      <c r="AG50" s="7">
        <f t="shared" si="0"/>
        <v>95.38</v>
      </c>
    </row>
    <row r="51" spans="1:33" x14ac:dyDescent="0.2">
      <c r="A51" s="9" t="s">
        <v>134</v>
      </c>
      <c r="B51" s="9" t="s">
        <v>328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80.900000000000006</v>
      </c>
      <c r="W51" s="10">
        <v>81.2</v>
      </c>
      <c r="X51" s="10">
        <v>82.32</v>
      </c>
      <c r="Y51" s="10"/>
      <c r="Z51" s="10">
        <v>81.69</v>
      </c>
      <c r="AA51" s="10">
        <v>83.52</v>
      </c>
      <c r="AB51" s="10">
        <v>82.71</v>
      </c>
      <c r="AC51" s="10"/>
      <c r="AD51" s="10"/>
      <c r="AE51" s="10">
        <v>81.73</v>
      </c>
      <c r="AG51" s="7">
        <f t="shared" si="0"/>
        <v>82.056666666666658</v>
      </c>
    </row>
    <row r="52" spans="1:33" x14ac:dyDescent="0.2">
      <c r="A52" s="9" t="s">
        <v>135</v>
      </c>
      <c r="B52" s="9" t="s">
        <v>329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46.55</v>
      </c>
      <c r="Y52" s="10">
        <v>46.97</v>
      </c>
      <c r="Z52" s="10">
        <v>47.86</v>
      </c>
      <c r="AA52" s="10">
        <v>48.02</v>
      </c>
      <c r="AB52" s="10">
        <v>47.85</v>
      </c>
      <c r="AC52" s="10">
        <v>48.52</v>
      </c>
      <c r="AD52" s="10">
        <v>49.4</v>
      </c>
      <c r="AE52" s="10">
        <v>51.36</v>
      </c>
      <c r="AG52" s="7">
        <f t="shared" si="0"/>
        <v>47.45</v>
      </c>
    </row>
    <row r="53" spans="1:33" x14ac:dyDescent="0.2">
      <c r="A53" s="9" t="s">
        <v>142</v>
      </c>
      <c r="B53" s="9" t="s">
        <v>336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>
        <v>77.69</v>
      </c>
      <c r="V53" s="10">
        <v>77.56</v>
      </c>
      <c r="W53" s="10">
        <v>76.75</v>
      </c>
      <c r="X53" s="10">
        <v>73.900000000000006</v>
      </c>
      <c r="Y53" s="10">
        <v>74.239999999999995</v>
      </c>
      <c r="Z53" s="10">
        <v>71.48</v>
      </c>
      <c r="AA53" s="10">
        <v>70.13</v>
      </c>
      <c r="AB53" s="10">
        <v>70.7</v>
      </c>
      <c r="AC53" s="10">
        <v>72.16</v>
      </c>
      <c r="AD53" s="10">
        <v>71.3</v>
      </c>
      <c r="AE53" s="10">
        <v>70.290000000000006</v>
      </c>
      <c r="AG53" s="7">
        <f t="shared" si="0"/>
        <v>74.056250000000006</v>
      </c>
    </row>
    <row r="54" spans="1:33" x14ac:dyDescent="0.2">
      <c r="A54" s="9" t="s">
        <v>136</v>
      </c>
      <c r="B54" s="9" t="s">
        <v>330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91.05</v>
      </c>
      <c r="R54" s="10">
        <v>84.09</v>
      </c>
      <c r="S54" s="10">
        <v>82.19</v>
      </c>
      <c r="T54" s="10">
        <v>79.400000000000006</v>
      </c>
      <c r="U54" s="10">
        <v>79.25</v>
      </c>
      <c r="V54" s="10">
        <v>77.58</v>
      </c>
      <c r="W54" s="10">
        <v>77.459999999999994</v>
      </c>
      <c r="X54" s="10">
        <v>76.42</v>
      </c>
      <c r="Y54" s="10">
        <v>71.38</v>
      </c>
      <c r="Z54" s="10">
        <v>70.59</v>
      </c>
      <c r="AA54" s="10">
        <v>69.67</v>
      </c>
      <c r="AB54" s="10">
        <v>69.98</v>
      </c>
      <c r="AC54" s="10">
        <v>68.84</v>
      </c>
      <c r="AD54" s="10">
        <v>68.959999999999994</v>
      </c>
      <c r="AE54" s="10">
        <v>69.400000000000006</v>
      </c>
      <c r="AG54" s="7">
        <f t="shared" si="0"/>
        <v>76.182727272727277</v>
      </c>
    </row>
    <row r="55" spans="1:33" x14ac:dyDescent="0.2">
      <c r="A55" s="9" t="s">
        <v>148</v>
      </c>
      <c r="B55" s="9" t="s">
        <v>342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80.45</v>
      </c>
      <c r="AE55" s="10">
        <v>80.42</v>
      </c>
      <c r="AG55" s="7" t="e">
        <f t="shared" si="0"/>
        <v>#DIV/0!</v>
      </c>
    </row>
    <row r="56" spans="1:33" x14ac:dyDescent="0.2">
      <c r="A56" s="9" t="s">
        <v>187</v>
      </c>
      <c r="B56" s="9" t="s">
        <v>381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50.75</v>
      </c>
      <c r="Z56" s="10"/>
      <c r="AA56" s="10"/>
      <c r="AB56" s="10"/>
      <c r="AC56" s="10"/>
      <c r="AD56" s="10">
        <v>37.29</v>
      </c>
      <c r="AE56" s="10"/>
      <c r="AG56" s="7">
        <f t="shared" si="0"/>
        <v>50.75</v>
      </c>
    </row>
    <row r="57" spans="1:33" x14ac:dyDescent="0.2">
      <c r="A57" s="9" t="s">
        <v>151</v>
      </c>
      <c r="B57" s="9" t="s">
        <v>345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93.43</v>
      </c>
      <c r="AC57" s="10"/>
      <c r="AD57" s="10"/>
      <c r="AE57" s="10"/>
      <c r="AG57" s="7">
        <f t="shared" si="0"/>
        <v>93.43</v>
      </c>
    </row>
    <row r="58" spans="1:33" x14ac:dyDescent="0.2">
      <c r="A58" s="9" t="s">
        <v>156</v>
      </c>
      <c r="B58" s="9" t="s">
        <v>350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57.11</v>
      </c>
      <c r="V58" s="10">
        <v>24</v>
      </c>
      <c r="W58" s="10">
        <v>22.64</v>
      </c>
      <c r="X58" s="10">
        <v>20.6</v>
      </c>
      <c r="Y58" s="10">
        <v>18.91</v>
      </c>
      <c r="Z58" s="10">
        <v>22.8</v>
      </c>
      <c r="AA58" s="10">
        <v>24.58</v>
      </c>
      <c r="AB58" s="10">
        <v>23.51</v>
      </c>
      <c r="AC58" s="10">
        <v>24.18</v>
      </c>
      <c r="AD58" s="10">
        <v>21.65</v>
      </c>
      <c r="AE58" s="10">
        <v>19.809999999999999</v>
      </c>
      <c r="AG58" s="7">
        <f t="shared" si="0"/>
        <v>26.768749999999997</v>
      </c>
    </row>
    <row r="59" spans="1:33" x14ac:dyDescent="0.2">
      <c r="A59" s="9" t="s">
        <v>190</v>
      </c>
      <c r="B59" s="9" t="s">
        <v>384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>
        <v>56.69</v>
      </c>
      <c r="N59" s="10">
        <v>55.92</v>
      </c>
      <c r="O59" s="10">
        <v>51.65</v>
      </c>
      <c r="P59" s="10">
        <v>51.28</v>
      </c>
      <c r="Q59" s="10">
        <v>51.12</v>
      </c>
      <c r="R59" s="10">
        <v>53.04</v>
      </c>
      <c r="S59" s="10">
        <v>54.11</v>
      </c>
      <c r="T59" s="10">
        <v>53.68</v>
      </c>
      <c r="U59" s="10">
        <v>35.479999999999997</v>
      </c>
      <c r="V59" s="10">
        <v>33.72</v>
      </c>
      <c r="W59" s="10">
        <v>34.06</v>
      </c>
      <c r="X59" s="10">
        <v>32.950000000000003</v>
      </c>
      <c r="Y59" s="10">
        <v>32.06</v>
      </c>
      <c r="Z59" s="10">
        <v>32.6</v>
      </c>
      <c r="AA59" s="10">
        <v>32.479999999999997</v>
      </c>
      <c r="AB59" s="10">
        <v>34.770000000000003</v>
      </c>
      <c r="AC59" s="10">
        <v>34.32</v>
      </c>
      <c r="AD59" s="10">
        <v>34.69</v>
      </c>
      <c r="AE59" s="10">
        <v>35.32</v>
      </c>
      <c r="AG59" s="7">
        <f t="shared" si="0"/>
        <v>38.99545454545455</v>
      </c>
    </row>
    <row r="60" spans="1:33" x14ac:dyDescent="0.2">
      <c r="A60" s="9" t="s">
        <v>103</v>
      </c>
      <c r="B60" s="9" t="s">
        <v>296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>
        <v>70.989999999999995</v>
      </c>
      <c r="X60" s="10">
        <v>70.84</v>
      </c>
      <c r="Y60" s="10"/>
      <c r="Z60" s="10">
        <v>70.75</v>
      </c>
      <c r="AA60" s="10">
        <v>69.900000000000006</v>
      </c>
      <c r="AB60" s="10">
        <v>69.569999999999993</v>
      </c>
      <c r="AC60" s="10">
        <v>69.739999999999995</v>
      </c>
      <c r="AD60" s="10">
        <v>68.19</v>
      </c>
      <c r="AE60" s="10"/>
      <c r="AG60" s="7">
        <f t="shared" si="0"/>
        <v>70.41</v>
      </c>
    </row>
    <row r="61" spans="1:33" x14ac:dyDescent="0.2">
      <c r="A61" s="9" t="s">
        <v>150</v>
      </c>
      <c r="B61" s="9" t="s">
        <v>344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>
        <v>86.97</v>
      </c>
      <c r="Y61" s="10"/>
      <c r="Z61" s="10"/>
      <c r="AA61" s="10"/>
      <c r="AB61" s="10"/>
      <c r="AC61" s="10"/>
      <c r="AD61" s="10"/>
      <c r="AE61" s="10"/>
      <c r="AG61" s="7">
        <f t="shared" si="0"/>
        <v>86.97</v>
      </c>
    </row>
    <row r="62" spans="1:33" x14ac:dyDescent="0.2">
      <c r="A62" s="9" t="s">
        <v>177</v>
      </c>
      <c r="B62" s="9" t="s">
        <v>371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>
        <v>90.84</v>
      </c>
      <c r="AB62" s="10"/>
      <c r="AC62" s="10"/>
      <c r="AD62" s="10"/>
      <c r="AE62" s="10"/>
      <c r="AG62" s="7">
        <f t="shared" si="0"/>
        <v>90.84</v>
      </c>
    </row>
    <row r="63" spans="1:33" x14ac:dyDescent="0.2">
      <c r="A63" s="9" t="s">
        <v>169</v>
      </c>
      <c r="B63" s="9" t="s">
        <v>363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62.83</v>
      </c>
      <c r="AB63" s="10">
        <v>62.25</v>
      </c>
      <c r="AC63" s="10">
        <v>74.239999999999995</v>
      </c>
      <c r="AD63" s="10">
        <v>66.83</v>
      </c>
      <c r="AE63" s="10">
        <v>64.05</v>
      </c>
      <c r="AG63" s="7">
        <f t="shared" si="0"/>
        <v>62.54</v>
      </c>
    </row>
    <row r="64" spans="1:33" x14ac:dyDescent="0.2">
      <c r="A64" s="9" t="s">
        <v>171</v>
      </c>
      <c r="B64" s="9" t="s">
        <v>365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>
        <v>71.39</v>
      </c>
      <c r="X64" s="10"/>
      <c r="Y64" s="10"/>
      <c r="Z64" s="10">
        <v>71.59</v>
      </c>
      <c r="AA64" s="10"/>
      <c r="AB64" s="10"/>
      <c r="AC64" s="10"/>
      <c r="AD64" s="10"/>
      <c r="AE64" s="10"/>
      <c r="AG64" s="7">
        <f t="shared" si="0"/>
        <v>71.490000000000009</v>
      </c>
    </row>
    <row r="65" spans="1:33" x14ac:dyDescent="0.2">
      <c r="A65" s="9" t="s">
        <v>168</v>
      </c>
      <c r="B65" s="9" t="s">
        <v>362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>
        <v>95.08</v>
      </c>
      <c r="AB65" s="10"/>
      <c r="AC65" s="10"/>
      <c r="AD65" s="10">
        <v>90.09</v>
      </c>
      <c r="AE65" s="10"/>
      <c r="AG65" s="7">
        <f t="shared" si="0"/>
        <v>95.08</v>
      </c>
    </row>
    <row r="66" spans="1:33" x14ac:dyDescent="0.2">
      <c r="A66" s="9" t="s">
        <v>172</v>
      </c>
      <c r="B66" s="9" t="s">
        <v>366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>
        <v>77.89</v>
      </c>
      <c r="AG66" s="7" t="e">
        <f t="shared" si="0"/>
        <v>#DIV/0!</v>
      </c>
    </row>
    <row r="67" spans="1:33" x14ac:dyDescent="0.2">
      <c r="A67" s="9" t="s">
        <v>178</v>
      </c>
      <c r="B67" s="9" t="s">
        <v>372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>
        <v>91.7</v>
      </c>
      <c r="Z67" s="10"/>
      <c r="AA67" s="10"/>
      <c r="AB67" s="10"/>
      <c r="AC67" s="10"/>
      <c r="AD67" s="10">
        <v>89.35</v>
      </c>
      <c r="AE67" s="10"/>
      <c r="AG67" s="7">
        <f t="shared" ref="AG67:AG73" si="1">AVERAGE($R67:$AB67)</f>
        <v>91.7</v>
      </c>
    </row>
    <row r="68" spans="1:33" x14ac:dyDescent="0.2">
      <c r="A68" s="9" t="s">
        <v>180</v>
      </c>
      <c r="B68" s="9" t="s">
        <v>374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44.36</v>
      </c>
      <c r="T68" s="10">
        <v>44.04</v>
      </c>
      <c r="U68" s="10">
        <v>42.77</v>
      </c>
      <c r="V68" s="10">
        <v>41.92</v>
      </c>
      <c r="W68" s="10">
        <v>40.9</v>
      </c>
      <c r="X68" s="10">
        <v>38.35</v>
      </c>
      <c r="Y68" s="10">
        <v>36.200000000000003</v>
      </c>
      <c r="Z68" s="10">
        <v>35.35</v>
      </c>
      <c r="AA68" s="10">
        <v>23.64</v>
      </c>
      <c r="AB68" s="10">
        <v>23.88</v>
      </c>
      <c r="AC68" s="10">
        <v>24.54</v>
      </c>
      <c r="AD68" s="10">
        <v>24.11</v>
      </c>
      <c r="AE68" s="10">
        <v>23.95</v>
      </c>
      <c r="AG68" s="7">
        <f t="shared" si="1"/>
        <v>37.141000000000005</v>
      </c>
    </row>
    <row r="69" spans="1:33" x14ac:dyDescent="0.2">
      <c r="A69" s="9" t="s">
        <v>185</v>
      </c>
      <c r="B69" s="9" t="s">
        <v>379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81.94</v>
      </c>
      <c r="U69" s="10"/>
      <c r="V69" s="10">
        <v>81.56</v>
      </c>
      <c r="W69" s="10"/>
      <c r="X69" s="10"/>
      <c r="Y69" s="10"/>
      <c r="Z69" s="10">
        <v>79.53</v>
      </c>
      <c r="AA69" s="10">
        <v>76.87</v>
      </c>
      <c r="AB69" s="10">
        <v>75.5</v>
      </c>
      <c r="AC69" s="10">
        <v>74.099999999999994</v>
      </c>
      <c r="AD69" s="10">
        <v>73.319999999999993</v>
      </c>
      <c r="AE69" s="10">
        <v>71.44</v>
      </c>
      <c r="AG69" s="7">
        <f t="shared" si="1"/>
        <v>79.08</v>
      </c>
    </row>
    <row r="70" spans="1:33" x14ac:dyDescent="0.2">
      <c r="A70" s="9" t="s">
        <v>409</v>
      </c>
      <c r="B70" s="9" t="s">
        <v>337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56.75</v>
      </c>
      <c r="X70" s="10">
        <v>55.71</v>
      </c>
      <c r="Y70" s="10">
        <v>56.23</v>
      </c>
      <c r="Z70" s="10">
        <v>56.74</v>
      </c>
      <c r="AA70" s="10">
        <v>55.44</v>
      </c>
      <c r="AB70" s="10">
        <v>55.83</v>
      </c>
      <c r="AC70" s="10">
        <v>54.32</v>
      </c>
      <c r="AD70" s="10">
        <v>54.64</v>
      </c>
      <c r="AE70" s="10">
        <v>53.57</v>
      </c>
      <c r="AG70" s="7">
        <f t="shared" si="1"/>
        <v>56.116666666666667</v>
      </c>
    </row>
    <row r="71" spans="1:33" x14ac:dyDescent="0.2">
      <c r="A71" s="9" t="s">
        <v>189</v>
      </c>
      <c r="B71" s="9" t="s">
        <v>383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>
        <v>77.41</v>
      </c>
      <c r="AB71" s="10"/>
      <c r="AC71" s="10"/>
      <c r="AD71" s="10"/>
      <c r="AE71" s="10"/>
      <c r="AG71" s="7">
        <f t="shared" si="1"/>
        <v>77.41</v>
      </c>
    </row>
    <row r="72" spans="1:33" x14ac:dyDescent="0.2">
      <c r="A72" s="9" t="s">
        <v>191</v>
      </c>
      <c r="B72" s="9" t="s">
        <v>385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>
        <v>70.5</v>
      </c>
      <c r="AE72" s="10">
        <v>69.17</v>
      </c>
      <c r="AG72" s="7" t="e">
        <f t="shared" si="1"/>
        <v>#DIV/0!</v>
      </c>
    </row>
    <row r="73" spans="1:33" x14ac:dyDescent="0.2">
      <c r="A73" s="9" t="s">
        <v>192</v>
      </c>
      <c r="B73" s="9" t="s">
        <v>386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>
        <v>85.62</v>
      </c>
      <c r="Y73" s="10"/>
      <c r="Z73" s="10"/>
      <c r="AA73" s="10">
        <v>87.35</v>
      </c>
      <c r="AB73" s="10"/>
      <c r="AC73" s="10"/>
      <c r="AD73" s="10"/>
      <c r="AE73" s="10"/>
      <c r="AG73" s="7">
        <f t="shared" si="1"/>
        <v>86.484999999999999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D57-48E3-4706-A830-9C389D7130AC}">
  <dimension ref="A1:AG77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AG2" sqref="AG2:AG77"/>
    </sheetView>
  </sheetViews>
  <sheetFormatPr defaultColWidth="9.140625" defaultRowHeight="12.75" x14ac:dyDescent="0.2"/>
  <cols>
    <col min="1" max="1" width="25.28515625" style="5" customWidth="1"/>
    <col min="2" max="16384" width="9.140625" style="5"/>
  </cols>
  <sheetData>
    <row r="1" spans="1:33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  <c r="AG1" s="4" t="s">
        <v>426</v>
      </c>
    </row>
    <row r="2" spans="1:33" x14ac:dyDescent="0.2">
      <c r="A2" s="5" t="s">
        <v>3</v>
      </c>
      <c r="B2" s="5" t="s">
        <v>196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>
        <v>69.77</v>
      </c>
      <c r="Z2" s="7">
        <v>63.47</v>
      </c>
      <c r="AA2" s="7"/>
      <c r="AB2" s="7"/>
      <c r="AC2" s="7"/>
      <c r="AD2" s="7"/>
      <c r="AE2" s="7"/>
      <c r="AG2" s="7">
        <f>AVERAGE($R2:$AB2)</f>
        <v>66.62</v>
      </c>
    </row>
    <row r="3" spans="1:33" x14ac:dyDescent="0.2">
      <c r="A3" s="5" t="s">
        <v>2</v>
      </c>
      <c r="B3" s="5" t="s">
        <v>195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>
        <v>75.290000000000006</v>
      </c>
      <c r="R3" s="7"/>
      <c r="S3" s="7"/>
      <c r="T3" s="7"/>
      <c r="U3" s="7"/>
      <c r="V3" s="7"/>
      <c r="W3" s="7"/>
      <c r="X3" s="7">
        <v>76.19</v>
      </c>
      <c r="Y3" s="7"/>
      <c r="Z3" s="7"/>
      <c r="AA3" s="7"/>
      <c r="AB3" s="7"/>
      <c r="AC3" s="7"/>
      <c r="AD3" s="7"/>
      <c r="AE3" s="7"/>
      <c r="AG3" s="7">
        <f t="shared" ref="AG3:AG66" si="0">AVERAGE($R3:$AB3)</f>
        <v>76.19</v>
      </c>
    </row>
    <row r="4" spans="1:33" x14ac:dyDescent="0.2">
      <c r="A4" s="5" t="s">
        <v>6</v>
      </c>
      <c r="B4" s="5" t="s">
        <v>199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47.12</v>
      </c>
      <c r="R4" s="7">
        <v>46.49</v>
      </c>
      <c r="S4" s="7">
        <v>45.54</v>
      </c>
      <c r="T4" s="7"/>
      <c r="U4" s="7">
        <v>43.64</v>
      </c>
      <c r="V4" s="7">
        <v>43.78</v>
      </c>
      <c r="W4" s="7">
        <v>42.66</v>
      </c>
      <c r="X4" s="7">
        <v>41.91</v>
      </c>
      <c r="Y4" s="7">
        <v>42.23</v>
      </c>
      <c r="Z4" s="7">
        <v>42.76</v>
      </c>
      <c r="AA4" s="7">
        <v>42.62</v>
      </c>
      <c r="AB4" s="7"/>
      <c r="AC4" s="7"/>
      <c r="AD4" s="7">
        <v>43.81</v>
      </c>
      <c r="AE4" s="7">
        <v>44.06</v>
      </c>
      <c r="AG4" s="7">
        <f t="shared" si="0"/>
        <v>43.514444444444443</v>
      </c>
    </row>
    <row r="5" spans="1:33" x14ac:dyDescent="0.2">
      <c r="A5" s="5" t="s">
        <v>7</v>
      </c>
      <c r="B5" s="5" t="s">
        <v>200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>
        <v>53.76</v>
      </c>
      <c r="W5" s="7"/>
      <c r="X5" s="7">
        <v>45.03</v>
      </c>
      <c r="Y5" s="7">
        <v>43.41</v>
      </c>
      <c r="Z5" s="7">
        <v>42.65</v>
      </c>
      <c r="AA5" s="7">
        <v>56.06</v>
      </c>
      <c r="AB5" s="7">
        <v>50.78</v>
      </c>
      <c r="AC5" s="7">
        <v>48.95</v>
      </c>
      <c r="AD5" s="7">
        <v>47.11</v>
      </c>
      <c r="AE5" s="7">
        <v>49.86</v>
      </c>
      <c r="AG5" s="7">
        <f t="shared" si="0"/>
        <v>48.615000000000002</v>
      </c>
    </row>
    <row r="6" spans="1:33" x14ac:dyDescent="0.2">
      <c r="A6" s="5" t="s">
        <v>16</v>
      </c>
      <c r="B6" s="5" t="s">
        <v>209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82.1</v>
      </c>
      <c r="X6" s="7"/>
      <c r="Y6" s="7"/>
      <c r="Z6" s="7">
        <v>76.59</v>
      </c>
      <c r="AA6" s="7"/>
      <c r="AB6" s="7"/>
      <c r="AC6" s="7"/>
      <c r="AD6" s="7">
        <v>81.819999999999993</v>
      </c>
      <c r="AE6" s="7"/>
      <c r="AG6" s="7">
        <f t="shared" si="0"/>
        <v>79.344999999999999</v>
      </c>
    </row>
    <row r="7" spans="1:33" x14ac:dyDescent="0.2">
      <c r="A7" s="5" t="s">
        <v>14</v>
      </c>
      <c r="B7" s="5" t="s">
        <v>207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v>92.93</v>
      </c>
      <c r="Y7" s="7"/>
      <c r="Z7" s="7"/>
      <c r="AA7" s="7"/>
      <c r="AB7" s="7"/>
      <c r="AC7" s="7"/>
      <c r="AD7" s="7"/>
      <c r="AE7" s="7"/>
      <c r="AG7" s="7">
        <f t="shared" si="0"/>
        <v>92.93</v>
      </c>
    </row>
    <row r="8" spans="1:33" x14ac:dyDescent="0.2">
      <c r="A8" s="5" t="s">
        <v>24</v>
      </c>
      <c r="B8" s="5" t="s">
        <v>217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73.58</v>
      </c>
      <c r="S8" s="7">
        <v>71.099999999999994</v>
      </c>
      <c r="T8" s="7">
        <v>70.48</v>
      </c>
      <c r="U8" s="7">
        <v>70.94</v>
      </c>
      <c r="V8" s="7">
        <v>69.62</v>
      </c>
      <c r="W8" s="7"/>
      <c r="X8" s="7">
        <v>71.760000000000005</v>
      </c>
      <c r="Y8" s="7">
        <v>70.03</v>
      </c>
      <c r="Z8" s="7">
        <v>65.430000000000007</v>
      </c>
      <c r="AA8" s="7">
        <v>70.790000000000006</v>
      </c>
      <c r="AB8" s="7">
        <v>69.45</v>
      </c>
      <c r="AC8" s="7">
        <v>64.739999999999995</v>
      </c>
      <c r="AD8" s="7">
        <v>67.5</v>
      </c>
      <c r="AE8" s="7">
        <v>69.69</v>
      </c>
      <c r="AG8" s="7">
        <f t="shared" si="0"/>
        <v>70.318000000000012</v>
      </c>
    </row>
    <row r="9" spans="1:33" x14ac:dyDescent="0.2">
      <c r="A9" s="5" t="s">
        <v>20</v>
      </c>
      <c r="B9" s="5" t="s">
        <v>213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>
        <v>31.61</v>
      </c>
      <c r="T9" s="7">
        <v>32.04</v>
      </c>
      <c r="U9" s="7">
        <v>31.62</v>
      </c>
      <c r="V9" s="7">
        <v>30.61</v>
      </c>
      <c r="W9" s="7">
        <v>29.24</v>
      </c>
      <c r="X9" s="7">
        <v>27.54</v>
      </c>
      <c r="Y9" s="7">
        <v>30.38</v>
      </c>
      <c r="Z9" s="7">
        <v>28.16</v>
      </c>
      <c r="AA9" s="7">
        <v>25.73</v>
      </c>
      <c r="AB9" s="7">
        <v>27.22</v>
      </c>
      <c r="AC9" s="7">
        <v>27.93</v>
      </c>
      <c r="AD9" s="7">
        <v>17.28</v>
      </c>
      <c r="AE9" s="7">
        <v>14.77</v>
      </c>
      <c r="AG9" s="7">
        <f t="shared" si="0"/>
        <v>29.414999999999999</v>
      </c>
    </row>
    <row r="10" spans="1:33" x14ac:dyDescent="0.2">
      <c r="A10" s="5" t="s">
        <v>29</v>
      </c>
      <c r="B10" s="5" t="s">
        <v>222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43.6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G10" s="7">
        <f t="shared" si="0"/>
        <v>43.6</v>
      </c>
    </row>
    <row r="11" spans="1:33" x14ac:dyDescent="0.2">
      <c r="A11" s="5" t="s">
        <v>25</v>
      </c>
      <c r="B11" s="5" t="s">
        <v>218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46.77</v>
      </c>
      <c r="W11" s="7"/>
      <c r="X11" s="7">
        <v>38.18</v>
      </c>
      <c r="Y11" s="7">
        <v>36.770000000000003</v>
      </c>
      <c r="Z11" s="7">
        <v>35.729999999999997</v>
      </c>
      <c r="AA11" s="7">
        <v>35.909999999999997</v>
      </c>
      <c r="AB11" s="7">
        <v>35.950000000000003</v>
      </c>
      <c r="AC11" s="7"/>
      <c r="AD11" s="7"/>
      <c r="AE11" s="7"/>
      <c r="AG11" s="7">
        <f t="shared" si="0"/>
        <v>38.218333333333334</v>
      </c>
    </row>
    <row r="12" spans="1:33" x14ac:dyDescent="0.2">
      <c r="A12" s="5" t="s">
        <v>27</v>
      </c>
      <c r="B12" s="5" t="s">
        <v>220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>
        <v>11.2</v>
      </c>
      <c r="AB12" s="7"/>
      <c r="AC12" s="7"/>
      <c r="AD12" s="7">
        <v>10.16</v>
      </c>
      <c r="AE12" s="7">
        <v>9.82</v>
      </c>
      <c r="AG12" s="7">
        <f t="shared" si="0"/>
        <v>11.2</v>
      </c>
    </row>
    <row r="13" spans="1:33" x14ac:dyDescent="0.2">
      <c r="A13" s="5" t="s">
        <v>15</v>
      </c>
      <c r="B13" s="5" t="s">
        <v>208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>
        <v>87.5</v>
      </c>
      <c r="AG13" s="7" t="e">
        <f t="shared" si="0"/>
        <v>#DIV/0!</v>
      </c>
    </row>
    <row r="14" spans="1:33" x14ac:dyDescent="0.2">
      <c r="A14" s="5" t="s">
        <v>12</v>
      </c>
      <c r="B14" s="5" t="s">
        <v>205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>
        <v>95.72</v>
      </c>
      <c r="AB14" s="7"/>
      <c r="AC14" s="7"/>
      <c r="AD14" s="7"/>
      <c r="AE14" s="7"/>
      <c r="AG14" s="7">
        <f t="shared" si="0"/>
        <v>95.72</v>
      </c>
    </row>
    <row r="15" spans="1:33" x14ac:dyDescent="0.2">
      <c r="A15" s="5" t="s">
        <v>41</v>
      </c>
      <c r="B15" s="5" t="s">
        <v>234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54.23</v>
      </c>
      <c r="AC15" s="7"/>
      <c r="AD15" s="7"/>
      <c r="AE15" s="7"/>
      <c r="AG15" s="7">
        <f t="shared" si="0"/>
        <v>54.23</v>
      </c>
    </row>
    <row r="16" spans="1:33" x14ac:dyDescent="0.2">
      <c r="A16" s="5" t="s">
        <v>93</v>
      </c>
      <c r="B16" s="5" t="s">
        <v>286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v>81.290000000000006</v>
      </c>
      <c r="Z16" s="7"/>
      <c r="AA16" s="7"/>
      <c r="AB16" s="7"/>
      <c r="AC16" s="7"/>
      <c r="AD16" s="7"/>
      <c r="AE16" s="7"/>
      <c r="AG16" s="7">
        <f t="shared" si="0"/>
        <v>81.290000000000006</v>
      </c>
    </row>
    <row r="17" spans="1:33" x14ac:dyDescent="0.2">
      <c r="A17" s="5" t="s">
        <v>36</v>
      </c>
      <c r="B17" s="5" t="s">
        <v>229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84.8</v>
      </c>
      <c r="U17" s="7"/>
      <c r="V17" s="7"/>
      <c r="W17" s="7"/>
      <c r="X17" s="7"/>
      <c r="Y17" s="7"/>
      <c r="Z17" s="7"/>
      <c r="AA17" s="7">
        <v>80.78</v>
      </c>
      <c r="AB17" s="7"/>
      <c r="AC17" s="7"/>
      <c r="AD17" s="7"/>
      <c r="AE17" s="7"/>
      <c r="AG17" s="7">
        <f t="shared" si="0"/>
        <v>82.789999999999992</v>
      </c>
    </row>
    <row r="18" spans="1:33" x14ac:dyDescent="0.2">
      <c r="A18" s="5" t="s">
        <v>33</v>
      </c>
      <c r="B18" s="5" t="s">
        <v>226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>
        <v>55.61</v>
      </c>
      <c r="AE18" s="7">
        <v>22.19</v>
      </c>
      <c r="AG18" s="7" t="e">
        <f t="shared" si="0"/>
        <v>#DIV/0!</v>
      </c>
    </row>
    <row r="19" spans="1:33" x14ac:dyDescent="0.2">
      <c r="A19" s="5" t="s">
        <v>39</v>
      </c>
      <c r="B19" s="5" t="s">
        <v>232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>
        <v>64.03</v>
      </c>
      <c r="X19" s="7">
        <v>63.22</v>
      </c>
      <c r="Y19" s="7">
        <v>62.92</v>
      </c>
      <c r="Z19" s="7">
        <v>61.24</v>
      </c>
      <c r="AA19" s="7">
        <v>59.62</v>
      </c>
      <c r="AB19" s="7">
        <v>59.55</v>
      </c>
      <c r="AC19" s="7">
        <v>58.8</v>
      </c>
      <c r="AD19" s="7">
        <v>58.71</v>
      </c>
      <c r="AE19" s="7">
        <v>59.11</v>
      </c>
      <c r="AG19" s="7">
        <f t="shared" si="0"/>
        <v>61.763333333333343</v>
      </c>
    </row>
    <row r="20" spans="1:33" x14ac:dyDescent="0.2">
      <c r="A20" s="5" t="s">
        <v>40</v>
      </c>
      <c r="B20" s="5" t="s">
        <v>233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>
        <v>74.38</v>
      </c>
      <c r="AB20" s="7"/>
      <c r="AC20" s="7"/>
      <c r="AD20" s="7"/>
      <c r="AE20" s="7"/>
      <c r="AG20" s="7">
        <f t="shared" si="0"/>
        <v>74.38</v>
      </c>
    </row>
    <row r="21" spans="1:33" x14ac:dyDescent="0.2">
      <c r="A21" s="5" t="s">
        <v>37</v>
      </c>
      <c r="B21" s="5" t="s">
        <v>230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91.86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G21" s="7">
        <f t="shared" si="0"/>
        <v>91.86</v>
      </c>
    </row>
    <row r="22" spans="1:33" x14ac:dyDescent="0.2">
      <c r="A22" s="5" t="s">
        <v>42</v>
      </c>
      <c r="B22" s="5" t="s">
        <v>235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>
        <v>32.32</v>
      </c>
      <c r="X22" s="7">
        <v>31.32</v>
      </c>
      <c r="Y22" s="7">
        <v>33.78</v>
      </c>
      <c r="Z22" s="7">
        <v>35.450000000000003</v>
      </c>
      <c r="AA22" s="7">
        <v>35.909999999999997</v>
      </c>
      <c r="AB22" s="7">
        <v>37.25</v>
      </c>
      <c r="AC22" s="7">
        <v>34.81</v>
      </c>
      <c r="AD22" s="7">
        <v>35.31</v>
      </c>
      <c r="AE22" s="7">
        <v>35.5</v>
      </c>
      <c r="AG22" s="7">
        <f t="shared" si="0"/>
        <v>34.338333333333331</v>
      </c>
    </row>
    <row r="23" spans="1:33" x14ac:dyDescent="0.2">
      <c r="A23" s="5" t="s">
        <v>35</v>
      </c>
      <c r="B23" s="5" t="s">
        <v>228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88.8</v>
      </c>
      <c r="Z23" s="7">
        <v>91.97</v>
      </c>
      <c r="AA23" s="7"/>
      <c r="AB23" s="7"/>
      <c r="AC23" s="7">
        <v>87.82</v>
      </c>
      <c r="AD23" s="7">
        <v>88.83</v>
      </c>
      <c r="AE23" s="7"/>
      <c r="AG23" s="7">
        <f t="shared" si="0"/>
        <v>90.384999999999991</v>
      </c>
    </row>
    <row r="24" spans="1:33" x14ac:dyDescent="0.2">
      <c r="A24" s="5" t="s">
        <v>51</v>
      </c>
      <c r="B24" s="5" t="s">
        <v>244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>
        <v>43.65</v>
      </c>
      <c r="N24" s="7">
        <v>40.98</v>
      </c>
      <c r="O24" s="7">
        <v>45.47</v>
      </c>
      <c r="P24" s="7">
        <v>44.25</v>
      </c>
      <c r="Q24" s="7">
        <v>43.9</v>
      </c>
      <c r="R24" s="7">
        <v>47.36</v>
      </c>
      <c r="S24" s="7">
        <v>46.17</v>
      </c>
      <c r="T24" s="7">
        <v>43.24</v>
      </c>
      <c r="U24" s="7">
        <v>45.19</v>
      </c>
      <c r="V24" s="7">
        <v>42.36</v>
      </c>
      <c r="W24" s="7">
        <v>43.24</v>
      </c>
      <c r="X24" s="7">
        <v>44.46</v>
      </c>
      <c r="Y24" s="7">
        <v>45.94</v>
      </c>
      <c r="Z24" s="7">
        <v>45.57</v>
      </c>
      <c r="AA24" s="7">
        <v>45.1</v>
      </c>
      <c r="AB24" s="7">
        <v>51.25</v>
      </c>
      <c r="AC24" s="7">
        <v>49.95</v>
      </c>
      <c r="AD24" s="7">
        <v>50.87</v>
      </c>
      <c r="AE24" s="7">
        <v>50.88</v>
      </c>
      <c r="AG24" s="7">
        <f t="shared" si="0"/>
        <v>45.443636363636365</v>
      </c>
    </row>
    <row r="25" spans="1:33" x14ac:dyDescent="0.2">
      <c r="A25" s="5" t="s">
        <v>53</v>
      </c>
      <c r="B25" s="5" t="s">
        <v>246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67.959999999999994</v>
      </c>
      <c r="O25" s="7"/>
      <c r="P25" s="7">
        <v>58.35</v>
      </c>
      <c r="Q25" s="7">
        <v>58.97</v>
      </c>
      <c r="R25" s="7">
        <v>57.96</v>
      </c>
      <c r="S25" s="7">
        <v>57.69</v>
      </c>
      <c r="T25" s="7">
        <v>57.36</v>
      </c>
      <c r="U25" s="7">
        <v>55.43</v>
      </c>
      <c r="V25" s="7">
        <v>54.9</v>
      </c>
      <c r="W25" s="7">
        <v>52.51</v>
      </c>
      <c r="X25" s="7">
        <v>51.93</v>
      </c>
      <c r="Y25" s="7">
        <v>50.12</v>
      </c>
      <c r="Z25" s="7">
        <v>49.84</v>
      </c>
      <c r="AA25" s="7">
        <v>48.24</v>
      </c>
      <c r="AB25" s="7">
        <v>48.11</v>
      </c>
      <c r="AC25" s="7">
        <v>50.82</v>
      </c>
      <c r="AD25" s="7">
        <v>51.42</v>
      </c>
      <c r="AE25" s="7">
        <v>52.37</v>
      </c>
      <c r="AG25" s="7">
        <f t="shared" si="0"/>
        <v>53.099090909090911</v>
      </c>
    </row>
    <row r="26" spans="1:33" x14ac:dyDescent="0.2">
      <c r="A26" s="5" t="s">
        <v>54</v>
      </c>
      <c r="B26" s="5" t="s">
        <v>247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>
        <v>54.77</v>
      </c>
      <c r="V26" s="7">
        <v>54.13</v>
      </c>
      <c r="W26" s="7">
        <v>56.19</v>
      </c>
      <c r="X26" s="7">
        <v>57.41</v>
      </c>
      <c r="Y26" s="7">
        <v>54.93</v>
      </c>
      <c r="Z26" s="7">
        <v>56.64</v>
      </c>
      <c r="AA26" s="7"/>
      <c r="AB26" s="7">
        <v>59.01</v>
      </c>
      <c r="AC26" s="7">
        <v>61.54</v>
      </c>
      <c r="AD26" s="7">
        <v>62.9</v>
      </c>
      <c r="AE26" s="7">
        <v>62.52</v>
      </c>
      <c r="AG26" s="7">
        <f t="shared" si="0"/>
        <v>56.154285714285713</v>
      </c>
    </row>
    <row r="27" spans="1:33" x14ac:dyDescent="0.2">
      <c r="A27" s="5" t="s">
        <v>155</v>
      </c>
      <c r="B27" s="5" t="s">
        <v>349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>
        <v>72.11</v>
      </c>
      <c r="X27" s="7">
        <v>71.97</v>
      </c>
      <c r="Y27" s="7">
        <v>72</v>
      </c>
      <c r="Z27" s="7">
        <v>70.8</v>
      </c>
      <c r="AA27" s="7">
        <v>68.84</v>
      </c>
      <c r="AB27" s="7">
        <v>66.510000000000005</v>
      </c>
      <c r="AC27" s="7">
        <v>68.12</v>
      </c>
      <c r="AD27" s="7">
        <v>68.22</v>
      </c>
      <c r="AE27" s="7">
        <v>64.36</v>
      </c>
      <c r="AG27" s="7">
        <f t="shared" si="0"/>
        <v>70.37166666666667</v>
      </c>
    </row>
    <row r="28" spans="1:33" x14ac:dyDescent="0.2">
      <c r="A28" s="5" t="s">
        <v>58</v>
      </c>
      <c r="B28" s="5" t="s">
        <v>251</v>
      </c>
      <c r="C28" s="7"/>
      <c r="D28" s="7"/>
      <c r="E28" s="7"/>
      <c r="F28" s="7"/>
      <c r="G28" s="7"/>
      <c r="H28" s="7"/>
      <c r="I28" s="7"/>
      <c r="J28" s="7"/>
      <c r="K28" s="7"/>
      <c r="L28" s="7">
        <v>89.7</v>
      </c>
      <c r="M28" s="7"/>
      <c r="N28" s="7"/>
      <c r="O28" s="7"/>
      <c r="P28" s="7"/>
      <c r="Q28" s="7"/>
      <c r="R28" s="7">
        <v>15.5</v>
      </c>
      <c r="S28" s="7"/>
      <c r="T28" s="7"/>
      <c r="U28" s="7"/>
      <c r="V28" s="7"/>
      <c r="W28" s="7"/>
      <c r="X28" s="7"/>
      <c r="Y28" s="7"/>
      <c r="Z28" s="7">
        <v>38.200000000000003</v>
      </c>
      <c r="AA28" s="7"/>
      <c r="AB28" s="7"/>
      <c r="AC28" s="7"/>
      <c r="AD28" s="7"/>
      <c r="AE28" s="7"/>
      <c r="AG28" s="7">
        <f t="shared" si="0"/>
        <v>26.85</v>
      </c>
    </row>
    <row r="29" spans="1:33" x14ac:dyDescent="0.2">
      <c r="A29" s="5" t="s">
        <v>60</v>
      </c>
      <c r="B29" s="5" t="s">
        <v>253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37.08</v>
      </c>
      <c r="AD29" s="7"/>
      <c r="AE29" s="7"/>
      <c r="AG29" s="7" t="e">
        <f t="shared" si="0"/>
        <v>#DIV/0!</v>
      </c>
    </row>
    <row r="30" spans="1:33" x14ac:dyDescent="0.2">
      <c r="A30" s="5" t="s">
        <v>68</v>
      </c>
      <c r="B30" s="5" t="s">
        <v>261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v>69.3</v>
      </c>
      <c r="Z30" s="7"/>
      <c r="AA30" s="7"/>
      <c r="AB30" s="7"/>
      <c r="AC30" s="7"/>
      <c r="AD30" s="7"/>
      <c r="AE30" s="7">
        <v>60.82</v>
      </c>
      <c r="AG30" s="7">
        <f t="shared" si="0"/>
        <v>69.3</v>
      </c>
    </row>
    <row r="31" spans="1:33" x14ac:dyDescent="0.2">
      <c r="A31" s="5" t="s">
        <v>66</v>
      </c>
      <c r="B31" s="5" t="s">
        <v>259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90.04</v>
      </c>
      <c r="T31" s="7"/>
      <c r="U31" s="7"/>
      <c r="V31" s="7"/>
      <c r="W31" s="7"/>
      <c r="X31" s="7"/>
      <c r="Y31" s="7"/>
      <c r="Z31" s="7">
        <v>89.98</v>
      </c>
      <c r="AA31" s="7"/>
      <c r="AB31" s="7">
        <v>83.26</v>
      </c>
      <c r="AC31" s="7"/>
      <c r="AD31" s="7"/>
      <c r="AE31" s="7"/>
      <c r="AG31" s="7">
        <f t="shared" si="0"/>
        <v>87.76</v>
      </c>
    </row>
    <row r="32" spans="1:33" x14ac:dyDescent="0.2">
      <c r="A32" s="5" t="s">
        <v>73</v>
      </c>
      <c r="B32" s="5" t="s">
        <v>266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76.31</v>
      </c>
      <c r="Q32" s="7">
        <v>75.7</v>
      </c>
      <c r="R32" s="7"/>
      <c r="S32" s="7">
        <v>79.19</v>
      </c>
      <c r="T32" s="7"/>
      <c r="U32" s="7"/>
      <c r="V32" s="7"/>
      <c r="W32" s="7">
        <v>73.319999999999993</v>
      </c>
      <c r="X32" s="7">
        <v>72.64</v>
      </c>
      <c r="Y32" s="7">
        <v>76.66</v>
      </c>
      <c r="Z32" s="7">
        <v>72.3</v>
      </c>
      <c r="AA32" s="7">
        <v>69.349999999999994</v>
      </c>
      <c r="AB32" s="7">
        <v>70.510000000000005</v>
      </c>
      <c r="AC32" s="7">
        <v>70.849999999999994</v>
      </c>
      <c r="AD32" s="7">
        <v>72.3</v>
      </c>
      <c r="AE32" s="7"/>
      <c r="AG32" s="7">
        <f t="shared" si="0"/>
        <v>73.424285714285702</v>
      </c>
    </row>
    <row r="33" spans="1:33" x14ac:dyDescent="0.2">
      <c r="A33" s="5" t="s">
        <v>74</v>
      </c>
      <c r="B33" s="5" t="s">
        <v>267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>
        <v>35.619999999999997</v>
      </c>
      <c r="AG33" s="7" t="e">
        <f t="shared" si="0"/>
        <v>#DIV/0!</v>
      </c>
    </row>
    <row r="34" spans="1:33" x14ac:dyDescent="0.2">
      <c r="A34" s="5" t="s">
        <v>77</v>
      </c>
      <c r="B34" s="5" t="s">
        <v>270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>
        <v>84.2</v>
      </c>
      <c r="Z34" s="7"/>
      <c r="AA34" s="7"/>
      <c r="AB34" s="7"/>
      <c r="AC34" s="7"/>
      <c r="AD34" s="7"/>
      <c r="AE34" s="7"/>
      <c r="AG34" s="7">
        <f t="shared" si="0"/>
        <v>84.2</v>
      </c>
    </row>
    <row r="35" spans="1:33" x14ac:dyDescent="0.2">
      <c r="A35" s="5" t="s">
        <v>75</v>
      </c>
      <c r="B35" s="5" t="s">
        <v>268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73.06</v>
      </c>
      <c r="T35" s="7">
        <v>70.67</v>
      </c>
      <c r="U35" s="7">
        <v>77.27</v>
      </c>
      <c r="V35" s="7">
        <v>77.47</v>
      </c>
      <c r="W35" s="7">
        <v>79.03</v>
      </c>
      <c r="X35" s="7">
        <v>79.95</v>
      </c>
      <c r="Y35" s="7">
        <v>81.77</v>
      </c>
      <c r="Z35" s="7">
        <v>87.97</v>
      </c>
      <c r="AA35" s="7">
        <v>86.08</v>
      </c>
      <c r="AB35" s="7">
        <v>82.81</v>
      </c>
      <c r="AC35" s="7">
        <v>83.88</v>
      </c>
      <c r="AD35" s="7">
        <v>80.2</v>
      </c>
      <c r="AE35" s="7"/>
      <c r="AG35" s="7">
        <f t="shared" si="0"/>
        <v>79.608000000000018</v>
      </c>
    </row>
    <row r="36" spans="1:33" x14ac:dyDescent="0.2">
      <c r="A36" s="5" t="s">
        <v>80</v>
      </c>
      <c r="B36" s="5" t="s">
        <v>273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v>86.89</v>
      </c>
      <c r="S36" s="7"/>
      <c r="T36" s="7"/>
      <c r="U36" s="7"/>
      <c r="V36" s="7"/>
      <c r="W36" s="7">
        <v>84.41</v>
      </c>
      <c r="X36" s="7"/>
      <c r="Y36" s="7">
        <v>81.87</v>
      </c>
      <c r="Z36" s="7"/>
      <c r="AA36" s="7"/>
      <c r="AB36" s="7"/>
      <c r="AC36" s="7"/>
      <c r="AD36" s="7"/>
      <c r="AE36" s="7">
        <v>81.34</v>
      </c>
      <c r="AG36" s="7">
        <f t="shared" si="0"/>
        <v>84.39</v>
      </c>
    </row>
    <row r="37" spans="1:33" x14ac:dyDescent="0.2">
      <c r="A37" s="5" t="s">
        <v>79</v>
      </c>
      <c r="B37" s="5" t="s">
        <v>272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>
        <v>78.680000000000007</v>
      </c>
      <c r="AD37" s="7">
        <v>84.25</v>
      </c>
      <c r="AE37" s="7">
        <v>59.19</v>
      </c>
      <c r="AG37" s="7" t="e">
        <f t="shared" si="0"/>
        <v>#DIV/0!</v>
      </c>
    </row>
    <row r="38" spans="1:33" x14ac:dyDescent="0.2">
      <c r="A38" s="5" t="s">
        <v>92</v>
      </c>
      <c r="B38" s="5" t="s">
        <v>285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>
        <v>71.87</v>
      </c>
      <c r="AG38" s="7" t="e">
        <f t="shared" si="0"/>
        <v>#DIV/0!</v>
      </c>
    </row>
    <row r="39" spans="1:33" x14ac:dyDescent="0.2">
      <c r="A39" s="5" t="s">
        <v>98</v>
      </c>
      <c r="B39" s="5" t="s">
        <v>291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>
        <v>75.67</v>
      </c>
      <c r="AE39" s="7"/>
      <c r="AG39" s="7" t="e">
        <f t="shared" si="0"/>
        <v>#DIV/0!</v>
      </c>
    </row>
    <row r="40" spans="1:33" x14ac:dyDescent="0.2">
      <c r="A40" s="5" t="s">
        <v>100</v>
      </c>
      <c r="B40" s="5" t="s">
        <v>293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>
        <v>79.88</v>
      </c>
      <c r="X40" s="7"/>
      <c r="Y40" s="7">
        <v>82.56</v>
      </c>
      <c r="Z40" s="7"/>
      <c r="AA40" s="7">
        <v>86.13</v>
      </c>
      <c r="AB40" s="7"/>
      <c r="AC40" s="7"/>
      <c r="AD40" s="7"/>
      <c r="AE40" s="7"/>
      <c r="AG40" s="7">
        <f t="shared" si="0"/>
        <v>82.856666666666669</v>
      </c>
    </row>
    <row r="41" spans="1:33" x14ac:dyDescent="0.2">
      <c r="A41" s="5" t="s">
        <v>110</v>
      </c>
      <c r="B41" s="5" t="s">
        <v>303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>
        <v>91.15</v>
      </c>
      <c r="Z41" s="7"/>
      <c r="AA41" s="7"/>
      <c r="AB41" s="7">
        <v>89.52</v>
      </c>
      <c r="AC41" s="7"/>
      <c r="AD41" s="7"/>
      <c r="AE41" s="7"/>
      <c r="AG41" s="7">
        <f t="shared" si="0"/>
        <v>90.335000000000008</v>
      </c>
    </row>
    <row r="42" spans="1:33" x14ac:dyDescent="0.2">
      <c r="A42" s="5" t="s">
        <v>111</v>
      </c>
      <c r="B42" s="5" t="s">
        <v>304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>
        <v>46.69</v>
      </c>
      <c r="AD42" s="7"/>
      <c r="AE42" s="7"/>
      <c r="AG42" s="7" t="e">
        <f t="shared" si="0"/>
        <v>#DIV/0!</v>
      </c>
    </row>
    <row r="43" spans="1:33" x14ac:dyDescent="0.2">
      <c r="A43" s="5" t="s">
        <v>114</v>
      </c>
      <c r="B43" s="5" t="s">
        <v>308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>
        <v>72.95</v>
      </c>
      <c r="AA43" s="7">
        <v>89.99</v>
      </c>
      <c r="AB43" s="7">
        <v>91.75</v>
      </c>
      <c r="AC43" s="7">
        <v>89.9</v>
      </c>
      <c r="AD43" s="7">
        <v>90.68</v>
      </c>
      <c r="AE43" s="7">
        <v>83.43</v>
      </c>
      <c r="AG43" s="7">
        <f t="shared" si="0"/>
        <v>84.896666666666661</v>
      </c>
    </row>
    <row r="44" spans="1:33" x14ac:dyDescent="0.2">
      <c r="A44" s="5" t="s">
        <v>120</v>
      </c>
      <c r="B44" s="5" t="s">
        <v>314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>
        <v>83.43</v>
      </c>
      <c r="AE44" s="7"/>
      <c r="AG44" s="7" t="e">
        <f t="shared" si="0"/>
        <v>#DIV/0!</v>
      </c>
    </row>
    <row r="45" spans="1:33" x14ac:dyDescent="0.2">
      <c r="A45" s="5" t="s">
        <v>121</v>
      </c>
      <c r="B45" s="5" t="s">
        <v>315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>
        <v>38.369999999999997</v>
      </c>
      <c r="Z45" s="7">
        <v>38.81</v>
      </c>
      <c r="AA45" s="7">
        <v>41.78</v>
      </c>
      <c r="AB45" s="7">
        <v>40.549999999999997</v>
      </c>
      <c r="AC45" s="7">
        <v>40.82</v>
      </c>
      <c r="AD45" s="7">
        <v>39</v>
      </c>
      <c r="AE45" s="7">
        <v>38.21</v>
      </c>
      <c r="AG45" s="7">
        <f t="shared" si="0"/>
        <v>39.877499999999998</v>
      </c>
    </row>
    <row r="46" spans="1:33" x14ac:dyDescent="0.2">
      <c r="A46" s="5" t="s">
        <v>112</v>
      </c>
      <c r="B46" s="5" t="s">
        <v>305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>
        <v>57</v>
      </c>
      <c r="P46" s="7">
        <v>57.01</v>
      </c>
      <c r="Q46" s="7">
        <v>56.14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G46" s="7" t="e">
        <f t="shared" si="0"/>
        <v>#DIV/0!</v>
      </c>
    </row>
    <row r="47" spans="1:33" x14ac:dyDescent="0.2">
      <c r="A47" s="5" t="s">
        <v>118</v>
      </c>
      <c r="B47" s="5" t="s">
        <v>312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>
        <v>42.17</v>
      </c>
      <c r="V47" s="7">
        <v>37.53</v>
      </c>
      <c r="W47" s="7">
        <v>48.68</v>
      </c>
      <c r="X47" s="7">
        <v>53.48</v>
      </c>
      <c r="Y47" s="7">
        <v>56.05</v>
      </c>
      <c r="Z47" s="7">
        <v>53.93</v>
      </c>
      <c r="AA47" s="7">
        <v>47.04</v>
      </c>
      <c r="AB47" s="7">
        <v>47.22</v>
      </c>
      <c r="AC47" s="7">
        <v>47.41</v>
      </c>
      <c r="AD47" s="7">
        <v>47.77</v>
      </c>
      <c r="AE47" s="7">
        <v>44.38</v>
      </c>
      <c r="AG47" s="7">
        <f t="shared" si="0"/>
        <v>48.262500000000003</v>
      </c>
    </row>
    <row r="48" spans="1:33" x14ac:dyDescent="0.2">
      <c r="A48" s="5" t="s">
        <v>119</v>
      </c>
      <c r="B48" s="5" t="s">
        <v>313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>
        <v>92.07</v>
      </c>
      <c r="AC48" s="7"/>
      <c r="AD48" s="7"/>
      <c r="AE48" s="7"/>
      <c r="AG48" s="7">
        <f t="shared" si="0"/>
        <v>92.07</v>
      </c>
    </row>
    <row r="49" spans="1:33" x14ac:dyDescent="0.2">
      <c r="A49" s="5" t="s">
        <v>116</v>
      </c>
      <c r="B49" s="5" t="s">
        <v>310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>
        <v>70.349999999999994</v>
      </c>
      <c r="AC49" s="7"/>
      <c r="AD49" s="7">
        <v>60.98</v>
      </c>
      <c r="AE49" s="7">
        <v>59.7</v>
      </c>
      <c r="AG49" s="7">
        <f t="shared" si="0"/>
        <v>70.349999999999994</v>
      </c>
    </row>
    <row r="50" spans="1:33" x14ac:dyDescent="0.2">
      <c r="A50" s="5" t="s">
        <v>124</v>
      </c>
      <c r="B50" s="5" t="s">
        <v>318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>
        <v>56.65</v>
      </c>
      <c r="Z50" s="7">
        <v>59.66</v>
      </c>
      <c r="AA50" s="7">
        <v>56.97</v>
      </c>
      <c r="AB50" s="7"/>
      <c r="AC50" s="7">
        <v>62.12</v>
      </c>
      <c r="AD50" s="7"/>
      <c r="AE50" s="7">
        <v>56.52</v>
      </c>
      <c r="AG50" s="7">
        <f t="shared" si="0"/>
        <v>57.76</v>
      </c>
    </row>
    <row r="51" spans="1:33" x14ac:dyDescent="0.2">
      <c r="A51" s="5" t="s">
        <v>131</v>
      </c>
      <c r="B51" s="5" t="s">
        <v>325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>
        <v>90.94</v>
      </c>
      <c r="V51" s="7"/>
      <c r="W51" s="7"/>
      <c r="X51" s="7"/>
      <c r="Y51" s="7"/>
      <c r="Z51" s="7"/>
      <c r="AA51" s="7"/>
      <c r="AB51" s="7"/>
      <c r="AC51" s="7"/>
      <c r="AD51" s="7">
        <v>57.46</v>
      </c>
      <c r="AE51" s="7"/>
      <c r="AG51" s="7">
        <f t="shared" si="0"/>
        <v>90.94</v>
      </c>
    </row>
    <row r="52" spans="1:33" x14ac:dyDescent="0.2">
      <c r="A52" s="5" t="s">
        <v>128</v>
      </c>
      <c r="B52" s="5" t="s">
        <v>322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>
        <v>74.88</v>
      </c>
      <c r="Z52" s="7"/>
      <c r="AA52" s="7"/>
      <c r="AB52" s="7"/>
      <c r="AC52" s="7"/>
      <c r="AD52" s="7"/>
      <c r="AE52" s="7"/>
      <c r="AG52" s="7">
        <f t="shared" si="0"/>
        <v>74.88</v>
      </c>
    </row>
    <row r="53" spans="1:33" x14ac:dyDescent="0.2">
      <c r="A53" s="5" t="s">
        <v>126</v>
      </c>
      <c r="B53" s="5" t="s">
        <v>320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>
        <v>93.88</v>
      </c>
      <c r="Y53" s="7">
        <v>92.62</v>
      </c>
      <c r="Z53" s="7"/>
      <c r="AA53" s="7"/>
      <c r="AB53" s="7"/>
      <c r="AC53" s="7"/>
      <c r="AD53" s="7">
        <v>85.61</v>
      </c>
      <c r="AE53" s="7"/>
      <c r="AG53" s="7">
        <f t="shared" si="0"/>
        <v>93.25</v>
      </c>
    </row>
    <row r="54" spans="1:33" x14ac:dyDescent="0.2">
      <c r="A54" s="5" t="s">
        <v>134</v>
      </c>
      <c r="B54" s="5" t="s">
        <v>328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>
        <v>81.41</v>
      </c>
      <c r="W54" s="7">
        <v>82.92</v>
      </c>
      <c r="X54" s="7">
        <v>82.49</v>
      </c>
      <c r="Y54" s="7"/>
      <c r="Z54" s="7">
        <v>82.65</v>
      </c>
      <c r="AA54" s="7">
        <v>83.71</v>
      </c>
      <c r="AB54" s="7">
        <v>83.42</v>
      </c>
      <c r="AC54" s="7"/>
      <c r="AD54" s="7"/>
      <c r="AE54" s="7">
        <v>80.010000000000005</v>
      </c>
      <c r="AG54" s="7">
        <f t="shared" si="0"/>
        <v>82.766666666666666</v>
      </c>
    </row>
    <row r="55" spans="1:33" x14ac:dyDescent="0.2">
      <c r="A55" s="5" t="s">
        <v>135</v>
      </c>
      <c r="B55" s="5" t="s">
        <v>329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>
        <v>39.549999999999997</v>
      </c>
      <c r="Y55" s="7">
        <v>40.51</v>
      </c>
      <c r="Z55" s="7">
        <v>40.65</v>
      </c>
      <c r="AA55" s="7">
        <v>40.950000000000003</v>
      </c>
      <c r="AB55" s="7">
        <v>39.19</v>
      </c>
      <c r="AC55" s="7">
        <v>41.14</v>
      </c>
      <c r="AD55" s="7">
        <v>40.43</v>
      </c>
      <c r="AE55" s="7">
        <v>42.57</v>
      </c>
      <c r="AG55" s="7">
        <f t="shared" si="0"/>
        <v>40.17</v>
      </c>
    </row>
    <row r="56" spans="1:33" x14ac:dyDescent="0.2">
      <c r="A56" s="5" t="s">
        <v>142</v>
      </c>
      <c r="B56" s="5" t="s">
        <v>336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>
        <v>62.11</v>
      </c>
      <c r="V56" s="7">
        <v>60.84</v>
      </c>
      <c r="W56" s="7">
        <v>60.23</v>
      </c>
      <c r="X56" s="7">
        <v>59.11</v>
      </c>
      <c r="Y56" s="7">
        <v>58.59</v>
      </c>
      <c r="Z56" s="7">
        <v>57.08</v>
      </c>
      <c r="AA56" s="7">
        <v>53.75</v>
      </c>
      <c r="AB56" s="7">
        <v>54.12</v>
      </c>
      <c r="AC56" s="7">
        <v>55.06</v>
      </c>
      <c r="AD56" s="7">
        <v>54.02</v>
      </c>
      <c r="AE56" s="7">
        <v>50.89</v>
      </c>
      <c r="AG56" s="7">
        <f t="shared" si="0"/>
        <v>58.228749999999998</v>
      </c>
    </row>
    <row r="57" spans="1:33" x14ac:dyDescent="0.2">
      <c r="A57" s="5" t="s">
        <v>136</v>
      </c>
      <c r="B57" s="5" t="s">
        <v>330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>
        <v>73.760000000000005</v>
      </c>
      <c r="P57" s="7">
        <v>76.66</v>
      </c>
      <c r="Q57" s="7">
        <v>76.45</v>
      </c>
      <c r="R57" s="7">
        <v>76.209999999999994</v>
      </c>
      <c r="S57" s="7">
        <v>75.36</v>
      </c>
      <c r="T57" s="7">
        <v>73</v>
      </c>
      <c r="U57" s="7">
        <v>72.36</v>
      </c>
      <c r="V57" s="7">
        <v>72.17</v>
      </c>
      <c r="W57" s="7">
        <v>72.069999999999993</v>
      </c>
      <c r="X57" s="7">
        <v>71.67</v>
      </c>
      <c r="Y57" s="7">
        <v>60.74</v>
      </c>
      <c r="Z57" s="7">
        <v>59.96</v>
      </c>
      <c r="AA57" s="7">
        <v>59.68</v>
      </c>
      <c r="AB57" s="7">
        <v>59.51</v>
      </c>
      <c r="AC57" s="7">
        <v>58.9</v>
      </c>
      <c r="AD57" s="7">
        <v>59.96</v>
      </c>
      <c r="AE57" s="7">
        <v>60.63</v>
      </c>
      <c r="AG57" s="7">
        <f t="shared" si="0"/>
        <v>68.430000000000007</v>
      </c>
    </row>
    <row r="58" spans="1:33" x14ac:dyDescent="0.2">
      <c r="A58" s="5" t="s">
        <v>147</v>
      </c>
      <c r="B58" s="5" t="s">
        <v>341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>
        <v>14.6</v>
      </c>
      <c r="X58" s="7">
        <v>16.34</v>
      </c>
      <c r="Y58" s="7">
        <v>17.21</v>
      </c>
      <c r="Z58" s="7">
        <v>18.05</v>
      </c>
      <c r="AA58" s="7">
        <v>18.329999999999998</v>
      </c>
      <c r="AB58" s="7">
        <v>18.760000000000002</v>
      </c>
      <c r="AC58" s="7">
        <v>19.149999999999999</v>
      </c>
      <c r="AD58" s="7">
        <v>18.510000000000002</v>
      </c>
      <c r="AE58" s="7">
        <v>18.86</v>
      </c>
      <c r="AG58" s="7">
        <f t="shared" si="0"/>
        <v>17.215</v>
      </c>
    </row>
    <row r="59" spans="1:33" x14ac:dyDescent="0.2">
      <c r="A59" s="5" t="s">
        <v>148</v>
      </c>
      <c r="B59" s="5" t="s">
        <v>342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>
        <v>69.19</v>
      </c>
      <c r="AE59" s="7">
        <v>69.650000000000006</v>
      </c>
      <c r="AG59" s="7" t="e">
        <f t="shared" si="0"/>
        <v>#DIV/0!</v>
      </c>
    </row>
    <row r="60" spans="1:33" x14ac:dyDescent="0.2">
      <c r="A60" s="5" t="s">
        <v>187</v>
      </c>
      <c r="B60" s="5" t="s">
        <v>381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>
        <v>44.25</v>
      </c>
      <c r="Z60" s="7"/>
      <c r="AA60" s="7"/>
      <c r="AB60" s="7"/>
      <c r="AC60" s="7"/>
      <c r="AD60" s="7">
        <v>32.75</v>
      </c>
      <c r="AE60" s="7"/>
      <c r="AG60" s="7">
        <f t="shared" si="0"/>
        <v>44.25</v>
      </c>
    </row>
    <row r="61" spans="1:33" x14ac:dyDescent="0.2">
      <c r="A61" s="5" t="s">
        <v>151</v>
      </c>
      <c r="B61" s="5" t="s">
        <v>345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>
        <v>84.04</v>
      </c>
      <c r="AC61" s="7"/>
      <c r="AD61" s="7"/>
      <c r="AE61" s="7"/>
      <c r="AG61" s="7">
        <f t="shared" si="0"/>
        <v>84.04</v>
      </c>
    </row>
    <row r="62" spans="1:33" x14ac:dyDescent="0.2">
      <c r="A62" s="5" t="s">
        <v>156</v>
      </c>
      <c r="B62" s="5" t="s">
        <v>350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>
        <v>20.55</v>
      </c>
      <c r="V62" s="7">
        <v>19.329999999999998</v>
      </c>
      <c r="W62" s="7"/>
      <c r="X62" s="7">
        <v>13.83</v>
      </c>
      <c r="Y62" s="7">
        <v>11.49</v>
      </c>
      <c r="Z62" s="7">
        <v>15.8</v>
      </c>
      <c r="AA62" s="7">
        <v>16.309999999999999</v>
      </c>
      <c r="AB62" s="7">
        <v>13.38</v>
      </c>
      <c r="AC62" s="7">
        <v>13.75</v>
      </c>
      <c r="AD62" s="7">
        <v>11.94</v>
      </c>
      <c r="AE62" s="7">
        <v>10.69</v>
      </c>
      <c r="AG62" s="7">
        <f t="shared" si="0"/>
        <v>15.812857142857141</v>
      </c>
    </row>
    <row r="63" spans="1:33" x14ac:dyDescent="0.2">
      <c r="A63" s="5" t="s">
        <v>190</v>
      </c>
      <c r="B63" s="5" t="s">
        <v>384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>
        <v>27.19</v>
      </c>
      <c r="N63" s="7">
        <v>27.94</v>
      </c>
      <c r="O63" s="7">
        <v>21.47</v>
      </c>
      <c r="P63" s="7">
        <v>20.52</v>
      </c>
      <c r="Q63" s="7">
        <v>19.850000000000001</v>
      </c>
      <c r="R63" s="7">
        <v>22.1</v>
      </c>
      <c r="S63" s="7">
        <v>21.39</v>
      </c>
      <c r="T63" s="7">
        <v>20.46</v>
      </c>
      <c r="U63" s="7">
        <v>46.84</v>
      </c>
      <c r="V63" s="7">
        <v>45.91</v>
      </c>
      <c r="W63" s="7">
        <v>47.68</v>
      </c>
      <c r="X63" s="7">
        <v>45.31</v>
      </c>
      <c r="Y63" s="7">
        <v>45.05</v>
      </c>
      <c r="Z63" s="7">
        <v>44.24</v>
      </c>
      <c r="AA63" s="7">
        <v>43.64</v>
      </c>
      <c r="AB63" s="7">
        <v>45.74</v>
      </c>
      <c r="AC63" s="7">
        <v>45.23</v>
      </c>
      <c r="AD63" s="7">
        <v>45</v>
      </c>
      <c r="AE63" s="7">
        <v>45.18</v>
      </c>
      <c r="AG63" s="7">
        <f t="shared" si="0"/>
        <v>38.941818181818185</v>
      </c>
    </row>
    <row r="64" spans="1:33" x14ac:dyDescent="0.2">
      <c r="A64" s="5" t="s">
        <v>103</v>
      </c>
      <c r="B64" s="5" t="s">
        <v>296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>
        <v>64.17</v>
      </c>
      <c r="X64" s="7">
        <v>64.02</v>
      </c>
      <c r="Y64" s="7"/>
      <c r="Z64" s="7">
        <v>63.35</v>
      </c>
      <c r="AA64" s="7">
        <v>62.06</v>
      </c>
      <c r="AB64" s="7">
        <v>62.02</v>
      </c>
      <c r="AC64" s="7">
        <v>61.67</v>
      </c>
      <c r="AD64" s="7">
        <v>60.08</v>
      </c>
      <c r="AE64" s="7"/>
      <c r="AG64" s="7">
        <f t="shared" si="0"/>
        <v>63.124000000000002</v>
      </c>
    </row>
    <row r="65" spans="1:33" x14ac:dyDescent="0.2">
      <c r="A65" s="5" t="s">
        <v>150</v>
      </c>
      <c r="B65" s="5" t="s">
        <v>344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>
        <v>87.03</v>
      </c>
      <c r="Y65" s="7"/>
      <c r="Z65" s="7"/>
      <c r="AA65" s="7"/>
      <c r="AB65" s="7"/>
      <c r="AC65" s="7"/>
      <c r="AD65" s="7"/>
      <c r="AE65" s="7"/>
      <c r="AG65" s="7">
        <f t="shared" si="0"/>
        <v>87.03</v>
      </c>
    </row>
    <row r="66" spans="1:33" x14ac:dyDescent="0.2">
      <c r="A66" s="5" t="s">
        <v>177</v>
      </c>
      <c r="B66" s="5" t="s">
        <v>371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>
        <v>87.08</v>
      </c>
      <c r="AB66" s="7"/>
      <c r="AC66" s="7"/>
      <c r="AD66" s="7"/>
      <c r="AE66" s="7"/>
      <c r="AG66" s="7">
        <f t="shared" si="0"/>
        <v>87.08</v>
      </c>
    </row>
    <row r="67" spans="1:33" x14ac:dyDescent="0.2">
      <c r="A67" s="5" t="s">
        <v>169</v>
      </c>
      <c r="B67" s="5" t="s">
        <v>363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>
        <v>57.58</v>
      </c>
      <c r="AB67" s="7">
        <v>55.86</v>
      </c>
      <c r="AC67" s="7">
        <v>55.71</v>
      </c>
      <c r="AD67" s="7">
        <v>52.04</v>
      </c>
      <c r="AE67" s="7">
        <v>47.6</v>
      </c>
      <c r="AG67" s="7">
        <f t="shared" ref="AG67:AG77" si="1">AVERAGE($R67:$AB67)</f>
        <v>56.72</v>
      </c>
    </row>
    <row r="68" spans="1:33" x14ac:dyDescent="0.2">
      <c r="A68" s="5" t="s">
        <v>171</v>
      </c>
      <c r="B68" s="5" t="s">
        <v>365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>
        <v>64.63</v>
      </c>
      <c r="X68" s="7"/>
      <c r="Y68" s="7"/>
      <c r="Z68" s="7">
        <v>62.45</v>
      </c>
      <c r="AA68" s="7"/>
      <c r="AB68" s="7"/>
      <c r="AC68" s="7"/>
      <c r="AD68" s="7"/>
      <c r="AE68" s="7"/>
      <c r="AG68" s="7">
        <f t="shared" si="1"/>
        <v>63.54</v>
      </c>
    </row>
    <row r="69" spans="1:33" x14ac:dyDescent="0.2">
      <c r="A69" s="5" t="s">
        <v>168</v>
      </c>
      <c r="B69" s="5" t="s">
        <v>362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>
        <v>91.47</v>
      </c>
      <c r="AB69" s="7"/>
      <c r="AC69" s="7"/>
      <c r="AD69" s="7">
        <v>87.74</v>
      </c>
      <c r="AE69" s="7"/>
      <c r="AG69" s="7">
        <f t="shared" si="1"/>
        <v>91.47</v>
      </c>
    </row>
    <row r="70" spans="1:33" x14ac:dyDescent="0.2">
      <c r="A70" s="5" t="s">
        <v>172</v>
      </c>
      <c r="B70" s="5" t="s">
        <v>366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>
        <v>60.4</v>
      </c>
      <c r="AG70" s="7" t="e">
        <f t="shared" si="1"/>
        <v>#DIV/0!</v>
      </c>
    </row>
    <row r="71" spans="1:33" x14ac:dyDescent="0.2">
      <c r="A71" s="5" t="s">
        <v>178</v>
      </c>
      <c r="B71" s="5" t="s">
        <v>372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>
        <v>84.86</v>
      </c>
      <c r="Z71" s="7"/>
      <c r="AA71" s="7"/>
      <c r="AB71" s="7"/>
      <c r="AC71" s="7"/>
      <c r="AD71" s="7">
        <v>77.97</v>
      </c>
      <c r="AE71" s="7"/>
      <c r="AG71" s="7">
        <f t="shared" si="1"/>
        <v>84.86</v>
      </c>
    </row>
    <row r="72" spans="1:33" x14ac:dyDescent="0.2">
      <c r="A72" s="5" t="s">
        <v>180</v>
      </c>
      <c r="B72" s="5" t="s">
        <v>374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>
        <v>44.31</v>
      </c>
      <c r="T72" s="7">
        <v>44.09</v>
      </c>
      <c r="U72" s="7">
        <v>43.07</v>
      </c>
      <c r="V72" s="7">
        <v>42.7</v>
      </c>
      <c r="W72" s="7">
        <v>41.78</v>
      </c>
      <c r="X72" s="7">
        <v>39.29</v>
      </c>
      <c r="Y72" s="7">
        <v>37.69</v>
      </c>
      <c r="Z72" s="7">
        <v>37.21</v>
      </c>
      <c r="AA72" s="7">
        <v>25.77</v>
      </c>
      <c r="AB72" s="7">
        <v>26.03</v>
      </c>
      <c r="AC72" s="7">
        <v>26.75</v>
      </c>
      <c r="AD72" s="7">
        <v>26.58</v>
      </c>
      <c r="AE72" s="7">
        <v>26.67</v>
      </c>
      <c r="AG72" s="7">
        <f t="shared" si="1"/>
        <v>38.193999999999996</v>
      </c>
    </row>
    <row r="73" spans="1:33" x14ac:dyDescent="0.2">
      <c r="A73" s="5" t="s">
        <v>185</v>
      </c>
      <c r="B73" s="5" t="s">
        <v>379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74.349999999999994</v>
      </c>
      <c r="U73" s="7"/>
      <c r="V73" s="7">
        <v>73.22</v>
      </c>
      <c r="W73" s="7"/>
      <c r="X73" s="7"/>
      <c r="Y73" s="7"/>
      <c r="Z73" s="7">
        <v>71.34</v>
      </c>
      <c r="AA73" s="7">
        <v>66.819999999999993</v>
      </c>
      <c r="AB73" s="7">
        <v>64.23</v>
      </c>
      <c r="AC73" s="7">
        <v>62.64</v>
      </c>
      <c r="AD73" s="7">
        <v>62.08</v>
      </c>
      <c r="AE73" s="7">
        <v>60.05</v>
      </c>
      <c r="AG73" s="7">
        <f t="shared" si="1"/>
        <v>69.992000000000004</v>
      </c>
    </row>
    <row r="74" spans="1:33" x14ac:dyDescent="0.2">
      <c r="A74" s="5" t="s">
        <v>409</v>
      </c>
      <c r="B74" s="5" t="s">
        <v>337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>
        <v>32.97</v>
      </c>
      <c r="X74" s="7">
        <v>32.76</v>
      </c>
      <c r="Y74" s="7">
        <v>32.880000000000003</v>
      </c>
      <c r="Z74" s="7">
        <v>31.71</v>
      </c>
      <c r="AA74" s="7">
        <v>28.92</v>
      </c>
      <c r="AB74" s="7">
        <v>33.89</v>
      </c>
      <c r="AC74" s="7">
        <v>34.61</v>
      </c>
      <c r="AD74" s="7">
        <v>34.619999999999997</v>
      </c>
      <c r="AE74" s="7">
        <v>33.79</v>
      </c>
      <c r="AG74" s="7">
        <f t="shared" si="1"/>
        <v>32.188333333333333</v>
      </c>
    </row>
    <row r="75" spans="1:33" x14ac:dyDescent="0.2">
      <c r="A75" s="5" t="s">
        <v>189</v>
      </c>
      <c r="B75" s="5" t="s">
        <v>383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>
        <v>70.239999999999995</v>
      </c>
      <c r="AB75" s="7"/>
      <c r="AC75" s="7"/>
      <c r="AD75" s="7"/>
      <c r="AE75" s="7"/>
      <c r="AG75" s="7">
        <f t="shared" si="1"/>
        <v>70.239999999999995</v>
      </c>
    </row>
    <row r="76" spans="1:33" x14ac:dyDescent="0.2">
      <c r="A76" s="5" t="s">
        <v>191</v>
      </c>
      <c r="B76" s="5" t="s">
        <v>385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>
        <v>60.11</v>
      </c>
      <c r="AE76" s="7">
        <v>58.65</v>
      </c>
      <c r="AG76" s="7" t="e">
        <f t="shared" si="1"/>
        <v>#DIV/0!</v>
      </c>
    </row>
    <row r="77" spans="1:33" x14ac:dyDescent="0.2">
      <c r="A77" s="5" t="s">
        <v>192</v>
      </c>
      <c r="B77" s="5" t="s">
        <v>386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>
        <v>77.42</v>
      </c>
      <c r="Y77" s="7"/>
      <c r="Z77" s="7"/>
      <c r="AA77" s="7">
        <v>79.22</v>
      </c>
      <c r="AB77" s="7"/>
      <c r="AC77" s="7"/>
      <c r="AD77" s="7"/>
      <c r="AE77" s="7"/>
      <c r="AG77" s="7">
        <f t="shared" si="1"/>
        <v>78.319999999999993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359B-02D3-4C89-9F39-439C441DF2FF}">
  <dimension ref="A1:AE141"/>
  <sheetViews>
    <sheetView workbookViewId="0">
      <pane xSplit="2" ySplit="1" topLeftCell="O125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ColWidth="9.140625" defaultRowHeight="12.75" x14ac:dyDescent="0.2"/>
  <cols>
    <col min="1" max="1" width="27.5703125" style="5" customWidth="1"/>
    <col min="2" max="16384" width="9.140625" style="5"/>
  </cols>
  <sheetData>
    <row r="1" spans="1:31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</row>
    <row r="2" spans="1:31" x14ac:dyDescent="0.2">
      <c r="A2" s="5" t="s">
        <v>1</v>
      </c>
      <c r="B2" s="5" t="s">
        <v>194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45.9</v>
      </c>
      <c r="V2" s="7"/>
      <c r="W2" s="7"/>
      <c r="X2" s="7"/>
      <c r="Y2" s="7"/>
      <c r="Z2" s="7"/>
      <c r="AA2" s="7">
        <v>41.5</v>
      </c>
      <c r="AB2" s="7"/>
      <c r="AC2" s="7"/>
      <c r="AD2" s="7"/>
      <c r="AE2" s="7"/>
    </row>
    <row r="3" spans="1:31" x14ac:dyDescent="0.2">
      <c r="A3" s="5" t="s">
        <v>3</v>
      </c>
      <c r="B3" s="5" t="s">
        <v>196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52.6</v>
      </c>
      <c r="U3" s="7"/>
      <c r="V3" s="7"/>
      <c r="W3" s="7"/>
      <c r="X3" s="7"/>
      <c r="Y3" s="7"/>
      <c r="Z3" s="7">
        <v>46.3</v>
      </c>
      <c r="AA3" s="7"/>
      <c r="AB3" s="7"/>
      <c r="AC3" s="7"/>
      <c r="AD3" s="7"/>
      <c r="AE3" s="7"/>
    </row>
    <row r="4" spans="1:31" x14ac:dyDescent="0.2">
      <c r="A4" s="5" t="s">
        <v>2</v>
      </c>
      <c r="B4" s="5" t="s">
        <v>195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v>77.7</v>
      </c>
      <c r="T4" s="7"/>
      <c r="U4" s="7"/>
      <c r="V4" s="7"/>
      <c r="W4" s="7">
        <v>41.2</v>
      </c>
      <c r="X4" s="7"/>
      <c r="Y4" s="7"/>
      <c r="Z4" s="7"/>
      <c r="AA4" s="7"/>
      <c r="AB4" s="7"/>
      <c r="AC4" s="7"/>
      <c r="AD4" s="7"/>
      <c r="AE4" s="7"/>
    </row>
    <row r="5" spans="1:31" x14ac:dyDescent="0.2">
      <c r="A5" s="5" t="s">
        <v>8</v>
      </c>
      <c r="B5" s="5" t="s">
        <v>201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78.099999999999994</v>
      </c>
      <c r="X5" s="7"/>
      <c r="Y5" s="7"/>
      <c r="Z5" s="7"/>
      <c r="AA5" s="7"/>
      <c r="AB5" s="7"/>
      <c r="AC5" s="7"/>
      <c r="AD5" s="7"/>
      <c r="AE5" s="7"/>
    </row>
    <row r="6" spans="1:31" x14ac:dyDescent="0.2">
      <c r="A6" s="5" t="s">
        <v>6</v>
      </c>
      <c r="B6" s="5" t="s">
        <v>199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56.1</v>
      </c>
      <c r="T6" s="7"/>
      <c r="U6" s="7"/>
      <c r="V6" s="7"/>
      <c r="W6" s="7">
        <v>68.2</v>
      </c>
      <c r="X6" s="7"/>
      <c r="Y6" s="7"/>
      <c r="Z6" s="7"/>
      <c r="AA6" s="7"/>
      <c r="AB6" s="7"/>
      <c r="AC6" s="7"/>
      <c r="AD6" s="7">
        <v>72.5</v>
      </c>
      <c r="AE6" s="7"/>
    </row>
    <row r="7" spans="1:31" x14ac:dyDescent="0.2">
      <c r="A7" s="5" t="s">
        <v>7</v>
      </c>
      <c r="B7" s="5" t="s">
        <v>200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44.6</v>
      </c>
      <c r="W7" s="7"/>
      <c r="X7" s="7"/>
      <c r="Y7" s="7"/>
      <c r="Z7" s="7">
        <v>12.8</v>
      </c>
      <c r="AA7" s="7"/>
      <c r="AB7" s="7"/>
      <c r="AC7" s="7"/>
      <c r="AD7" s="7"/>
      <c r="AE7" s="7"/>
    </row>
    <row r="8" spans="1:31" x14ac:dyDescent="0.2">
      <c r="A8" s="5" t="s">
        <v>11</v>
      </c>
      <c r="B8" s="5" t="s">
        <v>204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40.700000000000003</v>
      </c>
      <c r="W8" s="7"/>
      <c r="X8" s="7"/>
      <c r="Y8" s="7"/>
      <c r="Z8" s="7">
        <v>19.100000000000001</v>
      </c>
      <c r="AA8" s="7"/>
      <c r="AB8" s="7"/>
      <c r="AC8" s="7"/>
      <c r="AD8" s="7"/>
      <c r="AE8" s="7"/>
    </row>
    <row r="9" spans="1:31" x14ac:dyDescent="0.2">
      <c r="A9" s="5" t="s">
        <v>19</v>
      </c>
      <c r="B9" s="5" t="s">
        <v>212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67.5</v>
      </c>
      <c r="X9" s="7"/>
      <c r="Y9" s="7"/>
      <c r="Z9" s="7"/>
      <c r="AA9" s="7"/>
      <c r="AB9" s="7"/>
      <c r="AC9" s="7"/>
      <c r="AD9" s="7"/>
      <c r="AE9" s="7"/>
    </row>
    <row r="10" spans="1:31" x14ac:dyDescent="0.2">
      <c r="A10" s="5" t="s">
        <v>16</v>
      </c>
      <c r="B10" s="5" t="s">
        <v>209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46.6</v>
      </c>
      <c r="U10" s="7"/>
      <c r="V10" s="7"/>
      <c r="W10" s="7"/>
      <c r="X10" s="7"/>
      <c r="Y10" s="7"/>
      <c r="Z10" s="7">
        <v>39.4</v>
      </c>
      <c r="AA10" s="7"/>
      <c r="AB10" s="7"/>
      <c r="AC10" s="7"/>
      <c r="AD10" s="7"/>
      <c r="AE10" s="7"/>
    </row>
    <row r="11" spans="1:31" x14ac:dyDescent="0.2">
      <c r="A11" s="5" t="s">
        <v>26</v>
      </c>
      <c r="B11" s="5" t="s">
        <v>219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49.4</v>
      </c>
      <c r="X11" s="7"/>
      <c r="Y11" s="7"/>
      <c r="Z11" s="7"/>
      <c r="AA11" s="7"/>
      <c r="AB11" s="7"/>
      <c r="AC11" s="7"/>
      <c r="AD11" s="7"/>
      <c r="AE11" s="7"/>
    </row>
    <row r="12" spans="1:31" x14ac:dyDescent="0.2">
      <c r="A12" s="5" t="s">
        <v>21</v>
      </c>
      <c r="B12" s="5" t="s">
        <v>214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50.4</v>
      </c>
      <c r="V12" s="7"/>
      <c r="W12" s="7"/>
      <c r="X12" s="7"/>
      <c r="Y12" s="7"/>
      <c r="Z12" s="7">
        <v>44.7</v>
      </c>
      <c r="AA12" s="7"/>
      <c r="AB12" s="7"/>
      <c r="AC12" s="7"/>
      <c r="AD12" s="7"/>
      <c r="AE12" s="7">
        <v>20.3</v>
      </c>
    </row>
    <row r="13" spans="1:31" x14ac:dyDescent="0.2">
      <c r="A13" s="5" t="s">
        <v>22</v>
      </c>
      <c r="B13" s="5" t="s">
        <v>215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>
        <v>58.5</v>
      </c>
      <c r="X13" s="7"/>
      <c r="Y13" s="7"/>
      <c r="Z13" s="7"/>
      <c r="AA13" s="7"/>
      <c r="AB13" s="7"/>
      <c r="AC13" s="7"/>
      <c r="AD13" s="7"/>
      <c r="AE13" s="7"/>
    </row>
    <row r="14" spans="1:31" x14ac:dyDescent="0.2">
      <c r="A14" s="5" t="s">
        <v>14</v>
      </c>
      <c r="B14" s="5" t="s">
        <v>207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79.3</v>
      </c>
      <c r="W14" s="7"/>
      <c r="X14" s="7"/>
      <c r="Y14" s="7"/>
      <c r="Z14" s="7"/>
      <c r="AA14" s="7"/>
      <c r="AB14" s="7"/>
      <c r="AC14" s="7">
        <v>66.8</v>
      </c>
      <c r="AD14" s="7"/>
      <c r="AE14" s="7"/>
    </row>
    <row r="15" spans="1:31" x14ac:dyDescent="0.2">
      <c r="A15" s="5" t="s">
        <v>28</v>
      </c>
      <c r="B15" s="5" t="s">
        <v>221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19.899999999999999</v>
      </c>
      <c r="W15" s="7"/>
      <c r="X15" s="7"/>
      <c r="Y15" s="7"/>
      <c r="Z15" s="7"/>
      <c r="AA15" s="7"/>
      <c r="AB15" s="7">
        <v>7.2</v>
      </c>
      <c r="AC15" s="7"/>
      <c r="AD15" s="7"/>
      <c r="AE15" s="7"/>
    </row>
    <row r="16" spans="1:31" x14ac:dyDescent="0.2">
      <c r="A16" s="5" t="s">
        <v>24</v>
      </c>
      <c r="B16" s="5" t="s">
        <v>217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90.1</v>
      </c>
      <c r="T16" s="7"/>
      <c r="U16" s="7"/>
      <c r="V16" s="7"/>
      <c r="W16" s="7">
        <v>80.5</v>
      </c>
      <c r="X16" s="7"/>
      <c r="Y16" s="7"/>
      <c r="Z16" s="7"/>
      <c r="AA16" s="7"/>
      <c r="AB16" s="7"/>
      <c r="AC16" s="7"/>
      <c r="AD16" s="7">
        <v>78.900000000000006</v>
      </c>
      <c r="AE16" s="7"/>
    </row>
    <row r="17" spans="1:31" x14ac:dyDescent="0.2">
      <c r="A17" s="5" t="s">
        <v>20</v>
      </c>
      <c r="B17" s="5" t="s">
        <v>213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46.5</v>
      </c>
      <c r="W17" s="7"/>
      <c r="X17" s="7"/>
      <c r="Y17" s="7"/>
      <c r="Z17" s="7">
        <v>47</v>
      </c>
      <c r="AA17" s="7"/>
      <c r="AB17" s="7"/>
      <c r="AC17" s="7"/>
      <c r="AD17" s="7"/>
      <c r="AE17" s="7"/>
    </row>
    <row r="18" spans="1:31" x14ac:dyDescent="0.2">
      <c r="A18" s="5" t="s">
        <v>29</v>
      </c>
      <c r="B18" s="5" t="s">
        <v>222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49.7</v>
      </c>
      <c r="T18" s="7"/>
      <c r="U18" s="7"/>
      <c r="V18" s="7"/>
      <c r="W18" s="7">
        <v>54.6</v>
      </c>
      <c r="X18" s="7"/>
      <c r="Y18" s="7"/>
      <c r="Z18" s="7"/>
      <c r="AA18" s="7"/>
      <c r="AB18" s="7"/>
      <c r="AC18" s="7"/>
      <c r="AD18" s="7"/>
      <c r="AE18" s="7"/>
    </row>
    <row r="19" spans="1:31" x14ac:dyDescent="0.2">
      <c r="A19" s="5" t="s">
        <v>25</v>
      </c>
      <c r="B19" s="5" t="s">
        <v>218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69.7</v>
      </c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">
      <c r="A20" s="5" t="s">
        <v>17</v>
      </c>
      <c r="B20" s="5" t="s">
        <v>210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60.2</v>
      </c>
      <c r="U20" s="7"/>
      <c r="V20" s="7">
        <v>54.1</v>
      </c>
      <c r="W20" s="7"/>
      <c r="X20" s="7"/>
      <c r="Y20" s="7"/>
      <c r="Z20" s="7">
        <v>58.5</v>
      </c>
      <c r="AA20" s="7"/>
      <c r="AB20" s="7"/>
      <c r="AC20" s="7"/>
      <c r="AD20" s="7"/>
      <c r="AE20" s="7"/>
    </row>
    <row r="21" spans="1:31" x14ac:dyDescent="0.2">
      <c r="A21" s="5" t="s">
        <v>15</v>
      </c>
      <c r="B21" s="5" t="s">
        <v>208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75</v>
      </c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">
      <c r="A22" s="5" t="s">
        <v>12</v>
      </c>
      <c r="B22" s="5" t="s">
        <v>205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>
        <v>60.3</v>
      </c>
      <c r="T22" s="7"/>
      <c r="U22" s="7"/>
      <c r="V22" s="7"/>
      <c r="W22" s="7"/>
      <c r="X22" s="7"/>
      <c r="Y22" s="7"/>
      <c r="Z22" s="7"/>
      <c r="AA22" s="7">
        <v>51.3</v>
      </c>
      <c r="AB22" s="7"/>
      <c r="AC22" s="7"/>
      <c r="AD22" s="7"/>
      <c r="AE22" s="7"/>
    </row>
    <row r="23" spans="1:31" x14ac:dyDescent="0.2">
      <c r="A23" s="5" t="s">
        <v>41</v>
      </c>
      <c r="B23" s="5" t="s">
        <v>234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44.5</v>
      </c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">
      <c r="A24" s="5" t="s">
        <v>93</v>
      </c>
      <c r="B24" s="5" t="s">
        <v>286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>
        <v>77.8</v>
      </c>
      <c r="AD24" s="7"/>
      <c r="AE24" s="7"/>
    </row>
    <row r="25" spans="1:31" x14ac:dyDescent="0.2">
      <c r="A25" s="5" t="s">
        <v>36</v>
      </c>
      <c r="B25" s="5" t="s">
        <v>229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90.1</v>
      </c>
      <c r="W25" s="7"/>
      <c r="X25" s="7"/>
      <c r="Y25" s="7"/>
      <c r="Z25" s="7"/>
      <c r="AA25" s="7"/>
      <c r="AB25" s="7"/>
      <c r="AC25" s="7">
        <v>80.3</v>
      </c>
      <c r="AD25" s="7"/>
      <c r="AE25" s="7"/>
    </row>
    <row r="26" spans="1:31" x14ac:dyDescent="0.2">
      <c r="A26" s="5" t="s">
        <v>30</v>
      </c>
      <c r="B26" s="5" t="s">
        <v>223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66.7</v>
      </c>
      <c r="Y26" s="7"/>
      <c r="Z26" s="7"/>
      <c r="AA26" s="7"/>
      <c r="AB26" s="7"/>
      <c r="AC26" s="7"/>
      <c r="AD26" s="7"/>
      <c r="AE26" s="7"/>
    </row>
    <row r="27" spans="1:31" x14ac:dyDescent="0.2">
      <c r="A27" s="5" t="s">
        <v>167</v>
      </c>
      <c r="B27" s="5" t="s">
        <v>361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v>89.8</v>
      </c>
      <c r="W27" s="7"/>
      <c r="X27" s="7"/>
      <c r="Y27" s="7"/>
      <c r="Z27" s="7"/>
      <c r="AA27" s="7"/>
      <c r="AB27" s="7"/>
      <c r="AC27" s="7"/>
      <c r="AD27" s="7"/>
      <c r="AE27" s="7">
        <v>80</v>
      </c>
    </row>
    <row r="28" spans="1:31" x14ac:dyDescent="0.2">
      <c r="A28" s="5" t="s">
        <v>33</v>
      </c>
      <c r="B28" s="5" t="s">
        <v>226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>
        <v>49.6</v>
      </c>
      <c r="T28" s="7"/>
      <c r="U28" s="7"/>
      <c r="V28" s="7"/>
      <c r="W28" s="7">
        <v>55.8</v>
      </c>
      <c r="X28" s="7"/>
      <c r="Y28" s="7"/>
      <c r="Z28" s="7"/>
      <c r="AA28" s="7"/>
      <c r="AB28" s="7"/>
      <c r="AC28" s="7"/>
      <c r="AD28" s="7"/>
      <c r="AE28" s="7"/>
    </row>
    <row r="29" spans="1:31" x14ac:dyDescent="0.2">
      <c r="A29" s="5" t="s">
        <v>34</v>
      </c>
      <c r="B29" s="5" t="s">
        <v>227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>
        <v>57.7</v>
      </c>
      <c r="Z29" s="7"/>
      <c r="AA29" s="7"/>
      <c r="AB29" s="7"/>
      <c r="AC29" s="7"/>
      <c r="AD29" s="7"/>
      <c r="AE29" s="7"/>
    </row>
    <row r="30" spans="1:31" x14ac:dyDescent="0.2">
      <c r="A30" s="5" t="s">
        <v>39</v>
      </c>
      <c r="B30" s="5" t="s">
        <v>232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55.1</v>
      </c>
      <c r="T30" s="7"/>
      <c r="U30" s="7"/>
      <c r="V30" s="7"/>
      <c r="W30" s="7">
        <v>70.900000000000006</v>
      </c>
      <c r="X30" s="7"/>
      <c r="Y30" s="7"/>
      <c r="Z30" s="7"/>
      <c r="AA30" s="7"/>
      <c r="AB30" s="7"/>
      <c r="AC30" s="7"/>
      <c r="AD30" s="7">
        <v>66.099999999999994</v>
      </c>
      <c r="AE30" s="7"/>
    </row>
    <row r="31" spans="1:31" x14ac:dyDescent="0.2">
      <c r="A31" s="5" t="s">
        <v>37</v>
      </c>
      <c r="B31" s="5" t="s">
        <v>230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82.4</v>
      </c>
      <c r="T31" s="7"/>
      <c r="U31" s="7"/>
      <c r="V31" s="7"/>
      <c r="W31" s="7">
        <v>90</v>
      </c>
      <c r="X31" s="7"/>
      <c r="Y31" s="7"/>
      <c r="Z31" s="7">
        <v>78.400000000000006</v>
      </c>
      <c r="AA31" s="7"/>
      <c r="AB31" s="7"/>
      <c r="AC31" s="7"/>
      <c r="AD31" s="7"/>
      <c r="AE31" s="7"/>
    </row>
    <row r="32" spans="1:31" x14ac:dyDescent="0.2">
      <c r="A32" s="5" t="s">
        <v>38</v>
      </c>
      <c r="B32" s="5" t="s">
        <v>231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69.7</v>
      </c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">
      <c r="A33" s="5" t="s">
        <v>42</v>
      </c>
      <c r="B33" s="5" t="s">
        <v>235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v>70.400000000000006</v>
      </c>
      <c r="X33" s="7"/>
      <c r="Y33" s="7"/>
      <c r="Z33" s="7"/>
      <c r="AA33" s="7"/>
      <c r="AB33" s="7"/>
      <c r="AC33" s="7"/>
      <c r="AD33" s="7"/>
      <c r="AE33" s="7"/>
    </row>
    <row r="34" spans="1:31" x14ac:dyDescent="0.2">
      <c r="A34" s="5" t="s">
        <v>35</v>
      </c>
      <c r="B34" s="5" t="s">
        <v>228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v>73.599999999999994</v>
      </c>
      <c r="W34" s="7"/>
      <c r="X34" s="7"/>
      <c r="Y34" s="7"/>
      <c r="Z34" s="7"/>
      <c r="AA34" s="7"/>
      <c r="AB34" s="7"/>
      <c r="AC34" s="7">
        <v>75.599999999999994</v>
      </c>
      <c r="AD34" s="7"/>
      <c r="AE34" s="7"/>
    </row>
    <row r="35" spans="1:31" x14ac:dyDescent="0.2">
      <c r="A35" s="5" t="s">
        <v>76</v>
      </c>
      <c r="B35" s="5" t="s">
        <v>269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31.7</v>
      </c>
      <c r="U35" s="7"/>
      <c r="V35" s="7"/>
      <c r="W35" s="7"/>
      <c r="X35" s="7"/>
      <c r="Y35" s="7"/>
      <c r="Z35" s="7">
        <v>47</v>
      </c>
      <c r="AA35" s="7"/>
      <c r="AB35" s="7"/>
      <c r="AC35" s="7"/>
      <c r="AD35" s="7"/>
      <c r="AE35" s="7"/>
    </row>
    <row r="36" spans="1:31" x14ac:dyDescent="0.2">
      <c r="A36" s="5" t="s">
        <v>46</v>
      </c>
      <c r="B36" s="5" t="s">
        <v>239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>
        <v>42.9</v>
      </c>
      <c r="W36" s="7"/>
      <c r="X36" s="7"/>
      <c r="Y36" s="7"/>
      <c r="Z36" s="7">
        <v>35</v>
      </c>
      <c r="AA36" s="7"/>
      <c r="AB36" s="7"/>
      <c r="AC36" s="7"/>
      <c r="AD36" s="7"/>
      <c r="AE36" s="7"/>
    </row>
    <row r="37" spans="1:31" x14ac:dyDescent="0.2">
      <c r="A37" s="5" t="s">
        <v>48</v>
      </c>
      <c r="B37" s="5" t="s">
        <v>241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22.2</v>
      </c>
      <c r="AA37" s="7"/>
      <c r="AB37" s="7"/>
      <c r="AC37" s="7"/>
      <c r="AD37" s="7"/>
      <c r="AE37" s="7"/>
    </row>
    <row r="38" spans="1:31" x14ac:dyDescent="0.2">
      <c r="A38" s="5" t="s">
        <v>49</v>
      </c>
      <c r="B38" s="5" t="s">
        <v>242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v>10.7</v>
      </c>
      <c r="X38" s="7"/>
      <c r="Y38" s="7"/>
      <c r="Z38" s="7"/>
      <c r="AA38" s="7"/>
      <c r="AB38" s="7"/>
      <c r="AC38" s="7"/>
      <c r="AD38" s="7"/>
      <c r="AE38" s="7"/>
    </row>
    <row r="39" spans="1:31" x14ac:dyDescent="0.2">
      <c r="A39" s="5" t="s">
        <v>51</v>
      </c>
      <c r="B39" s="5" t="s">
        <v>244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>
        <v>75.8</v>
      </c>
      <c r="X39" s="7"/>
      <c r="Y39" s="7"/>
      <c r="Z39" s="7"/>
      <c r="AA39" s="7"/>
      <c r="AB39" s="7"/>
      <c r="AC39" s="7">
        <v>61.1</v>
      </c>
      <c r="AD39" s="7"/>
      <c r="AE39" s="7"/>
    </row>
    <row r="40" spans="1:31" x14ac:dyDescent="0.2">
      <c r="A40" s="5" t="s">
        <v>53</v>
      </c>
      <c r="B40" s="5" t="s">
        <v>246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>
        <v>65.400000000000006</v>
      </c>
      <c r="T40" s="7"/>
      <c r="U40" s="7"/>
      <c r="V40" s="7"/>
      <c r="W40" s="7">
        <v>65.7</v>
      </c>
      <c r="X40" s="7"/>
      <c r="Y40" s="7"/>
      <c r="Z40" s="7"/>
      <c r="AA40" s="7"/>
      <c r="AB40" s="7"/>
      <c r="AC40" s="7"/>
      <c r="AD40" s="7">
        <v>67.099999999999994</v>
      </c>
      <c r="AE40" s="7"/>
    </row>
    <row r="41" spans="1:31" x14ac:dyDescent="0.2">
      <c r="A41" s="5" t="s">
        <v>54</v>
      </c>
      <c r="B41" s="5" t="s">
        <v>247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47.9</v>
      </c>
      <c r="AA41" s="7"/>
      <c r="AB41" s="7"/>
      <c r="AC41" s="7">
        <v>43</v>
      </c>
      <c r="AD41" s="7"/>
      <c r="AE41" s="7"/>
    </row>
    <row r="42" spans="1:31" x14ac:dyDescent="0.2">
      <c r="A42" s="5" t="s">
        <v>155</v>
      </c>
      <c r="B42" s="5" t="s">
        <v>349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>
        <v>73.8</v>
      </c>
      <c r="T42" s="7"/>
      <c r="U42" s="7"/>
      <c r="V42" s="7"/>
      <c r="W42" s="7">
        <v>65.2</v>
      </c>
      <c r="X42" s="7"/>
      <c r="Y42" s="7"/>
      <c r="Z42" s="7"/>
      <c r="AA42" s="7"/>
      <c r="AB42" s="7"/>
      <c r="AC42" s="7">
        <v>67.7</v>
      </c>
      <c r="AD42" s="7"/>
      <c r="AE42" s="7"/>
    </row>
    <row r="43" spans="1:31" x14ac:dyDescent="0.2">
      <c r="A43" s="5" t="s">
        <v>55</v>
      </c>
      <c r="B43" s="5" t="s">
        <v>248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>
        <v>28.2</v>
      </c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">
      <c r="A44" s="5" t="s">
        <v>57</v>
      </c>
      <c r="B44" s="5" t="s">
        <v>250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>
        <v>26.3</v>
      </c>
      <c r="W44" s="7"/>
      <c r="X44" s="7"/>
      <c r="Y44" s="7"/>
      <c r="Z44" s="7">
        <v>32.1</v>
      </c>
      <c r="AA44" s="7"/>
      <c r="AB44" s="7"/>
      <c r="AC44" s="7"/>
      <c r="AD44" s="7"/>
      <c r="AE44" s="7"/>
    </row>
    <row r="45" spans="1:31" x14ac:dyDescent="0.2">
      <c r="A45" s="5" t="s">
        <v>163</v>
      </c>
      <c r="B45" s="5" t="s">
        <v>357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v>39.700000000000003</v>
      </c>
      <c r="T45" s="7"/>
      <c r="U45" s="7"/>
      <c r="V45" s="7"/>
      <c r="W45" s="7"/>
      <c r="X45" s="7"/>
      <c r="Y45" s="7"/>
      <c r="Z45" s="7"/>
      <c r="AA45" s="7"/>
      <c r="AB45" s="7"/>
      <c r="AC45" s="7">
        <v>73.5</v>
      </c>
      <c r="AD45" s="7"/>
      <c r="AE45" s="7"/>
    </row>
    <row r="46" spans="1:31" x14ac:dyDescent="0.2">
      <c r="A46" s="5" t="s">
        <v>58</v>
      </c>
      <c r="B46" s="5" t="s">
        <v>251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v>37.299999999999997</v>
      </c>
      <c r="Y46" s="7"/>
      <c r="Z46" s="7"/>
      <c r="AA46" s="7"/>
      <c r="AB46" s="7">
        <v>23.1</v>
      </c>
      <c r="AC46" s="7"/>
      <c r="AD46" s="7"/>
      <c r="AE46" s="7"/>
    </row>
    <row r="47" spans="1:31" x14ac:dyDescent="0.2">
      <c r="A47" s="5" t="s">
        <v>60</v>
      </c>
      <c r="B47" s="5" t="s">
        <v>253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39.6</v>
      </c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">
      <c r="A48" s="5" t="s">
        <v>63</v>
      </c>
      <c r="B48" s="5" t="s">
        <v>256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76</v>
      </c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2">
      <c r="A49" s="5" t="s">
        <v>68</v>
      </c>
      <c r="B49" s="5" t="s">
        <v>261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>
        <v>60.3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>
        <v>71.099999999999994</v>
      </c>
    </row>
    <row r="50" spans="1:31" x14ac:dyDescent="0.2">
      <c r="A50" s="5" t="s">
        <v>65</v>
      </c>
      <c r="B50" s="5" t="s">
        <v>258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>
        <v>52.2</v>
      </c>
      <c r="V50" s="7"/>
      <c r="W50" s="7"/>
      <c r="X50" s="7"/>
      <c r="Y50" s="7"/>
      <c r="Z50" s="7">
        <v>56.3</v>
      </c>
      <c r="AA50" s="7"/>
      <c r="AB50" s="7"/>
      <c r="AC50" s="7"/>
      <c r="AD50" s="7"/>
      <c r="AE50" s="7"/>
    </row>
    <row r="51" spans="1:31" x14ac:dyDescent="0.2">
      <c r="A51" s="5" t="s">
        <v>66</v>
      </c>
      <c r="B51" s="5" t="s">
        <v>259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69.099999999999994</v>
      </c>
      <c r="U51" s="7"/>
      <c r="V51" s="7"/>
      <c r="W51" s="7"/>
      <c r="X51" s="7"/>
      <c r="Y51" s="7"/>
      <c r="Z51" s="7">
        <v>69.400000000000006</v>
      </c>
      <c r="AA51" s="7"/>
      <c r="AB51" s="7"/>
      <c r="AC51" s="7"/>
      <c r="AD51" s="7"/>
      <c r="AE51" s="7"/>
    </row>
    <row r="52" spans="1:31" x14ac:dyDescent="0.2">
      <c r="A52" s="5" t="s">
        <v>71</v>
      </c>
      <c r="B52" s="5" t="s">
        <v>264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>
        <v>41.9</v>
      </c>
    </row>
    <row r="53" spans="1:31" x14ac:dyDescent="0.2">
      <c r="A53" s="5" t="s">
        <v>72</v>
      </c>
      <c r="B53" s="5" t="s">
        <v>265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72.5</v>
      </c>
      <c r="X53" s="7"/>
      <c r="Y53" s="7"/>
      <c r="Z53" s="7"/>
      <c r="AA53" s="7"/>
      <c r="AB53" s="7"/>
      <c r="AC53" s="7"/>
      <c r="AD53" s="7"/>
      <c r="AE53" s="7"/>
    </row>
    <row r="54" spans="1:31" x14ac:dyDescent="0.2">
      <c r="A54" s="5" t="s">
        <v>73</v>
      </c>
      <c r="B54" s="5" t="s">
        <v>266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>
        <v>65.8</v>
      </c>
      <c r="T54" s="7"/>
      <c r="U54" s="7"/>
      <c r="V54" s="7"/>
      <c r="W54" s="7">
        <v>69.8</v>
      </c>
      <c r="X54" s="7"/>
      <c r="Y54" s="7"/>
      <c r="Z54" s="7"/>
      <c r="AA54" s="7"/>
      <c r="AB54" s="7"/>
      <c r="AC54" s="7"/>
      <c r="AD54" s="7">
        <v>77.099999999999994</v>
      </c>
      <c r="AE54" s="7"/>
    </row>
    <row r="55" spans="1:31" x14ac:dyDescent="0.2">
      <c r="A55" s="5" t="s">
        <v>67</v>
      </c>
      <c r="B55" s="5" t="s">
        <v>260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>
        <v>62.8</v>
      </c>
      <c r="T55" s="7"/>
      <c r="U55" s="7"/>
      <c r="V55" s="7"/>
      <c r="W55" s="7"/>
      <c r="X55" s="7"/>
      <c r="Y55" s="7"/>
      <c r="Z55" s="7"/>
      <c r="AA55" s="7"/>
      <c r="AB55" s="7"/>
      <c r="AC55" s="7">
        <v>75.7</v>
      </c>
      <c r="AD55" s="7"/>
      <c r="AE55" s="7"/>
    </row>
    <row r="56" spans="1:31" x14ac:dyDescent="0.2">
      <c r="A56" s="5" t="s">
        <v>69</v>
      </c>
      <c r="B56" s="5" t="s">
        <v>262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53.7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2">
      <c r="A57" s="5" t="s">
        <v>74</v>
      </c>
      <c r="B57" s="5" t="s">
        <v>267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59.8</v>
      </c>
      <c r="X57" s="7"/>
      <c r="Y57" s="7"/>
      <c r="Z57" s="7"/>
      <c r="AA57" s="7"/>
      <c r="AB57" s="7"/>
      <c r="AC57" s="7"/>
      <c r="AD57" s="7"/>
      <c r="AE57" s="7"/>
    </row>
    <row r="58" spans="1:31" x14ac:dyDescent="0.2">
      <c r="A58" s="5" t="s">
        <v>75</v>
      </c>
      <c r="B58" s="5" t="s">
        <v>268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71</v>
      </c>
      <c r="T58" s="7"/>
      <c r="U58" s="7"/>
      <c r="V58" s="7"/>
      <c r="W58" s="7">
        <v>63.2</v>
      </c>
      <c r="X58" s="7"/>
      <c r="Y58" s="7"/>
      <c r="Z58" s="7"/>
      <c r="AA58" s="7"/>
      <c r="AB58" s="7"/>
      <c r="AC58" s="7">
        <v>72.5</v>
      </c>
      <c r="AD58" s="7"/>
      <c r="AE58" s="7"/>
    </row>
    <row r="59" spans="1:31" x14ac:dyDescent="0.2">
      <c r="A59" s="5" t="s">
        <v>78</v>
      </c>
      <c r="B59" s="5" t="s">
        <v>271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>
        <v>49</v>
      </c>
      <c r="W59" s="7"/>
      <c r="X59" s="7"/>
      <c r="Y59" s="7"/>
      <c r="Z59" s="7">
        <v>16.100000000000001</v>
      </c>
      <c r="AA59" s="7"/>
      <c r="AB59" s="7"/>
      <c r="AC59" s="7"/>
      <c r="AD59" s="7"/>
      <c r="AE59" s="7"/>
    </row>
    <row r="60" spans="1:31" x14ac:dyDescent="0.2">
      <c r="A60" s="5" t="s">
        <v>80</v>
      </c>
      <c r="B60" s="5" t="s">
        <v>273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>
        <v>50.1</v>
      </c>
      <c r="AB60" s="7"/>
      <c r="AC60" s="7"/>
      <c r="AD60" s="7"/>
      <c r="AE60" s="7"/>
    </row>
    <row r="61" spans="1:31" x14ac:dyDescent="0.2">
      <c r="A61" s="5" t="s">
        <v>79</v>
      </c>
      <c r="B61" s="5" t="s">
        <v>272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>
        <v>65.099999999999994</v>
      </c>
      <c r="W61" s="7"/>
      <c r="X61" s="7"/>
      <c r="Y61" s="7"/>
      <c r="Z61" s="7"/>
      <c r="AA61" s="7"/>
      <c r="AB61" s="7">
        <v>65</v>
      </c>
      <c r="AC61" s="7"/>
      <c r="AD61" s="7"/>
      <c r="AE61" s="7"/>
    </row>
    <row r="62" spans="1:31" x14ac:dyDescent="0.2">
      <c r="A62" s="5" t="s">
        <v>83</v>
      </c>
      <c r="B62" s="5" t="s">
        <v>276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>
        <v>49.3</v>
      </c>
      <c r="Y62" s="7"/>
      <c r="Z62" s="7"/>
      <c r="AA62" s="7"/>
      <c r="AB62" s="7"/>
      <c r="AC62" s="7"/>
      <c r="AD62" s="7"/>
      <c r="AE62" s="7"/>
    </row>
    <row r="63" spans="1:31" x14ac:dyDescent="0.2">
      <c r="A63" s="5" t="s">
        <v>85</v>
      </c>
      <c r="B63" s="5" t="s">
        <v>278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>
        <v>17.399999999999999</v>
      </c>
      <c r="AA63" s="7"/>
      <c r="AB63" s="7"/>
      <c r="AC63" s="7"/>
      <c r="AD63" s="7"/>
      <c r="AE63" s="7"/>
    </row>
    <row r="64" spans="1:31" x14ac:dyDescent="0.2">
      <c r="A64" s="5" t="s">
        <v>87</v>
      </c>
      <c r="B64" s="5" t="s">
        <v>280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>
        <v>66.400000000000006</v>
      </c>
      <c r="X64" s="7"/>
      <c r="Y64" s="7"/>
      <c r="Z64" s="7"/>
      <c r="AA64" s="7"/>
      <c r="AB64" s="7"/>
      <c r="AC64" s="7"/>
      <c r="AD64" s="7"/>
      <c r="AE64" s="7"/>
    </row>
    <row r="65" spans="1:31" x14ac:dyDescent="0.2">
      <c r="A65" s="5" t="s">
        <v>88</v>
      </c>
      <c r="B65" s="5" t="s">
        <v>281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>
        <v>20.6</v>
      </c>
      <c r="AA65" s="7"/>
      <c r="AB65" s="7"/>
      <c r="AC65" s="7"/>
      <c r="AD65" s="7"/>
      <c r="AE65" s="7"/>
    </row>
    <row r="66" spans="1:31" x14ac:dyDescent="0.2">
      <c r="A66" s="5" t="s">
        <v>90</v>
      </c>
      <c r="B66" s="5" t="s">
        <v>283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>
        <v>36.9</v>
      </c>
      <c r="W66" s="7"/>
      <c r="X66" s="7"/>
      <c r="Y66" s="7"/>
      <c r="Z66" s="7">
        <v>33.9</v>
      </c>
      <c r="AA66" s="7"/>
      <c r="AB66" s="7"/>
      <c r="AC66" s="7"/>
      <c r="AD66" s="7"/>
      <c r="AE66" s="7"/>
    </row>
    <row r="67" spans="1:31" x14ac:dyDescent="0.2">
      <c r="A67" s="5" t="s">
        <v>91</v>
      </c>
      <c r="B67" s="5" t="s">
        <v>284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>
        <v>59.3</v>
      </c>
      <c r="AA67" s="7"/>
      <c r="AB67" s="7"/>
      <c r="AC67" s="7"/>
      <c r="AD67" s="7"/>
      <c r="AE67" s="7">
        <v>68.8</v>
      </c>
    </row>
    <row r="68" spans="1:31" x14ac:dyDescent="0.2">
      <c r="A68" s="5" t="s">
        <v>188</v>
      </c>
      <c r="B68" s="5" t="s">
        <v>382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v>64.099999999999994</v>
      </c>
      <c r="W68" s="7"/>
      <c r="X68" s="7"/>
      <c r="Y68" s="7"/>
      <c r="Z68" s="7">
        <v>60.8</v>
      </c>
      <c r="AA68" s="7"/>
      <c r="AB68" s="7"/>
      <c r="AC68" s="7"/>
      <c r="AD68" s="7"/>
      <c r="AE68" s="7"/>
    </row>
    <row r="69" spans="1:31" x14ac:dyDescent="0.2">
      <c r="A69" s="5" t="s">
        <v>92</v>
      </c>
      <c r="B69" s="5" t="s">
        <v>285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>
        <v>67.5</v>
      </c>
      <c r="W69" s="7"/>
      <c r="X69" s="7"/>
      <c r="Y69" s="7"/>
      <c r="Z69" s="7">
        <v>44.5</v>
      </c>
      <c r="AA69" s="7"/>
      <c r="AB69" s="7"/>
      <c r="AC69" s="7"/>
      <c r="AD69" s="7"/>
      <c r="AE69" s="7"/>
    </row>
    <row r="70" spans="1:31" x14ac:dyDescent="0.2">
      <c r="A70" s="5" t="s">
        <v>98</v>
      </c>
      <c r="B70" s="5" t="s">
        <v>291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>
        <v>12.8</v>
      </c>
      <c r="W70" s="7"/>
      <c r="X70" s="7"/>
      <c r="Y70" s="7">
        <v>42.3</v>
      </c>
      <c r="Z70" s="7"/>
      <c r="AA70" s="7"/>
      <c r="AB70" s="7"/>
      <c r="AC70" s="7">
        <v>77.2</v>
      </c>
      <c r="AD70" s="7"/>
      <c r="AE70" s="7">
        <v>39.9</v>
      </c>
    </row>
    <row r="71" spans="1:31" x14ac:dyDescent="0.2">
      <c r="A71" s="5" t="s">
        <v>107</v>
      </c>
      <c r="B71" s="5" t="s">
        <v>300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41.7</v>
      </c>
      <c r="W71" s="7"/>
      <c r="X71" s="7"/>
      <c r="Y71" s="7"/>
      <c r="Z71" s="7">
        <v>27.1</v>
      </c>
      <c r="AA71" s="7"/>
      <c r="AB71" s="7"/>
      <c r="AC71" s="7"/>
      <c r="AD71" s="7"/>
      <c r="AE71" s="7"/>
    </row>
    <row r="72" spans="1:31" x14ac:dyDescent="0.2">
      <c r="A72" s="5" t="s">
        <v>99</v>
      </c>
      <c r="B72" s="5" t="s">
        <v>292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>
        <v>57.1</v>
      </c>
      <c r="AA72" s="7"/>
      <c r="AB72" s="7"/>
      <c r="AC72" s="7"/>
      <c r="AD72" s="7"/>
      <c r="AE72" s="7"/>
    </row>
    <row r="73" spans="1:31" x14ac:dyDescent="0.2">
      <c r="A73" s="5" t="s">
        <v>104</v>
      </c>
      <c r="B73" s="5" t="s">
        <v>297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59.6</v>
      </c>
      <c r="W73" s="7"/>
      <c r="X73" s="7"/>
      <c r="Y73" s="7"/>
      <c r="Z73" s="7"/>
      <c r="AA73" s="7"/>
      <c r="AB73" s="7"/>
      <c r="AC73" s="7">
        <v>68.099999999999994</v>
      </c>
      <c r="AD73" s="7"/>
      <c r="AE73" s="7"/>
    </row>
    <row r="74" spans="1:31" x14ac:dyDescent="0.2">
      <c r="A74" s="5" t="s">
        <v>100</v>
      </c>
      <c r="B74" s="5" t="s">
        <v>293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66.2</v>
      </c>
      <c r="W74" s="7"/>
      <c r="X74" s="7"/>
      <c r="Y74" s="7"/>
      <c r="Z74" s="7"/>
      <c r="AA74" s="7"/>
      <c r="AB74" s="7"/>
      <c r="AC74" s="7"/>
      <c r="AD74" s="7">
        <v>68.7</v>
      </c>
      <c r="AE74" s="7"/>
    </row>
    <row r="75" spans="1:31" x14ac:dyDescent="0.2">
      <c r="A75" s="5" t="s">
        <v>105</v>
      </c>
      <c r="B75" s="5" t="s">
        <v>298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50.1</v>
      </c>
      <c r="W75" s="7"/>
      <c r="X75" s="7"/>
      <c r="Y75" s="7"/>
      <c r="Z75" s="7">
        <v>55.8</v>
      </c>
      <c r="AA75" s="7"/>
      <c r="AB75" s="7"/>
      <c r="AC75" s="7"/>
      <c r="AD75" s="7"/>
      <c r="AE75" s="7"/>
    </row>
    <row r="76" spans="1:31" x14ac:dyDescent="0.2">
      <c r="A76" s="5" t="s">
        <v>110</v>
      </c>
      <c r="B76" s="5" t="s">
        <v>303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62.3</v>
      </c>
      <c r="W76" s="7"/>
      <c r="X76" s="7"/>
      <c r="Y76" s="7"/>
      <c r="Z76" s="7">
        <v>71.7</v>
      </c>
      <c r="AA76" s="7"/>
      <c r="AB76" s="7"/>
      <c r="AC76" s="7"/>
      <c r="AD76" s="7"/>
      <c r="AE76" s="7"/>
    </row>
    <row r="77" spans="1:31" x14ac:dyDescent="0.2">
      <c r="A77" s="5" t="s">
        <v>122</v>
      </c>
      <c r="B77" s="5" t="s">
        <v>316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>
        <v>77.8</v>
      </c>
      <c r="W77" s="7"/>
      <c r="X77" s="7"/>
      <c r="Y77" s="7"/>
      <c r="Z77" s="7"/>
      <c r="AA77" s="7">
        <v>71.7</v>
      </c>
      <c r="AB77" s="7"/>
      <c r="AC77" s="7"/>
      <c r="AD77" s="7"/>
      <c r="AE77" s="7"/>
    </row>
    <row r="78" spans="1:31" x14ac:dyDescent="0.2">
      <c r="A78" s="5" t="s">
        <v>123</v>
      </c>
      <c r="B78" s="5" t="s">
        <v>317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>
        <v>39.799999999999997</v>
      </c>
      <c r="AC78" s="7"/>
      <c r="AD78" s="7"/>
      <c r="AE78" s="7"/>
    </row>
    <row r="79" spans="1:31" x14ac:dyDescent="0.2">
      <c r="A79" s="5" t="s">
        <v>114</v>
      </c>
      <c r="B79" s="5" t="s">
        <v>308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72.8</v>
      </c>
      <c r="U79" s="7"/>
      <c r="V79" s="7"/>
      <c r="W79" s="7">
        <v>75.400000000000006</v>
      </c>
      <c r="X79" s="7"/>
      <c r="Y79" s="7"/>
      <c r="Z79" s="7"/>
      <c r="AA79" s="7"/>
      <c r="AB79" s="7"/>
      <c r="AC79" s="7">
        <v>79.5</v>
      </c>
      <c r="AD79" s="7"/>
      <c r="AE79" s="7"/>
    </row>
    <row r="80" spans="1:31" x14ac:dyDescent="0.2">
      <c r="A80" s="5" t="s">
        <v>120</v>
      </c>
      <c r="B80" s="5" t="s">
        <v>314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>
        <v>65.2</v>
      </c>
      <c r="T80" s="7"/>
      <c r="U80" s="7"/>
      <c r="V80" s="7"/>
      <c r="W80" s="7"/>
      <c r="X80" s="7"/>
      <c r="Y80" s="7"/>
      <c r="Z80" s="7"/>
      <c r="AA80" s="7">
        <v>78.5</v>
      </c>
      <c r="AB80" s="7"/>
      <c r="AC80" s="7"/>
      <c r="AD80" s="7"/>
      <c r="AE80" s="7"/>
    </row>
    <row r="81" spans="1:31" x14ac:dyDescent="0.2">
      <c r="A81" s="5" t="s">
        <v>121</v>
      </c>
      <c r="B81" s="5" t="s">
        <v>315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51</v>
      </c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2">
      <c r="A82" s="5" t="s">
        <v>112</v>
      </c>
      <c r="B82" s="5" t="s">
        <v>305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>
        <v>69.7</v>
      </c>
      <c r="T82" s="7"/>
      <c r="U82" s="7"/>
      <c r="V82" s="7"/>
      <c r="W82" s="7">
        <v>70.3</v>
      </c>
      <c r="X82" s="7"/>
      <c r="Y82" s="7"/>
      <c r="Z82" s="7"/>
      <c r="AA82" s="7"/>
      <c r="AB82" s="7"/>
      <c r="AC82" s="7"/>
      <c r="AD82" s="7"/>
      <c r="AE82" s="7"/>
    </row>
    <row r="83" spans="1:31" x14ac:dyDescent="0.2">
      <c r="A83" s="5" t="s">
        <v>62</v>
      </c>
      <c r="B83" s="5" t="s">
        <v>255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41.1</v>
      </c>
      <c r="W83" s="7"/>
      <c r="X83" s="7"/>
      <c r="Y83" s="7"/>
      <c r="Z83" s="7"/>
      <c r="AA83" s="7"/>
      <c r="AB83" s="7"/>
      <c r="AC83" s="7"/>
      <c r="AD83" s="7"/>
      <c r="AE83" s="7"/>
    </row>
    <row r="84" spans="1:31" x14ac:dyDescent="0.2">
      <c r="A84" s="5" t="s">
        <v>109</v>
      </c>
      <c r="B84" s="5" t="s">
        <v>302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46.5</v>
      </c>
      <c r="W84" s="7"/>
      <c r="X84" s="7"/>
      <c r="Y84" s="7"/>
      <c r="Z84" s="7">
        <v>30.9</v>
      </c>
      <c r="AA84" s="7"/>
      <c r="AB84" s="7"/>
      <c r="AC84" s="7"/>
      <c r="AD84" s="7"/>
      <c r="AE84" s="7"/>
    </row>
    <row r="85" spans="1:31" x14ac:dyDescent="0.2">
      <c r="A85" s="5" t="s">
        <v>118</v>
      </c>
      <c r="B85" s="5" t="s">
        <v>312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>
        <v>43</v>
      </c>
      <c r="W85" s="7"/>
      <c r="X85" s="7"/>
      <c r="Y85" s="7"/>
      <c r="Z85" s="7">
        <v>40.9</v>
      </c>
      <c r="AA85" s="7"/>
      <c r="AB85" s="7"/>
      <c r="AC85" s="7"/>
      <c r="AD85" s="7"/>
      <c r="AE85" s="7"/>
    </row>
    <row r="86" spans="1:31" x14ac:dyDescent="0.2">
      <c r="A86" s="5" t="s">
        <v>117</v>
      </c>
      <c r="B86" s="5" t="s">
        <v>311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>
        <v>27.3</v>
      </c>
      <c r="W86" s="7"/>
      <c r="X86" s="7"/>
      <c r="Y86" s="7"/>
      <c r="Z86" s="7">
        <v>54.7</v>
      </c>
      <c r="AA86" s="7"/>
      <c r="AB86" s="7"/>
      <c r="AC86" s="7"/>
      <c r="AD86" s="7"/>
      <c r="AE86" s="7"/>
    </row>
    <row r="87" spans="1:31" x14ac:dyDescent="0.2">
      <c r="A87" s="5" t="s">
        <v>108</v>
      </c>
      <c r="B87" s="5" t="s">
        <v>301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>
        <v>47.3</v>
      </c>
      <c r="AA87" s="7"/>
      <c r="AB87" s="7"/>
      <c r="AC87" s="7"/>
      <c r="AD87" s="7"/>
      <c r="AE87" s="7"/>
    </row>
    <row r="88" spans="1:31" x14ac:dyDescent="0.2">
      <c r="A88" s="5" t="s">
        <v>119</v>
      </c>
      <c r="B88" s="5" t="s">
        <v>313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75.400000000000006</v>
      </c>
      <c r="U88" s="7"/>
      <c r="V88" s="7"/>
      <c r="W88" s="7"/>
      <c r="X88" s="7"/>
      <c r="Y88" s="7"/>
      <c r="Z88" s="7"/>
      <c r="AA88" s="7"/>
      <c r="AB88" s="7"/>
      <c r="AC88" s="7"/>
      <c r="AD88" s="7"/>
      <c r="AE88" s="7">
        <v>58</v>
      </c>
    </row>
    <row r="89" spans="1:31" x14ac:dyDescent="0.2">
      <c r="A89" s="5" t="s">
        <v>116</v>
      </c>
      <c r="B89" s="5" t="s">
        <v>310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>
        <v>31.2</v>
      </c>
      <c r="AB89" s="7"/>
      <c r="AC89" s="7">
        <v>31.5</v>
      </c>
      <c r="AD89" s="7"/>
      <c r="AE89" s="7"/>
    </row>
    <row r="90" spans="1:31" x14ac:dyDescent="0.2">
      <c r="A90" s="5" t="s">
        <v>124</v>
      </c>
      <c r="B90" s="5" t="s">
        <v>318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33.1</v>
      </c>
      <c r="T90" s="7"/>
      <c r="U90" s="7"/>
      <c r="V90" s="7"/>
      <c r="W90" s="7"/>
      <c r="X90" s="7"/>
      <c r="Y90" s="7"/>
      <c r="Z90" s="7"/>
      <c r="AA90" s="7">
        <v>41.7</v>
      </c>
      <c r="AB90" s="7"/>
      <c r="AC90" s="7"/>
      <c r="AD90" s="7"/>
      <c r="AE90" s="7"/>
    </row>
    <row r="91" spans="1:31" x14ac:dyDescent="0.2">
      <c r="A91" s="5" t="s">
        <v>131</v>
      </c>
      <c r="B91" s="5" t="s">
        <v>325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>
        <v>49.4</v>
      </c>
      <c r="W91" s="7"/>
      <c r="X91" s="7"/>
      <c r="Y91" s="7"/>
      <c r="Z91" s="7">
        <v>55.7</v>
      </c>
      <c r="AA91" s="7"/>
      <c r="AB91" s="7"/>
      <c r="AC91" s="7"/>
      <c r="AD91" s="7"/>
      <c r="AE91" s="7"/>
    </row>
    <row r="92" spans="1:31" x14ac:dyDescent="0.2">
      <c r="A92" s="5" t="s">
        <v>128</v>
      </c>
      <c r="B92" s="5" t="s">
        <v>322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>
        <v>73.400000000000006</v>
      </c>
      <c r="T92" s="7"/>
      <c r="U92" s="7"/>
      <c r="V92" s="7"/>
      <c r="W92" s="7">
        <v>62.6</v>
      </c>
      <c r="X92" s="7"/>
      <c r="Y92" s="7"/>
      <c r="Z92" s="7"/>
      <c r="AA92" s="7"/>
      <c r="AB92" s="7"/>
      <c r="AC92" s="7">
        <v>72.900000000000006</v>
      </c>
      <c r="AD92" s="7"/>
      <c r="AE92" s="7"/>
    </row>
    <row r="93" spans="1:31" x14ac:dyDescent="0.2">
      <c r="A93" s="5" t="s">
        <v>126</v>
      </c>
      <c r="B93" s="5" t="s">
        <v>320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>
        <v>86</v>
      </c>
      <c r="W93" s="7"/>
      <c r="X93" s="7"/>
      <c r="Y93" s="7"/>
      <c r="Z93" s="7"/>
      <c r="AA93" s="7"/>
      <c r="AB93" s="7"/>
      <c r="AC93" s="7"/>
      <c r="AD93" s="7">
        <v>85.1</v>
      </c>
      <c r="AE93" s="7"/>
    </row>
    <row r="94" spans="1:31" x14ac:dyDescent="0.2">
      <c r="A94" s="5" t="s">
        <v>127</v>
      </c>
      <c r="B94" s="5" t="s">
        <v>321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60.1</v>
      </c>
      <c r="U94" s="7"/>
      <c r="V94" s="7"/>
      <c r="W94" s="7"/>
      <c r="X94" s="7"/>
      <c r="Y94" s="7"/>
      <c r="Z94" s="7"/>
      <c r="AA94" s="7">
        <v>46.2</v>
      </c>
      <c r="AB94" s="7"/>
      <c r="AC94" s="7"/>
      <c r="AD94" s="7"/>
      <c r="AE94" s="7"/>
    </row>
    <row r="95" spans="1:31" x14ac:dyDescent="0.2">
      <c r="A95" s="5" t="s">
        <v>408</v>
      </c>
      <c r="B95" s="5" t="s">
        <v>307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>
        <v>73.900000000000006</v>
      </c>
      <c r="W95" s="7"/>
      <c r="X95" s="7"/>
      <c r="Y95" s="7"/>
      <c r="Z95" s="7">
        <v>58.7</v>
      </c>
      <c r="AA95" s="7"/>
      <c r="AB95" s="7"/>
      <c r="AC95" s="7"/>
      <c r="AD95" s="7"/>
      <c r="AE95" s="7"/>
    </row>
    <row r="96" spans="1:31" x14ac:dyDescent="0.2">
      <c r="A96" s="5" t="s">
        <v>134</v>
      </c>
      <c r="B96" s="5" t="s">
        <v>328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12.5</v>
      </c>
      <c r="U96" s="7"/>
      <c r="V96" s="7"/>
      <c r="W96" s="7"/>
      <c r="X96" s="7"/>
      <c r="Y96" s="7"/>
      <c r="Z96" s="7">
        <v>46.5</v>
      </c>
      <c r="AA96" s="7"/>
      <c r="AB96" s="7"/>
      <c r="AC96" s="7"/>
      <c r="AD96" s="7"/>
      <c r="AE96" s="7"/>
    </row>
    <row r="97" spans="1:31" x14ac:dyDescent="0.2">
      <c r="A97" s="5" t="s">
        <v>135</v>
      </c>
      <c r="B97" s="5" t="s">
        <v>329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>
        <v>40.1</v>
      </c>
      <c r="T97" s="7"/>
      <c r="U97" s="7"/>
      <c r="V97" s="7"/>
      <c r="W97" s="7">
        <v>51.4</v>
      </c>
      <c r="X97" s="7"/>
      <c r="Y97" s="7"/>
      <c r="Z97" s="7"/>
      <c r="AA97" s="7"/>
      <c r="AB97" s="7"/>
      <c r="AC97" s="7"/>
      <c r="AD97" s="7"/>
      <c r="AE97" s="7"/>
    </row>
    <row r="98" spans="1:31" x14ac:dyDescent="0.2">
      <c r="A98" s="5" t="s">
        <v>138</v>
      </c>
      <c r="B98" s="5" t="s">
        <v>332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>
        <v>72.3</v>
      </c>
      <c r="AC98" s="7"/>
      <c r="AD98" s="7"/>
      <c r="AE98" s="7"/>
    </row>
    <row r="99" spans="1:31" x14ac:dyDescent="0.2">
      <c r="A99" s="5" t="s">
        <v>142</v>
      </c>
      <c r="B99" s="5" t="s">
        <v>336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>
        <v>76.7</v>
      </c>
      <c r="T99" s="7"/>
      <c r="U99" s="7"/>
      <c r="V99" s="7"/>
      <c r="W99" s="7">
        <v>75.3</v>
      </c>
      <c r="X99" s="7"/>
      <c r="Y99" s="7"/>
      <c r="Z99" s="7"/>
      <c r="AA99" s="7"/>
      <c r="AB99" s="7"/>
      <c r="AC99" s="7"/>
      <c r="AD99" s="7">
        <v>72.3</v>
      </c>
      <c r="AE99" s="7"/>
    </row>
    <row r="100" spans="1:31" x14ac:dyDescent="0.2">
      <c r="A100" s="5" t="s">
        <v>136</v>
      </c>
      <c r="B100" s="5" t="s">
        <v>330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64.099999999999994</v>
      </c>
      <c r="T100" s="7"/>
      <c r="U100" s="7"/>
      <c r="V100" s="7"/>
      <c r="W100" s="7">
        <v>68.599999999999994</v>
      </c>
      <c r="X100" s="7"/>
      <c r="Y100" s="7"/>
      <c r="Z100" s="7"/>
      <c r="AA100" s="7"/>
      <c r="AB100" s="7"/>
      <c r="AC100" s="7"/>
      <c r="AD100" s="7">
        <v>75.900000000000006</v>
      </c>
      <c r="AE100" s="7"/>
    </row>
    <row r="101" spans="1:31" x14ac:dyDescent="0.2">
      <c r="A101" s="5" t="s">
        <v>137</v>
      </c>
      <c r="B101" s="5" t="s">
        <v>331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v>37.5</v>
      </c>
      <c r="W101" s="7"/>
      <c r="X101" s="7"/>
      <c r="Y101" s="7"/>
      <c r="Z101" s="7"/>
      <c r="AA101" s="7"/>
      <c r="AB101" s="7">
        <v>30.9</v>
      </c>
      <c r="AC101" s="7"/>
      <c r="AD101" s="7"/>
      <c r="AE101" s="7"/>
    </row>
    <row r="102" spans="1:31" x14ac:dyDescent="0.2">
      <c r="A102" s="5" t="s">
        <v>139</v>
      </c>
      <c r="B102" s="5" t="s">
        <v>333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32.700000000000003</v>
      </c>
      <c r="W102" s="7"/>
      <c r="X102" s="7"/>
      <c r="Y102" s="7"/>
      <c r="Z102" s="7">
        <v>28.6</v>
      </c>
      <c r="AA102" s="7"/>
      <c r="AB102" s="7"/>
      <c r="AC102" s="7"/>
      <c r="AD102" s="7"/>
      <c r="AE102" s="7"/>
    </row>
    <row r="103" spans="1:31" x14ac:dyDescent="0.2">
      <c r="A103" s="5" t="s">
        <v>146</v>
      </c>
      <c r="B103" s="5" t="s">
        <v>340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35.1</v>
      </c>
      <c r="W103" s="7"/>
      <c r="X103" s="7"/>
      <c r="Y103" s="7"/>
      <c r="Z103" s="7">
        <v>34.6</v>
      </c>
      <c r="AA103" s="7"/>
      <c r="AB103" s="7"/>
      <c r="AC103" s="7"/>
      <c r="AD103" s="7"/>
      <c r="AE103" s="7"/>
    </row>
    <row r="104" spans="1:31" x14ac:dyDescent="0.2">
      <c r="A104" s="5" t="s">
        <v>147</v>
      </c>
      <c r="B104" s="5" t="s">
        <v>341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32.200000000000003</v>
      </c>
      <c r="W104" s="7"/>
      <c r="X104" s="7"/>
      <c r="Y104" s="7">
        <v>30.2</v>
      </c>
      <c r="Z104" s="7"/>
      <c r="AA104" s="7"/>
      <c r="AB104" s="7"/>
      <c r="AC104" s="7"/>
      <c r="AD104" s="7"/>
      <c r="AE104" s="7"/>
    </row>
    <row r="105" spans="1:31" x14ac:dyDescent="0.2">
      <c r="A105" s="5" t="s">
        <v>148</v>
      </c>
      <c r="B105" s="5" t="s">
        <v>342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>
        <v>47.1</v>
      </c>
      <c r="T105" s="7"/>
      <c r="U105" s="7"/>
      <c r="V105" s="7"/>
      <c r="W105" s="7"/>
      <c r="X105" s="7">
        <v>56.7</v>
      </c>
      <c r="Y105" s="7"/>
      <c r="Z105" s="7"/>
      <c r="AA105" s="7"/>
      <c r="AB105" s="7"/>
      <c r="AC105" s="7"/>
      <c r="AD105" s="7"/>
      <c r="AE105" s="7"/>
    </row>
    <row r="106" spans="1:31" x14ac:dyDescent="0.2">
      <c r="A106" s="5" t="s">
        <v>95</v>
      </c>
      <c r="B106" s="5" t="s">
        <v>288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>
        <v>65.400000000000006</v>
      </c>
      <c r="X106" s="7"/>
      <c r="Y106" s="7"/>
      <c r="Z106" s="7"/>
      <c r="AA106" s="7"/>
      <c r="AB106" s="7"/>
      <c r="AC106" s="7"/>
      <c r="AD106" s="7"/>
      <c r="AE106" s="7"/>
    </row>
    <row r="107" spans="1:31" x14ac:dyDescent="0.2">
      <c r="A107" s="5" t="s">
        <v>187</v>
      </c>
      <c r="B107" s="5" t="s">
        <v>381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>
        <v>63.6</v>
      </c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x14ac:dyDescent="0.2">
      <c r="A108" s="5" t="s">
        <v>151</v>
      </c>
      <c r="B108" s="5" t="s">
        <v>345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74.099999999999994</v>
      </c>
      <c r="U108" s="7"/>
      <c r="V108" s="7"/>
      <c r="W108" s="7"/>
      <c r="X108" s="7"/>
      <c r="Y108" s="7"/>
      <c r="Z108" s="7"/>
      <c r="AA108" s="7">
        <v>76.400000000000006</v>
      </c>
      <c r="AB108" s="7"/>
      <c r="AC108" s="7"/>
      <c r="AD108" s="7"/>
      <c r="AE108" s="7"/>
    </row>
    <row r="109" spans="1:31" x14ac:dyDescent="0.2">
      <c r="A109" s="5" t="s">
        <v>156</v>
      </c>
      <c r="B109" s="5" t="s">
        <v>350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>
        <v>53.6</v>
      </c>
      <c r="W109" s="7"/>
      <c r="X109" s="7"/>
      <c r="Y109" s="7"/>
      <c r="Z109" s="7">
        <v>47</v>
      </c>
      <c r="AA109" s="7"/>
      <c r="AB109" s="7"/>
      <c r="AC109" s="7"/>
      <c r="AD109" s="7"/>
      <c r="AE109" s="7"/>
    </row>
    <row r="110" spans="1:31" x14ac:dyDescent="0.2">
      <c r="A110" s="5" t="s">
        <v>154</v>
      </c>
      <c r="B110" s="5" t="s">
        <v>348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80.3</v>
      </c>
      <c r="W110" s="7"/>
      <c r="X110" s="7"/>
      <c r="Y110" s="7"/>
      <c r="Z110" s="7"/>
      <c r="AA110" s="7"/>
      <c r="AB110" s="7"/>
      <c r="AC110" s="7"/>
      <c r="AD110" s="7">
        <v>62.5</v>
      </c>
      <c r="AE110" s="7"/>
    </row>
    <row r="111" spans="1:31" x14ac:dyDescent="0.2">
      <c r="A111" s="5" t="s">
        <v>160</v>
      </c>
      <c r="B111" s="5" t="s">
        <v>354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40.299999999999997</v>
      </c>
      <c r="W111" s="7"/>
      <c r="X111" s="7"/>
      <c r="Y111" s="7"/>
      <c r="Z111" s="7">
        <v>42.8</v>
      </c>
      <c r="AA111" s="7"/>
      <c r="AB111" s="7"/>
      <c r="AC111" s="7"/>
      <c r="AD111" s="7"/>
      <c r="AE111" s="7"/>
    </row>
    <row r="112" spans="1:31" x14ac:dyDescent="0.2">
      <c r="A112" s="5" t="s">
        <v>161</v>
      </c>
      <c r="B112" s="5" t="s">
        <v>355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27.4</v>
      </c>
      <c r="W112" s="7"/>
      <c r="X112" s="7"/>
      <c r="Y112" s="7"/>
      <c r="Z112" s="7">
        <v>26.8</v>
      </c>
      <c r="AA112" s="7"/>
      <c r="AB112" s="7"/>
      <c r="AC112" s="7"/>
      <c r="AD112" s="7"/>
      <c r="AE112" s="7"/>
    </row>
    <row r="113" spans="1:31" x14ac:dyDescent="0.2">
      <c r="A113" s="5" t="s">
        <v>153</v>
      </c>
      <c r="B113" s="5" t="s">
        <v>347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>
        <v>59.7</v>
      </c>
      <c r="AC113" s="7"/>
      <c r="AD113" s="7"/>
      <c r="AE113" s="7"/>
    </row>
    <row r="114" spans="1:31" x14ac:dyDescent="0.2">
      <c r="A114" s="5" t="s">
        <v>190</v>
      </c>
      <c r="B114" s="5" t="s">
        <v>384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45.3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x14ac:dyDescent="0.2">
      <c r="A115" s="5" t="s">
        <v>157</v>
      </c>
      <c r="B115" s="5" t="s">
        <v>351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>
        <v>69.8</v>
      </c>
      <c r="AB115" s="7"/>
      <c r="AC115" s="7"/>
      <c r="AD115" s="7"/>
      <c r="AE115" s="7"/>
    </row>
    <row r="116" spans="1:31" x14ac:dyDescent="0.2">
      <c r="A116" s="5" t="s">
        <v>103</v>
      </c>
      <c r="B116" s="5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>
        <v>47.4</v>
      </c>
      <c r="Y116" s="7"/>
      <c r="Z116" s="7"/>
      <c r="AA116" s="7"/>
      <c r="AB116" s="7"/>
      <c r="AC116" s="7"/>
      <c r="AD116" s="7"/>
      <c r="AE116" s="7"/>
    </row>
    <row r="117" spans="1:31" x14ac:dyDescent="0.2">
      <c r="A117" s="5" t="s">
        <v>102</v>
      </c>
      <c r="B117" s="5" t="s">
        <v>295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v>18.2</v>
      </c>
      <c r="X117" s="7"/>
      <c r="Y117" s="7"/>
      <c r="Z117" s="7"/>
      <c r="AA117" s="7"/>
      <c r="AB117" s="7"/>
      <c r="AC117" s="7"/>
      <c r="AD117" s="7"/>
      <c r="AE117" s="7"/>
    </row>
    <row r="118" spans="1:31" x14ac:dyDescent="0.2">
      <c r="A118" s="5" t="s">
        <v>183</v>
      </c>
      <c r="B118" s="5" t="s">
        <v>377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>
        <v>65</v>
      </c>
      <c r="X118" s="7"/>
      <c r="Y118" s="7"/>
      <c r="Z118" s="7"/>
      <c r="AA118" s="7"/>
      <c r="AB118" s="7"/>
      <c r="AC118" s="7"/>
      <c r="AD118" s="7"/>
      <c r="AE118" s="7"/>
    </row>
    <row r="119" spans="1:31" x14ac:dyDescent="0.2">
      <c r="A119" s="5" t="s">
        <v>150</v>
      </c>
      <c r="B119" s="5" t="s">
        <v>344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>
        <v>90.5</v>
      </c>
      <c r="AB119" s="7"/>
      <c r="AC119" s="7"/>
      <c r="AD119" s="7"/>
      <c r="AE119" s="7"/>
    </row>
    <row r="120" spans="1:31" x14ac:dyDescent="0.2">
      <c r="A120" s="5" t="s">
        <v>159</v>
      </c>
      <c r="B120" s="5" t="s">
        <v>353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>
        <v>85.3</v>
      </c>
      <c r="X120" s="7"/>
      <c r="Y120" s="7"/>
      <c r="Z120" s="7"/>
      <c r="AA120" s="7"/>
      <c r="AB120" s="7"/>
      <c r="AC120" s="7"/>
      <c r="AD120" s="7"/>
      <c r="AE120" s="7">
        <v>54.6</v>
      </c>
    </row>
    <row r="121" spans="1:31" x14ac:dyDescent="0.2">
      <c r="A121" s="5" t="s">
        <v>162</v>
      </c>
      <c r="B121" s="5" t="s">
        <v>356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>
        <v>29.7</v>
      </c>
      <c r="AB121" s="7"/>
      <c r="AC121" s="7"/>
      <c r="AD121" s="7"/>
      <c r="AE121" s="7"/>
    </row>
    <row r="122" spans="1:31" x14ac:dyDescent="0.2">
      <c r="A122" s="5" t="s">
        <v>170</v>
      </c>
      <c r="B122" s="5" t="s">
        <v>364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>
        <v>35.299999999999997</v>
      </c>
      <c r="V122" s="7"/>
      <c r="W122" s="7"/>
      <c r="X122" s="7"/>
      <c r="Y122" s="7"/>
      <c r="Z122" s="7">
        <v>34.799999999999997</v>
      </c>
      <c r="AA122" s="7"/>
      <c r="AB122" s="7"/>
      <c r="AC122" s="7"/>
      <c r="AD122" s="7"/>
      <c r="AE122" s="7"/>
    </row>
    <row r="123" spans="1:31" x14ac:dyDescent="0.2">
      <c r="A123" s="5" t="s">
        <v>177</v>
      </c>
      <c r="B123" s="5" t="s">
        <v>371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>
        <v>66.900000000000006</v>
      </c>
      <c r="T123" s="7"/>
      <c r="U123" s="7"/>
      <c r="V123" s="7"/>
      <c r="W123" s="7"/>
      <c r="X123" s="7"/>
      <c r="Y123" s="7"/>
      <c r="Z123" s="7">
        <v>72.599999999999994</v>
      </c>
      <c r="AA123" s="7"/>
      <c r="AB123" s="7"/>
      <c r="AC123" s="7"/>
      <c r="AD123" s="7"/>
      <c r="AE123" s="7"/>
    </row>
    <row r="124" spans="1:31" x14ac:dyDescent="0.2">
      <c r="A124" s="5" t="s">
        <v>169</v>
      </c>
      <c r="B124" s="5" t="s">
        <v>363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>
        <v>25.1</v>
      </c>
      <c r="AD124" s="7"/>
      <c r="AE124" s="7"/>
    </row>
    <row r="125" spans="1:31" x14ac:dyDescent="0.2">
      <c r="A125" s="5" t="s">
        <v>171</v>
      </c>
      <c r="B125" s="5" t="s">
        <v>365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>
        <v>66.400000000000006</v>
      </c>
      <c r="W125" s="7"/>
      <c r="X125" s="7"/>
      <c r="Y125" s="7"/>
      <c r="Z125" s="7"/>
      <c r="AA125" s="7"/>
      <c r="AB125" s="7">
        <v>56.8</v>
      </c>
      <c r="AC125" s="7"/>
      <c r="AD125" s="7"/>
      <c r="AE125" s="7"/>
    </row>
    <row r="126" spans="1:31" x14ac:dyDescent="0.2">
      <c r="A126" s="5" t="s">
        <v>168</v>
      </c>
      <c r="B126" s="5" t="s">
        <v>362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>
        <v>80.5</v>
      </c>
      <c r="W126" s="7"/>
      <c r="X126" s="7"/>
      <c r="Y126" s="7"/>
      <c r="Z126" s="7"/>
      <c r="AA126" s="7"/>
      <c r="AB126" s="7"/>
      <c r="AC126" s="7">
        <v>68.7</v>
      </c>
      <c r="AD126" s="7"/>
      <c r="AE126" s="7"/>
    </row>
    <row r="127" spans="1:31" x14ac:dyDescent="0.2">
      <c r="A127" s="5" t="s">
        <v>172</v>
      </c>
      <c r="B127" s="5" t="s">
        <v>366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>
        <v>86.8</v>
      </c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x14ac:dyDescent="0.2">
      <c r="A128" s="5" t="s">
        <v>173</v>
      </c>
      <c r="B128" s="5" t="s">
        <v>367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>
        <v>69.2</v>
      </c>
      <c r="X128" s="7"/>
      <c r="Y128" s="7"/>
      <c r="Z128" s="7"/>
      <c r="AA128" s="7"/>
      <c r="AB128" s="7"/>
      <c r="AC128" s="7"/>
      <c r="AD128" s="7"/>
      <c r="AE128" s="7"/>
    </row>
    <row r="129" spans="1:31" x14ac:dyDescent="0.2">
      <c r="A129" s="5" t="s">
        <v>174</v>
      </c>
      <c r="B129" s="5" t="s">
        <v>368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>
        <v>45.2</v>
      </c>
      <c r="AA129" s="7"/>
      <c r="AB129" s="7"/>
      <c r="AC129" s="7"/>
      <c r="AD129" s="7"/>
      <c r="AE129" s="7"/>
    </row>
    <row r="130" spans="1:31" x14ac:dyDescent="0.2">
      <c r="A130" s="5" t="s">
        <v>175</v>
      </c>
      <c r="B130" s="5" t="s">
        <v>369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>
        <v>52.4</v>
      </c>
      <c r="V130" s="7"/>
      <c r="W130" s="7"/>
      <c r="X130" s="7"/>
      <c r="Y130" s="7"/>
      <c r="Z130" s="7">
        <v>40.299999999999997</v>
      </c>
      <c r="AA130" s="7"/>
      <c r="AB130" s="7"/>
      <c r="AC130" s="7"/>
      <c r="AD130" s="7"/>
      <c r="AE130" s="7"/>
    </row>
    <row r="131" spans="1:31" x14ac:dyDescent="0.2">
      <c r="A131" s="5" t="s">
        <v>178</v>
      </c>
      <c r="B131" s="5" t="s">
        <v>372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>
        <v>73.099999999999994</v>
      </c>
      <c r="T131" s="7"/>
      <c r="U131" s="7"/>
      <c r="V131" s="7"/>
      <c r="W131" s="7"/>
      <c r="X131" s="7"/>
      <c r="Y131" s="7"/>
      <c r="Z131" s="7">
        <v>95.2</v>
      </c>
      <c r="AA131" s="7"/>
      <c r="AB131" s="7"/>
      <c r="AC131" s="7"/>
      <c r="AD131" s="7"/>
      <c r="AE131" s="7"/>
    </row>
    <row r="132" spans="1:31" x14ac:dyDescent="0.2">
      <c r="A132" s="5" t="s">
        <v>179</v>
      </c>
      <c r="B132" s="5" t="s">
        <v>373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>
        <v>48.5</v>
      </c>
      <c r="V132" s="7"/>
      <c r="W132" s="7"/>
      <c r="X132" s="7"/>
      <c r="Y132" s="7"/>
      <c r="Z132" s="7">
        <v>51.3</v>
      </c>
      <c r="AA132" s="7"/>
      <c r="AB132" s="7"/>
      <c r="AC132" s="7"/>
      <c r="AD132" s="7"/>
      <c r="AE132" s="7"/>
    </row>
    <row r="133" spans="1:31" x14ac:dyDescent="0.2">
      <c r="A133" s="5" t="s">
        <v>180</v>
      </c>
      <c r="B133" s="5" t="s">
        <v>374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>
        <v>87.1</v>
      </c>
      <c r="T133" s="7"/>
      <c r="U133" s="7"/>
      <c r="V133" s="7"/>
      <c r="W133" s="7">
        <v>67.7</v>
      </c>
      <c r="X133" s="7"/>
      <c r="Y133" s="7"/>
      <c r="Z133" s="7"/>
      <c r="AA133" s="7"/>
      <c r="AB133" s="7"/>
      <c r="AC133" s="7"/>
      <c r="AD133" s="7">
        <v>67.900000000000006</v>
      </c>
      <c r="AE133" s="7"/>
    </row>
    <row r="134" spans="1:31" x14ac:dyDescent="0.2">
      <c r="A134" s="5" t="s">
        <v>182</v>
      </c>
      <c r="B134" s="5" t="s">
        <v>376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>
        <v>39.200000000000003</v>
      </c>
      <c r="V134" s="7"/>
      <c r="W134" s="7"/>
      <c r="X134" s="7"/>
      <c r="Y134" s="7"/>
      <c r="Z134" s="7">
        <v>21.1</v>
      </c>
      <c r="AA134" s="7"/>
      <c r="AB134" s="7"/>
      <c r="AC134" s="7"/>
      <c r="AD134" s="7"/>
      <c r="AE134" s="7"/>
    </row>
    <row r="135" spans="1:31" x14ac:dyDescent="0.2">
      <c r="A135" s="5" t="s">
        <v>186</v>
      </c>
      <c r="B135" s="5" t="s">
        <v>380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39.9</v>
      </c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x14ac:dyDescent="0.2">
      <c r="A136" s="5" t="s">
        <v>184</v>
      </c>
      <c r="B136" s="5" t="s">
        <v>378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>
        <v>29.8</v>
      </c>
      <c r="X136" s="7"/>
      <c r="Y136" s="7"/>
      <c r="Z136" s="7"/>
      <c r="AA136" s="7"/>
      <c r="AB136" s="7"/>
      <c r="AC136" s="7"/>
      <c r="AD136" s="7"/>
      <c r="AE136" s="7"/>
    </row>
    <row r="137" spans="1:31" x14ac:dyDescent="0.2">
      <c r="A137" s="5" t="s">
        <v>185</v>
      </c>
      <c r="B137" s="5" t="s">
        <v>379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55.6</v>
      </c>
      <c r="W137" s="7"/>
      <c r="X137" s="7"/>
      <c r="Y137" s="7"/>
      <c r="Z137" s="7"/>
      <c r="AA137" s="7"/>
      <c r="AB137" s="7">
        <v>49.5</v>
      </c>
      <c r="AC137" s="7"/>
      <c r="AD137" s="7"/>
      <c r="AE137" s="7"/>
    </row>
    <row r="138" spans="1:31" x14ac:dyDescent="0.2">
      <c r="A138" s="5" t="s">
        <v>409</v>
      </c>
      <c r="B138" s="5" t="s">
        <v>337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>
        <v>49.6</v>
      </c>
      <c r="AA138" s="7"/>
      <c r="AB138" s="7"/>
      <c r="AC138" s="7"/>
      <c r="AD138" s="7"/>
      <c r="AE138" s="7"/>
    </row>
    <row r="139" spans="1:31" x14ac:dyDescent="0.2">
      <c r="A139" s="5" t="s">
        <v>189</v>
      </c>
      <c r="B139" s="5" t="s">
        <v>383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>
        <v>37.200000000000003</v>
      </c>
      <c r="X139" s="7"/>
      <c r="Y139" s="7"/>
      <c r="Z139" s="7">
        <v>43</v>
      </c>
      <c r="AA139" s="7"/>
      <c r="AB139" s="7"/>
      <c r="AC139" s="7"/>
      <c r="AD139" s="7"/>
      <c r="AE139" s="7"/>
    </row>
    <row r="140" spans="1:31" x14ac:dyDescent="0.2">
      <c r="A140" s="5" t="s">
        <v>191</v>
      </c>
      <c r="B140" s="5" t="s">
        <v>385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>
        <v>73.8</v>
      </c>
      <c r="U140" s="7"/>
      <c r="V140" s="7"/>
      <c r="W140" s="7"/>
      <c r="X140" s="7"/>
      <c r="Y140" s="7"/>
      <c r="Z140" s="7">
        <v>73.3</v>
      </c>
      <c r="AA140" s="7"/>
      <c r="AB140" s="7"/>
      <c r="AC140" s="7"/>
      <c r="AD140" s="7"/>
      <c r="AE140" s="7"/>
    </row>
    <row r="141" spans="1:31" x14ac:dyDescent="0.2">
      <c r="A141" s="5" t="s">
        <v>192</v>
      </c>
      <c r="B141" s="5" t="s">
        <v>386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71.7</v>
      </c>
      <c r="Y141" s="7"/>
      <c r="Z141" s="7"/>
      <c r="AA141" s="7"/>
      <c r="AB141" s="7"/>
      <c r="AC141" s="7">
        <v>73.900000000000006</v>
      </c>
      <c r="AD141" s="7"/>
      <c r="AE141" s="7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22AA-297B-4171-899E-A90A42D7B592}">
  <dimension ref="A1:AE139"/>
  <sheetViews>
    <sheetView workbookViewId="0">
      <pane xSplit="2" ySplit="1" topLeftCell="R48" activePane="bottomRight" state="frozen"/>
      <selection pane="topRight" activeCell="C1" sqref="C1"/>
      <selection pane="bottomLeft" activeCell="A2" sqref="A2"/>
      <selection pane="bottomRight" activeCell="Z75" sqref="Z75"/>
    </sheetView>
  </sheetViews>
  <sheetFormatPr defaultColWidth="9.140625" defaultRowHeight="12.75" x14ac:dyDescent="0.2"/>
  <cols>
    <col min="1" max="1" width="28.42578125" style="5" customWidth="1"/>
    <col min="2" max="16384" width="9.140625" style="5"/>
  </cols>
  <sheetData>
    <row r="1" spans="1:31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</row>
    <row r="2" spans="1:31" x14ac:dyDescent="0.2">
      <c r="A2" s="5" t="s">
        <v>1</v>
      </c>
      <c r="B2" s="5" t="s">
        <v>194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88</v>
      </c>
      <c r="V2" s="7"/>
      <c r="W2" s="7"/>
      <c r="X2" s="7"/>
      <c r="Y2" s="7"/>
      <c r="Z2" s="7"/>
      <c r="AA2" s="7">
        <v>92.3</v>
      </c>
      <c r="AB2" s="7"/>
      <c r="AC2" s="7"/>
      <c r="AD2" s="7"/>
      <c r="AE2" s="7"/>
    </row>
    <row r="3" spans="1:31" x14ac:dyDescent="0.2">
      <c r="A3" s="5" t="s">
        <v>3</v>
      </c>
      <c r="B3" s="5" t="s">
        <v>196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89.4</v>
      </c>
      <c r="U3" s="7"/>
      <c r="V3" s="7"/>
      <c r="W3" s="7"/>
      <c r="X3" s="7"/>
      <c r="Y3" s="7"/>
      <c r="Z3" s="7">
        <v>98.9</v>
      </c>
      <c r="AA3" s="7"/>
      <c r="AB3" s="7"/>
      <c r="AC3" s="7"/>
      <c r="AD3" s="7"/>
      <c r="AE3" s="7"/>
    </row>
    <row r="4" spans="1:31" x14ac:dyDescent="0.2">
      <c r="A4" s="5" t="s">
        <v>2</v>
      </c>
      <c r="B4" s="5" t="s">
        <v>195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62.7</v>
      </c>
      <c r="X4" s="7"/>
      <c r="Y4" s="7"/>
      <c r="Z4" s="7"/>
      <c r="AA4" s="7"/>
      <c r="AB4" s="7"/>
      <c r="AC4" s="7"/>
      <c r="AD4" s="7"/>
      <c r="AE4" s="7"/>
    </row>
    <row r="5" spans="1:31" x14ac:dyDescent="0.2">
      <c r="A5" s="5" t="s">
        <v>8</v>
      </c>
      <c r="B5" s="5" t="s">
        <v>201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91</v>
      </c>
      <c r="X5" s="7"/>
      <c r="Y5" s="7"/>
      <c r="Z5" s="7"/>
      <c r="AA5" s="7"/>
      <c r="AB5" s="7"/>
      <c r="AC5" s="7"/>
      <c r="AD5" s="7"/>
      <c r="AE5" s="7"/>
    </row>
    <row r="6" spans="1:31" x14ac:dyDescent="0.2">
      <c r="A6" s="5" t="s">
        <v>6</v>
      </c>
      <c r="B6" s="5" t="s">
        <v>199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93.8</v>
      </c>
      <c r="T6" s="7"/>
      <c r="U6" s="7"/>
      <c r="V6" s="7"/>
      <c r="W6" s="7">
        <v>92.4</v>
      </c>
      <c r="X6" s="7"/>
      <c r="Y6" s="7"/>
      <c r="Z6" s="7"/>
      <c r="AA6" s="7"/>
      <c r="AB6" s="7"/>
      <c r="AC6" s="7"/>
      <c r="AD6" s="7">
        <v>92.3</v>
      </c>
      <c r="AE6" s="7"/>
    </row>
    <row r="7" spans="1:31" x14ac:dyDescent="0.2">
      <c r="A7" s="5" t="s">
        <v>7</v>
      </c>
      <c r="B7" s="5" t="s">
        <v>200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96.2</v>
      </c>
      <c r="W7" s="7"/>
      <c r="X7" s="7"/>
      <c r="Y7" s="7"/>
      <c r="Z7" s="7">
        <v>99.9</v>
      </c>
      <c r="AA7" s="7"/>
      <c r="AB7" s="7"/>
      <c r="AC7" s="7"/>
      <c r="AD7" s="7"/>
      <c r="AE7" s="7"/>
    </row>
    <row r="8" spans="1:31" x14ac:dyDescent="0.2">
      <c r="A8" s="5" t="s">
        <v>11</v>
      </c>
      <c r="B8" s="5" t="s">
        <v>204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85.1</v>
      </c>
      <c r="W8" s="7"/>
      <c r="X8" s="7"/>
      <c r="Y8" s="7"/>
      <c r="Z8" s="7">
        <v>97.1</v>
      </c>
      <c r="AA8" s="7"/>
      <c r="AB8" s="7"/>
      <c r="AC8" s="7"/>
      <c r="AD8" s="7"/>
      <c r="AE8" s="7"/>
    </row>
    <row r="9" spans="1:31" x14ac:dyDescent="0.2">
      <c r="A9" s="5" t="s">
        <v>19</v>
      </c>
      <c r="B9" s="5" t="s">
        <v>212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92.8</v>
      </c>
      <c r="X9" s="7"/>
      <c r="Y9" s="7"/>
      <c r="Z9" s="7"/>
      <c r="AA9" s="7"/>
      <c r="AB9" s="7"/>
      <c r="AC9" s="7"/>
      <c r="AD9" s="7"/>
      <c r="AE9" s="7"/>
    </row>
    <row r="10" spans="1:31" x14ac:dyDescent="0.2">
      <c r="A10" s="5" t="s">
        <v>16</v>
      </c>
      <c r="B10" s="5" t="s">
        <v>209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v>86</v>
      </c>
      <c r="AA10" s="7"/>
      <c r="AB10" s="7"/>
      <c r="AC10" s="7"/>
      <c r="AD10" s="7"/>
      <c r="AE10" s="7"/>
    </row>
    <row r="11" spans="1:31" x14ac:dyDescent="0.2">
      <c r="A11" s="5" t="s">
        <v>26</v>
      </c>
      <c r="B11" s="5" t="s">
        <v>219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82.8</v>
      </c>
      <c r="X11" s="7"/>
      <c r="Y11" s="7"/>
      <c r="Z11" s="7"/>
      <c r="AA11" s="7"/>
      <c r="AB11" s="7"/>
      <c r="AC11" s="7"/>
      <c r="AD11" s="7"/>
      <c r="AE11" s="7"/>
    </row>
    <row r="12" spans="1:31" x14ac:dyDescent="0.2">
      <c r="A12" s="5" t="s">
        <v>21</v>
      </c>
      <c r="B12" s="5" t="s">
        <v>214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98.5</v>
      </c>
      <c r="V12" s="7"/>
      <c r="W12" s="7"/>
      <c r="X12" s="7"/>
      <c r="Y12" s="7"/>
      <c r="Z12" s="7">
        <v>98.9</v>
      </c>
      <c r="AA12" s="7"/>
      <c r="AB12" s="7"/>
      <c r="AC12" s="7"/>
      <c r="AD12" s="7"/>
      <c r="AE12" s="7">
        <v>98.1</v>
      </c>
    </row>
    <row r="13" spans="1:31" x14ac:dyDescent="0.2">
      <c r="A13" s="5" t="s">
        <v>22</v>
      </c>
      <c r="B13" s="5" t="s">
        <v>215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>
        <v>79.2</v>
      </c>
      <c r="X13" s="7"/>
      <c r="Y13" s="7"/>
      <c r="Z13" s="7"/>
      <c r="AA13" s="7"/>
      <c r="AB13" s="7"/>
      <c r="AC13" s="7"/>
      <c r="AD13" s="7"/>
      <c r="AE13" s="7"/>
    </row>
    <row r="14" spans="1:31" x14ac:dyDescent="0.2">
      <c r="A14" s="5" t="s">
        <v>14</v>
      </c>
      <c r="B14" s="5" t="s">
        <v>207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82.8</v>
      </c>
      <c r="W14" s="7"/>
      <c r="X14" s="7"/>
      <c r="Y14" s="7"/>
      <c r="Z14" s="7"/>
      <c r="AA14" s="7"/>
      <c r="AB14" s="7"/>
      <c r="AC14" s="7">
        <v>90.6</v>
      </c>
      <c r="AD14" s="7"/>
      <c r="AE14" s="7"/>
    </row>
    <row r="15" spans="1:31" x14ac:dyDescent="0.2">
      <c r="A15" s="5" t="s">
        <v>28</v>
      </c>
      <c r="B15" s="5" t="s">
        <v>221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99</v>
      </c>
      <c r="W15" s="7"/>
      <c r="X15" s="7"/>
      <c r="Y15" s="7"/>
      <c r="Z15" s="7"/>
      <c r="AA15" s="7"/>
      <c r="AB15" s="7">
        <v>95.2</v>
      </c>
      <c r="AC15" s="7"/>
      <c r="AD15" s="7"/>
      <c r="AE15" s="7"/>
    </row>
    <row r="16" spans="1:31" x14ac:dyDescent="0.2">
      <c r="A16" s="5" t="s">
        <v>24</v>
      </c>
      <c r="B16" s="5" t="s">
        <v>217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90.5</v>
      </c>
      <c r="T16" s="7"/>
      <c r="U16" s="7"/>
      <c r="V16" s="7"/>
      <c r="W16" s="7">
        <v>72.400000000000006</v>
      </c>
      <c r="X16" s="7"/>
      <c r="Y16" s="7"/>
      <c r="Z16" s="7"/>
      <c r="AA16" s="7"/>
      <c r="AB16" s="7"/>
      <c r="AC16" s="7"/>
      <c r="AD16" s="7">
        <v>79.7</v>
      </c>
      <c r="AE16" s="7"/>
    </row>
    <row r="17" spans="1:31" x14ac:dyDescent="0.2">
      <c r="A17" s="5" t="s">
        <v>20</v>
      </c>
      <c r="B17" s="5" t="s">
        <v>213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98.6</v>
      </c>
      <c r="W17" s="7"/>
      <c r="X17" s="7"/>
      <c r="Y17" s="7"/>
      <c r="Z17" s="7">
        <v>100</v>
      </c>
      <c r="AA17" s="7"/>
      <c r="AB17" s="7"/>
      <c r="AC17" s="7"/>
      <c r="AD17" s="7"/>
      <c r="AE17" s="7"/>
    </row>
    <row r="18" spans="1:31" x14ac:dyDescent="0.2">
      <c r="A18" s="5" t="s">
        <v>29</v>
      </c>
      <c r="B18" s="5" t="s">
        <v>222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>
        <v>93.9</v>
      </c>
      <c r="X18" s="7"/>
      <c r="Y18" s="7"/>
      <c r="Z18" s="7"/>
      <c r="AA18" s="7"/>
      <c r="AB18" s="7"/>
      <c r="AC18" s="7"/>
      <c r="AD18" s="7"/>
      <c r="AE18" s="7"/>
    </row>
    <row r="19" spans="1:31" x14ac:dyDescent="0.2">
      <c r="A19" s="5" t="s">
        <v>25</v>
      </c>
      <c r="B19" s="5" t="s">
        <v>218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94.9</v>
      </c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">
      <c r="A20" s="5" t="s">
        <v>17</v>
      </c>
      <c r="B20" s="5" t="s">
        <v>210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96.5</v>
      </c>
      <c r="U20" s="7"/>
      <c r="V20" s="7">
        <v>98.5</v>
      </c>
      <c r="W20" s="7"/>
      <c r="X20" s="7"/>
      <c r="Y20" s="7"/>
      <c r="Z20" s="7">
        <v>97.3</v>
      </c>
      <c r="AA20" s="7"/>
      <c r="AB20" s="7"/>
      <c r="AC20" s="7"/>
      <c r="AD20" s="7"/>
      <c r="AE20" s="7"/>
    </row>
    <row r="21" spans="1:31" x14ac:dyDescent="0.2">
      <c r="A21" s="5" t="s">
        <v>15</v>
      </c>
      <c r="B21" s="5" t="s">
        <v>208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77.7</v>
      </c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">
      <c r="A22" s="5" t="s">
        <v>12</v>
      </c>
      <c r="B22" s="5" t="s">
        <v>205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87.1</v>
      </c>
      <c r="AB22" s="7"/>
      <c r="AC22" s="7"/>
      <c r="AD22" s="7"/>
      <c r="AE22" s="7"/>
    </row>
    <row r="23" spans="1:31" x14ac:dyDescent="0.2">
      <c r="A23" s="5" t="s">
        <v>41</v>
      </c>
      <c r="B23" s="5" t="s">
        <v>234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81.3</v>
      </c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">
      <c r="A24" s="5" t="s">
        <v>93</v>
      </c>
      <c r="B24" s="5" t="s">
        <v>286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83.5</v>
      </c>
      <c r="AA24" s="7"/>
      <c r="AB24" s="7"/>
      <c r="AC24" s="7">
        <v>69.5</v>
      </c>
      <c r="AD24" s="7"/>
      <c r="AE24" s="7"/>
    </row>
    <row r="25" spans="1:31" x14ac:dyDescent="0.2">
      <c r="A25" s="5" t="s">
        <v>36</v>
      </c>
      <c r="B25" s="5" t="s">
        <v>229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82.1</v>
      </c>
      <c r="W25" s="7"/>
      <c r="X25" s="7"/>
      <c r="Y25" s="7"/>
      <c r="Z25" s="7"/>
      <c r="AA25" s="7"/>
      <c r="AB25" s="7"/>
      <c r="AC25" s="7">
        <v>81.099999999999994</v>
      </c>
      <c r="AD25" s="7"/>
      <c r="AE25" s="7"/>
    </row>
    <row r="26" spans="1:31" x14ac:dyDescent="0.2">
      <c r="A26" s="5" t="s">
        <v>30</v>
      </c>
      <c r="B26" s="5" t="s">
        <v>223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92.1</v>
      </c>
      <c r="Y26" s="7"/>
      <c r="Z26" s="7"/>
      <c r="AA26" s="7"/>
      <c r="AB26" s="7"/>
      <c r="AC26" s="7"/>
      <c r="AD26" s="7"/>
      <c r="AE26" s="7"/>
    </row>
    <row r="27" spans="1:31" x14ac:dyDescent="0.2">
      <c r="A27" s="5" t="s">
        <v>167</v>
      </c>
      <c r="B27" s="5" t="s">
        <v>361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v>77.099999999999994</v>
      </c>
      <c r="W27" s="7"/>
      <c r="X27" s="7"/>
      <c r="Y27" s="7"/>
      <c r="Z27" s="7"/>
      <c r="AA27" s="7"/>
      <c r="AB27" s="7"/>
      <c r="AC27" s="7"/>
      <c r="AD27" s="7"/>
      <c r="AE27" s="7">
        <v>66.599999999999994</v>
      </c>
    </row>
    <row r="28" spans="1:31" x14ac:dyDescent="0.2">
      <c r="A28" s="5" t="s">
        <v>33</v>
      </c>
      <c r="B28" s="5" t="s">
        <v>226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>
        <v>97.8</v>
      </c>
      <c r="T28" s="7"/>
      <c r="U28" s="7"/>
      <c r="V28" s="7"/>
      <c r="W28" s="7">
        <v>96</v>
      </c>
      <c r="X28" s="7"/>
      <c r="Y28" s="7"/>
      <c r="Z28" s="7"/>
      <c r="AA28" s="7"/>
      <c r="AB28" s="7"/>
      <c r="AC28" s="7"/>
      <c r="AD28" s="7"/>
      <c r="AE28" s="7"/>
    </row>
    <row r="29" spans="1:31" x14ac:dyDescent="0.2">
      <c r="A29" s="5" t="s">
        <v>34</v>
      </c>
      <c r="B29" s="5" t="s">
        <v>227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>
        <v>95.8</v>
      </c>
      <c r="Z29" s="7"/>
      <c r="AA29" s="7"/>
      <c r="AB29" s="7"/>
      <c r="AC29" s="7"/>
      <c r="AD29" s="7"/>
      <c r="AE29" s="7"/>
    </row>
    <row r="30" spans="1:31" x14ac:dyDescent="0.2">
      <c r="A30" s="5" t="s">
        <v>39</v>
      </c>
      <c r="B30" s="5" t="s">
        <v>232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85.6</v>
      </c>
      <c r="T30" s="7"/>
      <c r="U30" s="7"/>
      <c r="V30" s="7"/>
      <c r="W30" s="7">
        <v>94.3</v>
      </c>
      <c r="X30" s="7"/>
      <c r="Y30" s="7"/>
      <c r="Z30" s="7"/>
      <c r="AA30" s="7"/>
      <c r="AB30" s="7"/>
      <c r="AC30" s="7"/>
      <c r="AD30" s="7">
        <v>91.1</v>
      </c>
      <c r="AE30" s="7"/>
    </row>
    <row r="31" spans="1:31" x14ac:dyDescent="0.2">
      <c r="A31" s="5" t="s">
        <v>37</v>
      </c>
      <c r="B31" s="5" t="s">
        <v>230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>
        <v>61.9</v>
      </c>
      <c r="X31" s="7"/>
      <c r="Y31" s="7"/>
      <c r="Z31" s="7">
        <v>68.900000000000006</v>
      </c>
      <c r="AA31" s="7"/>
      <c r="AB31" s="7"/>
      <c r="AC31" s="7"/>
      <c r="AD31" s="7"/>
      <c r="AE31" s="7"/>
    </row>
    <row r="32" spans="1:31" x14ac:dyDescent="0.2">
      <c r="A32" s="5" t="s">
        <v>38</v>
      </c>
      <c r="B32" s="5" t="s">
        <v>231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84.3</v>
      </c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">
      <c r="A33" s="5" t="s">
        <v>42</v>
      </c>
      <c r="B33" s="5" t="s">
        <v>235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v>80.8</v>
      </c>
      <c r="X33" s="7"/>
      <c r="Y33" s="7"/>
      <c r="Z33" s="7"/>
      <c r="AA33" s="7"/>
      <c r="AB33" s="7"/>
      <c r="AC33" s="7"/>
      <c r="AD33" s="7"/>
      <c r="AE33" s="7"/>
    </row>
    <row r="34" spans="1:31" x14ac:dyDescent="0.2">
      <c r="A34" s="5" t="s">
        <v>35</v>
      </c>
      <c r="B34" s="5" t="s">
        <v>228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v>56.4</v>
      </c>
      <c r="W34" s="7"/>
      <c r="X34" s="7"/>
      <c r="Y34" s="7"/>
      <c r="Z34" s="7"/>
      <c r="AA34" s="7"/>
      <c r="AB34" s="7"/>
      <c r="AC34" s="7">
        <v>87.9</v>
      </c>
      <c r="AD34" s="7"/>
      <c r="AE34" s="7"/>
    </row>
    <row r="35" spans="1:31" x14ac:dyDescent="0.2">
      <c r="A35" s="5" t="s">
        <v>76</v>
      </c>
      <c r="B35" s="5" t="s">
        <v>269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98.1</v>
      </c>
      <c r="U35" s="7"/>
      <c r="V35" s="7"/>
      <c r="W35" s="7"/>
      <c r="X35" s="7"/>
      <c r="Y35" s="7"/>
      <c r="Z35" s="7">
        <v>96.4</v>
      </c>
      <c r="AA35" s="7"/>
      <c r="AB35" s="7"/>
      <c r="AC35" s="7"/>
      <c r="AD35" s="7"/>
      <c r="AE35" s="7"/>
    </row>
    <row r="36" spans="1:31" x14ac:dyDescent="0.2">
      <c r="A36" s="5" t="s">
        <v>46</v>
      </c>
      <c r="B36" s="5" t="s">
        <v>239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>
        <v>98</v>
      </c>
      <c r="W36" s="7"/>
      <c r="X36" s="7"/>
      <c r="Y36" s="7"/>
      <c r="Z36" s="7">
        <v>99</v>
      </c>
      <c r="AA36" s="7"/>
      <c r="AB36" s="7"/>
      <c r="AC36" s="7"/>
      <c r="AD36" s="7"/>
      <c r="AE36" s="7"/>
    </row>
    <row r="37" spans="1:31" x14ac:dyDescent="0.2">
      <c r="A37" s="5" t="s">
        <v>48</v>
      </c>
      <c r="B37" s="5" t="s">
        <v>241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98.5</v>
      </c>
      <c r="AA37" s="7"/>
      <c r="AB37" s="7"/>
      <c r="AC37" s="7"/>
      <c r="AD37" s="7"/>
      <c r="AE37" s="7"/>
    </row>
    <row r="38" spans="1:31" x14ac:dyDescent="0.2">
      <c r="A38" s="5" t="s">
        <v>49</v>
      </c>
      <c r="B38" s="5" t="s">
        <v>242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v>97.4</v>
      </c>
      <c r="X38" s="7"/>
      <c r="Y38" s="7"/>
      <c r="Z38" s="7"/>
      <c r="AA38" s="7"/>
      <c r="AB38" s="7"/>
      <c r="AC38" s="7"/>
      <c r="AD38" s="7"/>
      <c r="AE38" s="7"/>
    </row>
    <row r="39" spans="1:31" x14ac:dyDescent="0.2">
      <c r="A39" s="5" t="s">
        <v>51</v>
      </c>
      <c r="B39" s="5" t="s">
        <v>244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>
        <v>80.3</v>
      </c>
      <c r="X39" s="7"/>
      <c r="Y39" s="7"/>
      <c r="Z39" s="7"/>
      <c r="AA39" s="7"/>
      <c r="AB39" s="7"/>
      <c r="AC39" s="7">
        <v>78.7</v>
      </c>
      <c r="AD39" s="7"/>
      <c r="AE39" s="7"/>
    </row>
    <row r="40" spans="1:31" x14ac:dyDescent="0.2">
      <c r="A40" s="5" t="s">
        <v>53</v>
      </c>
      <c r="B40" s="5" t="s">
        <v>246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>
        <v>91.1</v>
      </c>
      <c r="T40" s="7"/>
      <c r="U40" s="7"/>
      <c r="V40" s="7"/>
      <c r="W40" s="7">
        <v>85.1</v>
      </c>
      <c r="X40" s="7"/>
      <c r="Y40" s="7"/>
      <c r="Z40" s="7"/>
      <c r="AA40" s="7"/>
      <c r="AB40" s="7"/>
      <c r="AC40" s="7"/>
      <c r="AD40" s="7">
        <v>88.4</v>
      </c>
      <c r="AE40" s="7"/>
    </row>
    <row r="41" spans="1:31" x14ac:dyDescent="0.2">
      <c r="A41" s="5" t="s">
        <v>54</v>
      </c>
      <c r="B41" s="5" t="s">
        <v>247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91.6</v>
      </c>
      <c r="AA41" s="7"/>
      <c r="AB41" s="7"/>
      <c r="AC41" s="7">
        <v>91.4</v>
      </c>
      <c r="AD41" s="7"/>
      <c r="AE41" s="7"/>
    </row>
    <row r="42" spans="1:31" x14ac:dyDescent="0.2">
      <c r="A42" s="5" t="s">
        <v>155</v>
      </c>
      <c r="B42" s="5" t="s">
        <v>349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>
        <v>79.5</v>
      </c>
      <c r="T42" s="7"/>
      <c r="U42" s="7"/>
      <c r="V42" s="7"/>
      <c r="W42" s="7">
        <v>75.7</v>
      </c>
      <c r="X42" s="7"/>
      <c r="Y42" s="7"/>
      <c r="Z42" s="7"/>
      <c r="AA42" s="7"/>
      <c r="AB42" s="7"/>
      <c r="AC42" s="7">
        <v>83.3</v>
      </c>
      <c r="AD42" s="7"/>
      <c r="AE42" s="7"/>
    </row>
    <row r="43" spans="1:31" x14ac:dyDescent="0.2">
      <c r="A43" s="5" t="s">
        <v>55</v>
      </c>
      <c r="B43" s="5" t="s">
        <v>248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>
        <v>100</v>
      </c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">
      <c r="A44" s="5" t="s">
        <v>57</v>
      </c>
      <c r="B44" s="5" t="s">
        <v>250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>
        <v>97.4</v>
      </c>
      <c r="W44" s="7"/>
      <c r="X44" s="7"/>
      <c r="Y44" s="7"/>
      <c r="Z44" s="7">
        <v>98.5</v>
      </c>
      <c r="AA44" s="7"/>
      <c r="AB44" s="7"/>
      <c r="AC44" s="7"/>
      <c r="AD44" s="7"/>
      <c r="AE44" s="7"/>
    </row>
    <row r="45" spans="1:31" x14ac:dyDescent="0.2">
      <c r="A45" s="5" t="s">
        <v>163</v>
      </c>
      <c r="B45" s="5" t="s">
        <v>357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>
        <v>93.7</v>
      </c>
      <c r="AD45" s="7"/>
      <c r="AE45" s="7"/>
    </row>
    <row r="46" spans="1:31" x14ac:dyDescent="0.2">
      <c r="A46" s="5" t="s">
        <v>58</v>
      </c>
      <c r="B46" s="5" t="s">
        <v>251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v>96.8</v>
      </c>
      <c r="Y46" s="7"/>
      <c r="Z46" s="7"/>
      <c r="AA46" s="7"/>
      <c r="AB46" s="7">
        <v>95.6</v>
      </c>
      <c r="AC46" s="7"/>
      <c r="AD46" s="7"/>
      <c r="AE46" s="7"/>
    </row>
    <row r="47" spans="1:31" x14ac:dyDescent="0.2">
      <c r="A47" s="5" t="s">
        <v>60</v>
      </c>
      <c r="B47" s="5" t="s">
        <v>253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93.5</v>
      </c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">
      <c r="A48" s="5" t="s">
        <v>63</v>
      </c>
      <c r="B48" s="5" t="s">
        <v>256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63.7</v>
      </c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2">
      <c r="A49" s="5" t="s">
        <v>68</v>
      </c>
      <c r="B49" s="5" t="s">
        <v>261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>
        <v>77.2</v>
      </c>
    </row>
    <row r="50" spans="1:31" x14ac:dyDescent="0.2">
      <c r="A50" s="5" t="s">
        <v>65</v>
      </c>
      <c r="B50" s="5" t="s">
        <v>258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>
        <v>99.6</v>
      </c>
      <c r="V50" s="7"/>
      <c r="W50" s="7"/>
      <c r="X50" s="7"/>
      <c r="Y50" s="7"/>
      <c r="Z50" s="7">
        <v>96.8</v>
      </c>
      <c r="AA50" s="7"/>
      <c r="AB50" s="7"/>
      <c r="AC50" s="7"/>
      <c r="AD50" s="7"/>
      <c r="AE50" s="7"/>
    </row>
    <row r="51" spans="1:31" x14ac:dyDescent="0.2">
      <c r="A51" s="5" t="s">
        <v>66</v>
      </c>
      <c r="B51" s="5" t="s">
        <v>259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66.400000000000006</v>
      </c>
      <c r="U51" s="7"/>
      <c r="V51" s="7"/>
      <c r="W51" s="7"/>
      <c r="X51" s="7"/>
      <c r="Y51" s="7"/>
      <c r="Z51" s="7">
        <v>76.5</v>
      </c>
      <c r="AA51" s="7"/>
      <c r="AB51" s="7"/>
      <c r="AC51" s="7"/>
      <c r="AD51" s="7"/>
      <c r="AE51" s="7"/>
    </row>
    <row r="52" spans="1:31" x14ac:dyDescent="0.2">
      <c r="A52" s="5" t="s">
        <v>71</v>
      </c>
      <c r="B52" s="5" t="s">
        <v>264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>
        <v>98.1</v>
      </c>
    </row>
    <row r="53" spans="1:31" x14ac:dyDescent="0.2">
      <c r="A53" s="5" t="s">
        <v>72</v>
      </c>
      <c r="B53" s="5" t="s">
        <v>265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71.099999999999994</v>
      </c>
      <c r="X53" s="7"/>
      <c r="Y53" s="7"/>
      <c r="Z53" s="7"/>
      <c r="AA53" s="7"/>
      <c r="AB53" s="7"/>
      <c r="AC53" s="7"/>
      <c r="AD53" s="7"/>
      <c r="AE53" s="7"/>
    </row>
    <row r="54" spans="1:31" x14ac:dyDescent="0.2">
      <c r="A54" s="5" t="s">
        <v>73</v>
      </c>
      <c r="B54" s="5" t="s">
        <v>266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>
        <v>91.3</v>
      </c>
      <c r="T54" s="7"/>
      <c r="U54" s="7"/>
      <c r="V54" s="7"/>
      <c r="W54" s="7">
        <v>90</v>
      </c>
      <c r="X54" s="7"/>
      <c r="Y54" s="7"/>
      <c r="Z54" s="7"/>
      <c r="AA54" s="7"/>
      <c r="AB54" s="7"/>
      <c r="AC54" s="7"/>
      <c r="AD54" s="7">
        <v>86</v>
      </c>
      <c r="AE54" s="7"/>
    </row>
    <row r="55" spans="1:31" x14ac:dyDescent="0.2">
      <c r="A55" s="5" t="s">
        <v>67</v>
      </c>
      <c r="B55" s="5" t="s">
        <v>260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>
        <v>96.9</v>
      </c>
      <c r="AD55" s="7"/>
      <c r="AE55" s="7"/>
    </row>
    <row r="56" spans="1:31" x14ac:dyDescent="0.2">
      <c r="A56" s="5" t="s">
        <v>74</v>
      </c>
      <c r="B56" s="5" t="s">
        <v>267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v>81.7</v>
      </c>
      <c r="X56" s="7"/>
      <c r="Y56" s="7"/>
      <c r="Z56" s="7"/>
      <c r="AA56" s="7"/>
      <c r="AB56" s="7"/>
      <c r="AC56" s="7"/>
      <c r="AD56" s="7"/>
      <c r="AE56" s="7"/>
    </row>
    <row r="57" spans="1:31" x14ac:dyDescent="0.2">
      <c r="A57" s="5" t="s">
        <v>75</v>
      </c>
      <c r="B57" s="5" t="s">
        <v>268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>
        <v>89.4</v>
      </c>
      <c r="T57" s="7"/>
      <c r="U57" s="7"/>
      <c r="V57" s="7"/>
      <c r="W57" s="7">
        <v>81.3</v>
      </c>
      <c r="X57" s="7"/>
      <c r="Y57" s="7"/>
      <c r="Z57" s="7"/>
      <c r="AA57" s="7"/>
      <c r="AB57" s="7"/>
      <c r="AC57" s="7">
        <v>85.5</v>
      </c>
      <c r="AD57" s="7"/>
      <c r="AE57" s="7"/>
    </row>
    <row r="58" spans="1:31" x14ac:dyDescent="0.2">
      <c r="A58" s="5" t="s">
        <v>78</v>
      </c>
      <c r="B58" s="5" t="s">
        <v>271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>
        <v>100</v>
      </c>
      <c r="W58" s="7"/>
      <c r="X58" s="7"/>
      <c r="Y58" s="7"/>
      <c r="Z58" s="7">
        <v>95.6</v>
      </c>
      <c r="AA58" s="7"/>
      <c r="AB58" s="7"/>
      <c r="AC58" s="7"/>
      <c r="AD58" s="7"/>
      <c r="AE58" s="7"/>
    </row>
    <row r="59" spans="1:31" x14ac:dyDescent="0.2">
      <c r="A59" s="5" t="s">
        <v>80</v>
      </c>
      <c r="B59" s="5" t="s">
        <v>273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>
        <v>87.2</v>
      </c>
      <c r="AB59" s="7"/>
      <c r="AC59" s="7"/>
      <c r="AD59" s="7"/>
      <c r="AE59" s="7"/>
    </row>
    <row r="60" spans="1:31" x14ac:dyDescent="0.2">
      <c r="A60" s="5" t="s">
        <v>79</v>
      </c>
      <c r="B60" s="5" t="s">
        <v>272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>
        <v>29.1</v>
      </c>
      <c r="W60" s="7"/>
      <c r="X60" s="7"/>
      <c r="Y60" s="7"/>
      <c r="Z60" s="7"/>
      <c r="AA60" s="7"/>
      <c r="AB60" s="7">
        <v>60.8</v>
      </c>
      <c r="AC60" s="7"/>
      <c r="AD60" s="7"/>
      <c r="AE60" s="7"/>
    </row>
    <row r="61" spans="1:31" x14ac:dyDescent="0.2">
      <c r="A61" s="5" t="s">
        <v>83</v>
      </c>
      <c r="B61" s="5" t="s">
        <v>276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>
        <v>62.4</v>
      </c>
      <c r="Y61" s="7"/>
      <c r="Z61" s="7"/>
      <c r="AA61" s="7"/>
      <c r="AB61" s="7"/>
      <c r="AC61" s="7"/>
      <c r="AD61" s="7"/>
      <c r="AE61" s="7"/>
    </row>
    <row r="62" spans="1:31" x14ac:dyDescent="0.2">
      <c r="A62" s="5" t="s">
        <v>85</v>
      </c>
      <c r="B62" s="5" t="s">
        <v>278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>
        <v>90.8</v>
      </c>
      <c r="AA62" s="7"/>
      <c r="AB62" s="7"/>
      <c r="AC62" s="7"/>
      <c r="AD62" s="7"/>
      <c r="AE62" s="7"/>
    </row>
    <row r="63" spans="1:31" x14ac:dyDescent="0.2">
      <c r="A63" s="5" t="s">
        <v>87</v>
      </c>
      <c r="B63" s="5" t="s">
        <v>280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>
        <v>90</v>
      </c>
      <c r="X63" s="7"/>
      <c r="Y63" s="7"/>
      <c r="Z63" s="7"/>
      <c r="AA63" s="7"/>
      <c r="AB63" s="7"/>
      <c r="AC63" s="7"/>
      <c r="AD63" s="7"/>
      <c r="AE63" s="7"/>
    </row>
    <row r="64" spans="1:31" x14ac:dyDescent="0.2">
      <c r="A64" s="5" t="s">
        <v>88</v>
      </c>
      <c r="B64" s="5" t="s">
        <v>281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>
        <v>94.8</v>
      </c>
      <c r="AA64" s="7"/>
      <c r="AB64" s="7"/>
      <c r="AC64" s="7"/>
      <c r="AD64" s="7"/>
      <c r="AE64" s="7"/>
    </row>
    <row r="65" spans="1:31" x14ac:dyDescent="0.2">
      <c r="A65" s="5" t="s">
        <v>90</v>
      </c>
      <c r="B65" s="5" t="s">
        <v>283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97.4</v>
      </c>
      <c r="W65" s="7"/>
      <c r="X65" s="7"/>
      <c r="Y65" s="7"/>
      <c r="Z65" s="7">
        <v>97.5</v>
      </c>
      <c r="AA65" s="7"/>
      <c r="AB65" s="7"/>
      <c r="AC65" s="7"/>
      <c r="AD65" s="7"/>
      <c r="AE65" s="7"/>
    </row>
    <row r="66" spans="1:31" x14ac:dyDescent="0.2">
      <c r="A66" s="5" t="s">
        <v>91</v>
      </c>
      <c r="B66" s="5" t="s">
        <v>284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>
        <v>91</v>
      </c>
      <c r="AA66" s="7"/>
      <c r="AB66" s="7"/>
      <c r="AC66" s="7"/>
      <c r="AD66" s="7"/>
      <c r="AE66" s="7">
        <v>89.6</v>
      </c>
    </row>
    <row r="67" spans="1:31" x14ac:dyDescent="0.2">
      <c r="A67" s="5" t="s">
        <v>188</v>
      </c>
      <c r="B67" s="5" t="s">
        <v>382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>
        <v>89.2</v>
      </c>
      <c r="W67" s="7"/>
      <c r="X67" s="7"/>
      <c r="Y67" s="7"/>
      <c r="Z67" s="7">
        <v>97.8</v>
      </c>
      <c r="AA67" s="7"/>
      <c r="AB67" s="7"/>
      <c r="AC67" s="7"/>
      <c r="AD67" s="7"/>
      <c r="AE67" s="7"/>
    </row>
    <row r="68" spans="1:31" x14ac:dyDescent="0.2">
      <c r="A68" s="5" t="s">
        <v>92</v>
      </c>
      <c r="B68" s="5" t="s">
        <v>285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v>95.9</v>
      </c>
      <c r="W68" s="7"/>
      <c r="X68" s="7"/>
      <c r="Y68" s="7"/>
      <c r="Z68" s="7">
        <v>96.2</v>
      </c>
      <c r="AA68" s="7"/>
      <c r="AB68" s="7"/>
      <c r="AC68" s="7"/>
      <c r="AD68" s="7"/>
      <c r="AE68" s="7"/>
    </row>
    <row r="69" spans="1:31" x14ac:dyDescent="0.2">
      <c r="A69" s="5" t="s">
        <v>98</v>
      </c>
      <c r="B69" s="5" t="s">
        <v>291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>
        <v>93.5</v>
      </c>
      <c r="W69" s="7"/>
      <c r="X69" s="7"/>
      <c r="Y69" s="7">
        <v>85.8</v>
      </c>
      <c r="Z69" s="7"/>
      <c r="AA69" s="7"/>
      <c r="AB69" s="7"/>
      <c r="AC69" s="7">
        <v>96.3</v>
      </c>
      <c r="AD69" s="7"/>
      <c r="AE69" s="7">
        <v>77.599999999999994</v>
      </c>
    </row>
    <row r="70" spans="1:31" x14ac:dyDescent="0.2">
      <c r="A70" s="5" t="s">
        <v>107</v>
      </c>
      <c r="B70" s="5" t="s">
        <v>300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>
        <v>98.5</v>
      </c>
      <c r="W70" s="7"/>
      <c r="X70" s="7"/>
      <c r="Y70" s="7"/>
      <c r="Z70" s="7">
        <v>98</v>
      </c>
      <c r="AA70" s="7"/>
      <c r="AB70" s="7"/>
      <c r="AC70" s="7"/>
      <c r="AD70" s="7"/>
      <c r="AE70" s="7"/>
    </row>
    <row r="71" spans="1:31" x14ac:dyDescent="0.2">
      <c r="A71" s="5" t="s">
        <v>99</v>
      </c>
      <c r="B71" s="5" t="s">
        <v>292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>
        <v>89</v>
      </c>
      <c r="AA71" s="7"/>
      <c r="AB71" s="7"/>
      <c r="AC71" s="7"/>
      <c r="AD71" s="7"/>
      <c r="AE71" s="7"/>
    </row>
    <row r="72" spans="1:31" x14ac:dyDescent="0.2">
      <c r="A72" s="5" t="s">
        <v>104</v>
      </c>
      <c r="B72" s="5" t="s">
        <v>297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86.8</v>
      </c>
      <c r="W72" s="7"/>
      <c r="X72" s="7"/>
      <c r="Y72" s="7"/>
      <c r="Z72" s="7"/>
      <c r="AA72" s="7"/>
      <c r="AB72" s="7"/>
      <c r="AC72" s="7">
        <v>91.3</v>
      </c>
      <c r="AD72" s="7"/>
      <c r="AE72" s="7"/>
    </row>
    <row r="73" spans="1:31" x14ac:dyDescent="0.2">
      <c r="A73" s="5" t="s">
        <v>100</v>
      </c>
      <c r="B73" s="5" t="s">
        <v>293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73.8</v>
      </c>
      <c r="W73" s="7"/>
      <c r="X73" s="7"/>
      <c r="Y73" s="7"/>
      <c r="Z73" s="7"/>
      <c r="AA73" s="7"/>
      <c r="AB73" s="7"/>
      <c r="AC73" s="7"/>
      <c r="AD73" s="7">
        <v>71.2</v>
      </c>
      <c r="AE73" s="7"/>
    </row>
    <row r="74" spans="1:31" x14ac:dyDescent="0.2">
      <c r="A74" s="5" t="s">
        <v>105</v>
      </c>
      <c r="B74" s="5" t="s">
        <v>298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97.1</v>
      </c>
      <c r="W74" s="7"/>
      <c r="X74" s="7"/>
      <c r="Y74" s="7"/>
      <c r="Z74" s="7">
        <v>100</v>
      </c>
      <c r="AA74" s="7"/>
      <c r="AB74" s="7"/>
      <c r="AC74" s="7"/>
      <c r="AD74" s="7"/>
      <c r="AE74" s="7"/>
    </row>
    <row r="75" spans="1:31" x14ac:dyDescent="0.2">
      <c r="A75" s="5" t="s">
        <v>110</v>
      </c>
      <c r="B75" s="5" t="s">
        <v>303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97.5</v>
      </c>
      <c r="W75" s="7"/>
      <c r="X75" s="7"/>
      <c r="Y75" s="7"/>
      <c r="Z75" s="7">
        <v>88.6</v>
      </c>
      <c r="AA75" s="7"/>
      <c r="AB75" s="7"/>
      <c r="AC75" s="7"/>
      <c r="AD75" s="7"/>
      <c r="AE75" s="7"/>
    </row>
    <row r="76" spans="1:31" x14ac:dyDescent="0.2">
      <c r="A76" s="5" t="s">
        <v>122</v>
      </c>
      <c r="B76" s="5" t="s">
        <v>316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78.599999999999994</v>
      </c>
      <c r="W76" s="7"/>
      <c r="X76" s="7"/>
      <c r="Y76" s="7"/>
      <c r="Z76" s="7"/>
      <c r="AA76" s="7">
        <v>90.3</v>
      </c>
      <c r="AB76" s="7"/>
      <c r="AC76" s="7"/>
      <c r="AD76" s="7"/>
      <c r="AE76" s="7"/>
    </row>
    <row r="77" spans="1:31" x14ac:dyDescent="0.2">
      <c r="A77" s="5" t="s">
        <v>123</v>
      </c>
      <c r="B77" s="5" t="s">
        <v>317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>
        <v>71.3</v>
      </c>
      <c r="AC77" s="7"/>
      <c r="AD77" s="7"/>
      <c r="AE77" s="7"/>
    </row>
    <row r="78" spans="1:31" x14ac:dyDescent="0.2">
      <c r="A78" s="5" t="s">
        <v>114</v>
      </c>
      <c r="B78" s="5" t="s">
        <v>308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85.4</v>
      </c>
      <c r="U78" s="7"/>
      <c r="V78" s="7"/>
      <c r="W78" s="7">
        <v>79.2</v>
      </c>
      <c r="X78" s="7"/>
      <c r="Y78" s="7"/>
      <c r="Z78" s="7"/>
      <c r="AA78" s="7"/>
      <c r="AB78" s="7"/>
      <c r="AC78" s="7">
        <v>86.5</v>
      </c>
      <c r="AD78" s="7"/>
      <c r="AE78" s="7"/>
    </row>
    <row r="79" spans="1:31" x14ac:dyDescent="0.2">
      <c r="A79" s="5" t="s">
        <v>120</v>
      </c>
      <c r="B79" s="5" t="s">
        <v>314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>
        <v>85.7</v>
      </c>
      <c r="AB79" s="7"/>
      <c r="AC79" s="7"/>
      <c r="AD79" s="7"/>
      <c r="AE79" s="7"/>
    </row>
    <row r="80" spans="1:31" x14ac:dyDescent="0.2">
      <c r="A80" s="5" t="s">
        <v>121</v>
      </c>
      <c r="B80" s="5" t="s">
        <v>315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84.2</v>
      </c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2">
      <c r="A81" s="5" t="s">
        <v>112</v>
      </c>
      <c r="B81" s="5" t="s">
        <v>305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>
        <v>94.1</v>
      </c>
      <c r="T81" s="7"/>
      <c r="U81" s="7"/>
      <c r="V81" s="7"/>
      <c r="W81" s="7">
        <v>84.7</v>
      </c>
      <c r="X81" s="7"/>
      <c r="Y81" s="7"/>
      <c r="Z81" s="7"/>
      <c r="AA81" s="7"/>
      <c r="AB81" s="7"/>
      <c r="AC81" s="7"/>
      <c r="AD81" s="7"/>
      <c r="AE81" s="7"/>
    </row>
    <row r="82" spans="1:31" x14ac:dyDescent="0.2">
      <c r="A82" s="5" t="s">
        <v>62</v>
      </c>
      <c r="B82" s="5" t="s">
        <v>255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>
        <v>96.9</v>
      </c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2">
      <c r="A83" s="5" t="s">
        <v>109</v>
      </c>
      <c r="B83" s="5" t="s">
        <v>302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97.9</v>
      </c>
      <c r="W83" s="7"/>
      <c r="X83" s="7"/>
      <c r="Y83" s="7"/>
      <c r="Z83" s="7">
        <v>98.4</v>
      </c>
      <c r="AA83" s="7"/>
      <c r="AB83" s="7"/>
      <c r="AC83" s="7"/>
      <c r="AD83" s="7"/>
      <c r="AE83" s="7"/>
    </row>
    <row r="84" spans="1:31" x14ac:dyDescent="0.2">
      <c r="A84" s="5" t="s">
        <v>118</v>
      </c>
      <c r="B84" s="5" t="s">
        <v>312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90.1</v>
      </c>
      <c r="W84" s="7"/>
      <c r="X84" s="7"/>
      <c r="Y84" s="7"/>
      <c r="Z84" s="7">
        <v>90.1</v>
      </c>
      <c r="AA84" s="7"/>
      <c r="AB84" s="7"/>
      <c r="AC84" s="7"/>
      <c r="AD84" s="7"/>
      <c r="AE84" s="7"/>
    </row>
    <row r="85" spans="1:31" x14ac:dyDescent="0.2">
      <c r="A85" s="5" t="s">
        <v>117</v>
      </c>
      <c r="B85" s="5" t="s">
        <v>311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>
        <v>95.5</v>
      </c>
      <c r="W85" s="7"/>
      <c r="X85" s="7"/>
      <c r="Y85" s="7"/>
      <c r="Z85" s="7">
        <v>99.3</v>
      </c>
      <c r="AA85" s="7"/>
      <c r="AB85" s="7"/>
      <c r="AC85" s="7"/>
      <c r="AD85" s="7"/>
      <c r="AE85" s="7"/>
    </row>
    <row r="86" spans="1:31" x14ac:dyDescent="0.2">
      <c r="A86" s="5" t="s">
        <v>108</v>
      </c>
      <c r="B86" s="5" t="s">
        <v>301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>
        <v>96.9</v>
      </c>
      <c r="AA86" s="7"/>
      <c r="AB86" s="7"/>
      <c r="AC86" s="7"/>
      <c r="AD86" s="7"/>
      <c r="AE86" s="7"/>
    </row>
    <row r="87" spans="1:31" x14ac:dyDescent="0.2">
      <c r="A87" s="5" t="s">
        <v>119</v>
      </c>
      <c r="B87" s="5" t="s">
        <v>313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85.9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>
        <v>94.5</v>
      </c>
    </row>
    <row r="88" spans="1:31" x14ac:dyDescent="0.2">
      <c r="A88" s="5" t="s">
        <v>116</v>
      </c>
      <c r="B88" s="5" t="s">
        <v>310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>
        <v>88.4</v>
      </c>
      <c r="AB88" s="7"/>
      <c r="AC88" s="7">
        <v>79.099999999999994</v>
      </c>
      <c r="AD88" s="7"/>
      <c r="AE88" s="7"/>
    </row>
    <row r="89" spans="1:31" x14ac:dyDescent="0.2">
      <c r="A89" s="5" t="s">
        <v>124</v>
      </c>
      <c r="B89" s="5" t="s">
        <v>318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>
        <v>83.5</v>
      </c>
      <c r="AB89" s="7"/>
      <c r="AC89" s="7"/>
      <c r="AD89" s="7"/>
      <c r="AE89" s="7"/>
    </row>
    <row r="90" spans="1:31" x14ac:dyDescent="0.2">
      <c r="A90" s="5" t="s">
        <v>131</v>
      </c>
      <c r="B90" s="5" t="s">
        <v>325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>
        <v>94</v>
      </c>
      <c r="W90" s="7"/>
      <c r="X90" s="7"/>
      <c r="Y90" s="7"/>
      <c r="Z90" s="7">
        <v>90.1</v>
      </c>
      <c r="AA90" s="7"/>
      <c r="AB90" s="7"/>
      <c r="AC90" s="7"/>
      <c r="AD90" s="7"/>
      <c r="AE90" s="7"/>
    </row>
    <row r="91" spans="1:31" x14ac:dyDescent="0.2">
      <c r="A91" s="5" t="s">
        <v>128</v>
      </c>
      <c r="B91" s="5" t="s">
        <v>322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85.4</v>
      </c>
      <c r="T91" s="7"/>
      <c r="U91" s="7"/>
      <c r="V91" s="7"/>
      <c r="W91" s="7">
        <v>74</v>
      </c>
      <c r="X91" s="7"/>
      <c r="Y91" s="7"/>
      <c r="Z91" s="7"/>
      <c r="AA91" s="7"/>
      <c r="AB91" s="7"/>
      <c r="AC91" s="7">
        <v>83.5</v>
      </c>
      <c r="AD91" s="7"/>
      <c r="AE91" s="7"/>
    </row>
    <row r="92" spans="1:31" x14ac:dyDescent="0.2">
      <c r="A92" s="5" t="s">
        <v>126</v>
      </c>
      <c r="B92" s="5" t="s">
        <v>320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v>90.5</v>
      </c>
      <c r="W92" s="7"/>
      <c r="X92" s="7"/>
      <c r="Y92" s="7"/>
      <c r="Z92" s="7"/>
      <c r="AA92" s="7"/>
      <c r="AB92" s="7"/>
      <c r="AC92" s="7"/>
      <c r="AD92" s="7">
        <v>86</v>
      </c>
      <c r="AE92" s="7"/>
    </row>
    <row r="93" spans="1:31" x14ac:dyDescent="0.2">
      <c r="A93" s="5" t="s">
        <v>127</v>
      </c>
      <c r="B93" s="5" t="s">
        <v>321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>
        <v>57.7</v>
      </c>
      <c r="AB93" s="7"/>
      <c r="AC93" s="7"/>
      <c r="AD93" s="7"/>
      <c r="AE93" s="7"/>
    </row>
    <row r="94" spans="1:31" x14ac:dyDescent="0.2">
      <c r="A94" s="5" t="s">
        <v>408</v>
      </c>
      <c r="B94" s="5" t="s">
        <v>307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>
        <v>99.2</v>
      </c>
      <c r="W94" s="7"/>
      <c r="X94" s="7"/>
      <c r="Y94" s="7"/>
      <c r="Z94" s="7">
        <v>98.7</v>
      </c>
      <c r="AA94" s="7"/>
      <c r="AB94" s="7"/>
      <c r="AC94" s="7"/>
      <c r="AD94" s="7"/>
      <c r="AE94" s="7"/>
    </row>
    <row r="95" spans="1:31" x14ac:dyDescent="0.2">
      <c r="A95" s="5" t="s">
        <v>134</v>
      </c>
      <c r="B95" s="5" t="s">
        <v>328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>
        <v>79.8</v>
      </c>
      <c r="AA95" s="7"/>
      <c r="AB95" s="7"/>
      <c r="AC95" s="7"/>
      <c r="AD95" s="7"/>
      <c r="AE95" s="7"/>
    </row>
    <row r="96" spans="1:31" x14ac:dyDescent="0.2">
      <c r="A96" s="5" t="s">
        <v>135</v>
      </c>
      <c r="B96" s="5" t="s">
        <v>329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>
        <v>98</v>
      </c>
      <c r="T96" s="7"/>
      <c r="U96" s="7"/>
      <c r="V96" s="7"/>
      <c r="W96" s="7">
        <v>99.7</v>
      </c>
      <c r="X96" s="7"/>
      <c r="Y96" s="7"/>
      <c r="Z96" s="7"/>
      <c r="AA96" s="7"/>
      <c r="AB96" s="7"/>
      <c r="AC96" s="7"/>
      <c r="AD96" s="7"/>
      <c r="AE96" s="7"/>
    </row>
    <row r="97" spans="1:31" x14ac:dyDescent="0.2">
      <c r="A97" s="5" t="s">
        <v>138</v>
      </c>
      <c r="B97" s="5" t="s">
        <v>332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>
        <v>95</v>
      </c>
      <c r="AC97" s="7"/>
      <c r="AD97" s="7"/>
      <c r="AE97" s="7"/>
    </row>
    <row r="98" spans="1:31" x14ac:dyDescent="0.2">
      <c r="A98" s="5" t="s">
        <v>142</v>
      </c>
      <c r="B98" s="5" t="s">
        <v>336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>
        <v>94</v>
      </c>
      <c r="T98" s="7"/>
      <c r="U98" s="7"/>
      <c r="V98" s="7"/>
      <c r="W98" s="7">
        <v>98.7</v>
      </c>
      <c r="X98" s="7"/>
      <c r="Y98" s="7"/>
      <c r="Z98" s="7"/>
      <c r="AA98" s="7"/>
      <c r="AB98" s="7"/>
      <c r="AC98" s="7"/>
      <c r="AD98" s="7">
        <v>96.3</v>
      </c>
      <c r="AE98" s="7"/>
    </row>
    <row r="99" spans="1:31" x14ac:dyDescent="0.2">
      <c r="A99" s="5" t="s">
        <v>136</v>
      </c>
      <c r="B99" s="5" t="s">
        <v>330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>
        <v>99.2</v>
      </c>
      <c r="T99" s="7"/>
      <c r="U99" s="7"/>
      <c r="V99" s="7"/>
      <c r="W99" s="7">
        <v>82.6</v>
      </c>
      <c r="X99" s="7"/>
      <c r="Y99" s="7"/>
      <c r="Z99" s="7"/>
      <c r="AA99" s="7"/>
      <c r="AB99" s="7"/>
      <c r="AC99" s="7"/>
      <c r="AD99" s="7">
        <v>88.9</v>
      </c>
      <c r="AE99" s="7"/>
    </row>
    <row r="100" spans="1:31" x14ac:dyDescent="0.2">
      <c r="A100" s="5" t="s">
        <v>137</v>
      </c>
      <c r="B100" s="5" t="s">
        <v>331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>
        <v>97.5</v>
      </c>
      <c r="W100" s="7"/>
      <c r="X100" s="7"/>
      <c r="Y100" s="7"/>
      <c r="Z100" s="7"/>
      <c r="AA100" s="7"/>
      <c r="AB100" s="7">
        <v>93.3</v>
      </c>
      <c r="AC100" s="7"/>
      <c r="AD100" s="7"/>
      <c r="AE100" s="7"/>
    </row>
    <row r="101" spans="1:31" x14ac:dyDescent="0.2">
      <c r="A101" s="5" t="s">
        <v>139</v>
      </c>
      <c r="B101" s="5" t="s">
        <v>333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v>99.2</v>
      </c>
      <c r="W101" s="7"/>
      <c r="X101" s="7"/>
      <c r="Y101" s="7"/>
      <c r="Z101" s="7">
        <v>98.2</v>
      </c>
      <c r="AA101" s="7"/>
      <c r="AB101" s="7"/>
      <c r="AC101" s="7"/>
      <c r="AD101" s="7"/>
      <c r="AE101" s="7"/>
    </row>
    <row r="102" spans="1:31" x14ac:dyDescent="0.2">
      <c r="A102" s="5" t="s">
        <v>146</v>
      </c>
      <c r="B102" s="5" t="s">
        <v>340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98.7</v>
      </c>
      <c r="W102" s="7"/>
      <c r="X102" s="7"/>
      <c r="Y102" s="7"/>
      <c r="Z102" s="7">
        <v>95.9</v>
      </c>
      <c r="AA102" s="7"/>
      <c r="AB102" s="7"/>
      <c r="AC102" s="7"/>
      <c r="AD102" s="7"/>
      <c r="AE102" s="7"/>
    </row>
    <row r="103" spans="1:31" x14ac:dyDescent="0.2">
      <c r="A103" s="5" t="s">
        <v>147</v>
      </c>
      <c r="B103" s="5" t="s">
        <v>341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94.7</v>
      </c>
      <c r="W103" s="7"/>
      <c r="X103" s="7"/>
      <c r="Y103" s="7">
        <v>98.3</v>
      </c>
      <c r="Z103" s="7"/>
      <c r="AA103" s="7"/>
      <c r="AB103" s="7"/>
      <c r="AC103" s="7"/>
      <c r="AD103" s="7"/>
      <c r="AE103" s="7"/>
    </row>
    <row r="104" spans="1:31" x14ac:dyDescent="0.2">
      <c r="A104" s="5" t="s">
        <v>148</v>
      </c>
      <c r="B104" s="5" t="s">
        <v>342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>
        <v>89.8</v>
      </c>
      <c r="Y104" s="7"/>
      <c r="Z104" s="7"/>
      <c r="AA104" s="7"/>
      <c r="AB104" s="7"/>
      <c r="AC104" s="7"/>
      <c r="AD104" s="7"/>
      <c r="AE104" s="7"/>
    </row>
    <row r="105" spans="1:31" x14ac:dyDescent="0.2">
      <c r="A105" s="5" t="s">
        <v>95</v>
      </c>
      <c r="B105" s="5" t="s">
        <v>288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>
        <v>84.4</v>
      </c>
      <c r="X105" s="7"/>
      <c r="Y105" s="7"/>
      <c r="Z105" s="7"/>
      <c r="AA105" s="7"/>
      <c r="AB105" s="7"/>
      <c r="AC105" s="7"/>
      <c r="AD105" s="7"/>
      <c r="AE105" s="7"/>
    </row>
    <row r="106" spans="1:31" x14ac:dyDescent="0.2">
      <c r="A106" s="5" t="s">
        <v>187</v>
      </c>
      <c r="B106" s="5" t="s">
        <v>381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>
        <v>88.4</v>
      </c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x14ac:dyDescent="0.2">
      <c r="A107" s="5" t="s">
        <v>151</v>
      </c>
      <c r="B107" s="5" t="s">
        <v>345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78.900000000000006</v>
      </c>
      <c r="U107" s="7"/>
      <c r="V107" s="7"/>
      <c r="W107" s="7"/>
      <c r="X107" s="7"/>
      <c r="Y107" s="7"/>
      <c r="Z107" s="7"/>
      <c r="AA107" s="7">
        <v>87.8</v>
      </c>
      <c r="AB107" s="7"/>
      <c r="AC107" s="7"/>
      <c r="AD107" s="7"/>
      <c r="AE107" s="7"/>
    </row>
    <row r="108" spans="1:31" x14ac:dyDescent="0.2">
      <c r="A108" s="5" t="s">
        <v>156</v>
      </c>
      <c r="B108" s="5" t="s">
        <v>350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>
        <v>95</v>
      </c>
      <c r="W108" s="7"/>
      <c r="X108" s="7"/>
      <c r="Y108" s="7"/>
      <c r="Z108" s="7">
        <v>98.8</v>
      </c>
      <c r="AA108" s="7"/>
      <c r="AB108" s="7"/>
      <c r="AC108" s="7"/>
      <c r="AD108" s="7"/>
      <c r="AE108" s="7"/>
    </row>
    <row r="109" spans="1:31" x14ac:dyDescent="0.2">
      <c r="A109" s="5" t="s">
        <v>154</v>
      </c>
      <c r="B109" s="5" t="s">
        <v>348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>
        <v>89.2</v>
      </c>
      <c r="W109" s="7"/>
      <c r="X109" s="7"/>
      <c r="Y109" s="7"/>
      <c r="Z109" s="7"/>
      <c r="AA109" s="7"/>
      <c r="AB109" s="7"/>
      <c r="AC109" s="7"/>
      <c r="AD109" s="7">
        <v>91.3</v>
      </c>
      <c r="AE109" s="7"/>
    </row>
    <row r="110" spans="1:31" x14ac:dyDescent="0.2">
      <c r="A110" s="5" t="s">
        <v>160</v>
      </c>
      <c r="B110" s="5" t="s">
        <v>354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100</v>
      </c>
      <c r="W110" s="7"/>
      <c r="X110" s="7"/>
      <c r="Y110" s="7"/>
      <c r="Z110" s="7">
        <v>98.3</v>
      </c>
      <c r="AA110" s="7"/>
      <c r="AB110" s="7"/>
      <c r="AC110" s="7"/>
      <c r="AD110" s="7"/>
      <c r="AE110" s="7"/>
    </row>
    <row r="111" spans="1:31" x14ac:dyDescent="0.2">
      <c r="A111" s="5" t="s">
        <v>161</v>
      </c>
      <c r="B111" s="5" t="s">
        <v>355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99.9</v>
      </c>
      <c r="W111" s="7"/>
      <c r="X111" s="7"/>
      <c r="Y111" s="7"/>
      <c r="Z111" s="7">
        <v>100</v>
      </c>
      <c r="AA111" s="7"/>
      <c r="AB111" s="7"/>
      <c r="AC111" s="7"/>
      <c r="AD111" s="7"/>
      <c r="AE111" s="7"/>
    </row>
    <row r="112" spans="1:31" x14ac:dyDescent="0.2">
      <c r="A112" s="5" t="s">
        <v>153</v>
      </c>
      <c r="B112" s="5" t="s">
        <v>347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>
        <v>88.7</v>
      </c>
      <c r="AC112" s="7"/>
      <c r="AD112" s="7"/>
      <c r="AE112" s="7"/>
    </row>
    <row r="113" spans="1:31" x14ac:dyDescent="0.2">
      <c r="A113" s="5" t="s">
        <v>190</v>
      </c>
      <c r="B113" s="5" t="s">
        <v>384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91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x14ac:dyDescent="0.2">
      <c r="A114" s="5" t="s">
        <v>157</v>
      </c>
      <c r="B114" s="5" t="s">
        <v>351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>
        <v>80</v>
      </c>
      <c r="AB114" s="7"/>
      <c r="AC114" s="7"/>
      <c r="AD114" s="7"/>
      <c r="AE114" s="7"/>
    </row>
    <row r="115" spans="1:31" x14ac:dyDescent="0.2">
      <c r="A115" s="5" t="s">
        <v>103</v>
      </c>
      <c r="B115" s="5" t="s">
        <v>296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>
        <v>77.3</v>
      </c>
      <c r="Y115" s="7"/>
      <c r="Z115" s="7"/>
      <c r="AA115" s="7"/>
      <c r="AB115" s="7"/>
      <c r="AC115" s="7"/>
      <c r="AD115" s="7"/>
      <c r="AE115" s="7"/>
    </row>
    <row r="116" spans="1:31" x14ac:dyDescent="0.2">
      <c r="A116" s="5" t="s">
        <v>102</v>
      </c>
      <c r="B116" s="5" t="s">
        <v>295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>
        <v>98.5</v>
      </c>
      <c r="X116" s="7"/>
      <c r="Y116" s="7"/>
      <c r="Z116" s="7"/>
      <c r="AA116" s="7"/>
      <c r="AB116" s="7"/>
      <c r="AC116" s="7"/>
      <c r="AD116" s="7"/>
      <c r="AE116" s="7"/>
    </row>
    <row r="117" spans="1:31" x14ac:dyDescent="0.2">
      <c r="A117" s="5" t="s">
        <v>183</v>
      </c>
      <c r="B117" s="5" t="s">
        <v>377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v>72.599999999999994</v>
      </c>
      <c r="X117" s="7"/>
      <c r="Y117" s="7"/>
      <c r="Z117" s="7"/>
      <c r="AA117" s="7"/>
      <c r="AB117" s="7"/>
      <c r="AC117" s="7"/>
      <c r="AD117" s="7"/>
      <c r="AE117" s="7"/>
    </row>
    <row r="118" spans="1:31" x14ac:dyDescent="0.2">
      <c r="A118" s="5" t="s">
        <v>150</v>
      </c>
      <c r="B118" s="5" t="s">
        <v>344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>
        <v>97</v>
      </c>
      <c r="AB118" s="7"/>
      <c r="AC118" s="7"/>
      <c r="AD118" s="7"/>
      <c r="AE118" s="7"/>
    </row>
    <row r="119" spans="1:31" x14ac:dyDescent="0.2">
      <c r="A119" s="5" t="s">
        <v>159</v>
      </c>
      <c r="B119" s="5" t="s">
        <v>353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>
        <v>98.3</v>
      </c>
      <c r="X119" s="7"/>
      <c r="Y119" s="7"/>
      <c r="Z119" s="7"/>
      <c r="AA119" s="7"/>
      <c r="AB119" s="7"/>
      <c r="AC119" s="7"/>
      <c r="AD119" s="7"/>
      <c r="AE119" s="7">
        <v>83.5</v>
      </c>
    </row>
    <row r="120" spans="1:31" x14ac:dyDescent="0.2">
      <c r="A120" s="5" t="s">
        <v>170</v>
      </c>
      <c r="B120" s="5" t="s">
        <v>364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>
        <v>92.7</v>
      </c>
      <c r="V120" s="7"/>
      <c r="W120" s="7"/>
      <c r="X120" s="7"/>
      <c r="Y120" s="7"/>
      <c r="Z120" s="7">
        <v>96.8</v>
      </c>
      <c r="AA120" s="7"/>
      <c r="AB120" s="7"/>
      <c r="AC120" s="7"/>
      <c r="AD120" s="7"/>
      <c r="AE120" s="7"/>
    </row>
    <row r="121" spans="1:31" x14ac:dyDescent="0.2">
      <c r="A121" s="5" t="s">
        <v>177</v>
      </c>
      <c r="B121" s="5" t="s">
        <v>371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>
        <v>75</v>
      </c>
      <c r="AA121" s="7"/>
      <c r="AB121" s="7"/>
      <c r="AC121" s="7"/>
      <c r="AD121" s="7"/>
      <c r="AE121" s="7"/>
    </row>
    <row r="122" spans="1:31" x14ac:dyDescent="0.2">
      <c r="A122" s="5" t="s">
        <v>169</v>
      </c>
      <c r="B122" s="5" t="s">
        <v>363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>
        <v>86.7</v>
      </c>
      <c r="AD122" s="7"/>
      <c r="AE122" s="7"/>
    </row>
    <row r="123" spans="1:31" x14ac:dyDescent="0.2">
      <c r="A123" s="5" t="s">
        <v>171</v>
      </c>
      <c r="B123" s="5" t="s">
        <v>365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>
        <v>91.7</v>
      </c>
      <c r="W123" s="7"/>
      <c r="X123" s="7"/>
      <c r="Y123" s="7"/>
      <c r="Z123" s="7"/>
      <c r="AA123" s="7"/>
      <c r="AB123" s="7">
        <v>97</v>
      </c>
      <c r="AC123" s="7"/>
      <c r="AD123" s="7"/>
      <c r="AE123" s="7"/>
    </row>
    <row r="124" spans="1:31" x14ac:dyDescent="0.2">
      <c r="A124" s="5" t="s">
        <v>168</v>
      </c>
      <c r="B124" s="5" t="s">
        <v>362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>
        <v>75.8</v>
      </c>
      <c r="W124" s="7"/>
      <c r="X124" s="7"/>
      <c r="Y124" s="7"/>
      <c r="Z124" s="7"/>
      <c r="AA124" s="7"/>
      <c r="AB124" s="7"/>
      <c r="AC124" s="7">
        <v>81</v>
      </c>
      <c r="AD124" s="7"/>
      <c r="AE124" s="7"/>
    </row>
    <row r="125" spans="1:31" x14ac:dyDescent="0.2">
      <c r="A125" s="5" t="s">
        <v>172</v>
      </c>
      <c r="B125" s="5" t="s">
        <v>366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>
        <v>93.5</v>
      </c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x14ac:dyDescent="0.2">
      <c r="A126" s="5" t="s">
        <v>173</v>
      </c>
      <c r="B126" s="5" t="s">
        <v>367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>
        <v>77.7</v>
      </c>
      <c r="X126" s="7"/>
      <c r="Y126" s="7"/>
      <c r="Z126" s="7"/>
      <c r="AA126" s="7"/>
      <c r="AB126" s="7"/>
      <c r="AC126" s="7"/>
      <c r="AD126" s="7"/>
      <c r="AE126" s="7"/>
    </row>
    <row r="127" spans="1:31" x14ac:dyDescent="0.2">
      <c r="A127" s="5" t="s">
        <v>174</v>
      </c>
      <c r="B127" s="5" t="s">
        <v>368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>
        <v>96.4</v>
      </c>
      <c r="AA127" s="7"/>
      <c r="AB127" s="7"/>
      <c r="AC127" s="7"/>
      <c r="AD127" s="7"/>
      <c r="AE127" s="7"/>
    </row>
    <row r="128" spans="1:31" x14ac:dyDescent="0.2">
      <c r="A128" s="5" t="s">
        <v>175</v>
      </c>
      <c r="B128" s="5" t="s">
        <v>369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>
        <v>94.1</v>
      </c>
      <c r="V128" s="7"/>
      <c r="W128" s="7"/>
      <c r="X128" s="7"/>
      <c r="Y128" s="7"/>
      <c r="Z128" s="7">
        <v>98</v>
      </c>
      <c r="AA128" s="7"/>
      <c r="AB128" s="7"/>
      <c r="AC128" s="7"/>
      <c r="AD128" s="7"/>
      <c r="AE128" s="7"/>
    </row>
    <row r="129" spans="1:31" x14ac:dyDescent="0.2">
      <c r="A129" s="5" t="s">
        <v>178</v>
      </c>
      <c r="B129" s="5" t="s">
        <v>372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>
        <v>63.2</v>
      </c>
      <c r="AA129" s="7"/>
      <c r="AB129" s="7"/>
      <c r="AC129" s="7"/>
      <c r="AD129" s="7"/>
      <c r="AE129" s="7"/>
    </row>
    <row r="130" spans="1:31" x14ac:dyDescent="0.2">
      <c r="A130" s="5" t="s">
        <v>179</v>
      </c>
      <c r="B130" s="5" t="s">
        <v>373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>
        <v>95.8</v>
      </c>
      <c r="V130" s="7"/>
      <c r="W130" s="7"/>
      <c r="X130" s="7"/>
      <c r="Y130" s="7"/>
      <c r="Z130" s="7">
        <v>98.1</v>
      </c>
      <c r="AA130" s="7"/>
      <c r="AB130" s="7"/>
      <c r="AC130" s="7"/>
      <c r="AD130" s="7"/>
      <c r="AE130" s="7"/>
    </row>
    <row r="131" spans="1:31" x14ac:dyDescent="0.2">
      <c r="A131" s="5" t="s">
        <v>180</v>
      </c>
      <c r="B131" s="5" t="s">
        <v>374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>
        <v>97.8</v>
      </c>
      <c r="T131" s="7"/>
      <c r="U131" s="7"/>
      <c r="V131" s="7"/>
      <c r="W131" s="7">
        <v>94.6</v>
      </c>
      <c r="X131" s="7"/>
      <c r="Y131" s="7"/>
      <c r="Z131" s="7"/>
      <c r="AA131" s="7"/>
      <c r="AB131" s="7"/>
      <c r="AC131" s="7"/>
      <c r="AD131" s="7">
        <v>94.7</v>
      </c>
      <c r="AE131" s="7"/>
    </row>
    <row r="132" spans="1:31" x14ac:dyDescent="0.2">
      <c r="A132" s="5" t="s">
        <v>182</v>
      </c>
      <c r="B132" s="5" t="s">
        <v>376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>
        <v>100</v>
      </c>
      <c r="V132" s="7"/>
      <c r="W132" s="7"/>
      <c r="X132" s="7"/>
      <c r="Y132" s="7"/>
      <c r="Z132" s="7">
        <v>97.4</v>
      </c>
      <c r="AA132" s="7"/>
      <c r="AB132" s="7"/>
      <c r="AC132" s="7"/>
      <c r="AD132" s="7"/>
      <c r="AE132" s="7"/>
    </row>
    <row r="133" spans="1:31" x14ac:dyDescent="0.2">
      <c r="A133" s="5" t="s">
        <v>186</v>
      </c>
      <c r="B133" s="5" t="s">
        <v>380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>
        <v>88.1</v>
      </c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x14ac:dyDescent="0.2">
      <c r="A134" s="5" t="s">
        <v>184</v>
      </c>
      <c r="B134" s="5" t="s">
        <v>378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>
        <v>97.3</v>
      </c>
      <c r="T134" s="7"/>
      <c r="U134" s="7"/>
      <c r="V134" s="7"/>
      <c r="W134" s="7">
        <v>95.6</v>
      </c>
      <c r="X134" s="7"/>
      <c r="Y134" s="7"/>
      <c r="Z134" s="7"/>
      <c r="AA134" s="7"/>
      <c r="AB134" s="7"/>
      <c r="AC134" s="7"/>
      <c r="AD134" s="7"/>
      <c r="AE134" s="7"/>
    </row>
    <row r="135" spans="1:31" x14ac:dyDescent="0.2">
      <c r="A135" s="5" t="s">
        <v>185</v>
      </c>
      <c r="B135" s="5" t="s">
        <v>379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87.5</v>
      </c>
      <c r="W135" s="7"/>
      <c r="X135" s="7"/>
      <c r="Y135" s="7"/>
      <c r="Z135" s="7"/>
      <c r="AA135" s="7"/>
      <c r="AB135" s="7">
        <v>91.6</v>
      </c>
      <c r="AC135" s="7"/>
      <c r="AD135" s="7"/>
      <c r="AE135" s="7"/>
    </row>
    <row r="136" spans="1:31" x14ac:dyDescent="0.2">
      <c r="A136" s="5" t="s">
        <v>409</v>
      </c>
      <c r="B136" s="5" t="s">
        <v>337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>
        <v>79.3</v>
      </c>
      <c r="AA136" s="7"/>
      <c r="AB136" s="7"/>
      <c r="AC136" s="7"/>
      <c r="AD136" s="7"/>
      <c r="AE136" s="7"/>
    </row>
    <row r="137" spans="1:31" x14ac:dyDescent="0.2">
      <c r="A137" s="5" t="s">
        <v>189</v>
      </c>
      <c r="B137" s="5" t="s">
        <v>383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>
        <v>81.7</v>
      </c>
      <c r="X137" s="7"/>
      <c r="Y137" s="7"/>
      <c r="Z137" s="7">
        <v>68.8</v>
      </c>
      <c r="AA137" s="7"/>
      <c r="AB137" s="7"/>
      <c r="AC137" s="7"/>
      <c r="AD137" s="7"/>
      <c r="AE137" s="7"/>
    </row>
    <row r="138" spans="1:31" x14ac:dyDescent="0.2">
      <c r="A138" s="5" t="s">
        <v>191</v>
      </c>
      <c r="B138" s="5" t="s">
        <v>385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96.2</v>
      </c>
      <c r="U138" s="7"/>
      <c r="V138" s="7"/>
      <c r="W138" s="7"/>
      <c r="X138" s="7"/>
      <c r="Y138" s="7"/>
      <c r="Z138" s="7">
        <v>84.7</v>
      </c>
      <c r="AA138" s="7"/>
      <c r="AB138" s="7"/>
      <c r="AC138" s="7"/>
      <c r="AD138" s="7"/>
      <c r="AE138" s="7"/>
    </row>
    <row r="139" spans="1:31" x14ac:dyDescent="0.2">
      <c r="A139" s="5" t="s">
        <v>192</v>
      </c>
      <c r="B139" s="5" t="s">
        <v>386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>
        <v>94.7</v>
      </c>
      <c r="Y139" s="7"/>
      <c r="Z139" s="7"/>
      <c r="AA139" s="7"/>
      <c r="AB139" s="7"/>
      <c r="AC139" s="7">
        <v>97.2</v>
      </c>
      <c r="AD139" s="7"/>
      <c r="AE139" s="7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F30E-C500-4232-BAAF-692F10D355B5}">
  <dimension ref="A1:AE139"/>
  <sheetViews>
    <sheetView workbookViewId="0">
      <pane xSplit="2" ySplit="1" topLeftCell="S62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ColWidth="9.140625" defaultRowHeight="12.75" x14ac:dyDescent="0.2"/>
  <cols>
    <col min="1" max="1" width="25.140625" style="5" customWidth="1"/>
    <col min="2" max="16384" width="9.140625" style="5"/>
  </cols>
  <sheetData>
    <row r="1" spans="1:31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</row>
    <row r="2" spans="1:31" x14ac:dyDescent="0.2">
      <c r="A2" s="5" t="s">
        <v>1</v>
      </c>
      <c r="B2" s="5" t="s">
        <v>194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1.8</v>
      </c>
      <c r="V2" s="7"/>
      <c r="W2" s="7"/>
      <c r="X2" s="7"/>
      <c r="Y2" s="7"/>
      <c r="Z2" s="7"/>
      <c r="AA2" s="7">
        <v>0.3</v>
      </c>
      <c r="AB2" s="7"/>
      <c r="AC2" s="7"/>
      <c r="AD2" s="7"/>
      <c r="AE2" s="7"/>
    </row>
    <row r="3" spans="1:31" x14ac:dyDescent="0.2">
      <c r="A3" s="5" t="s">
        <v>3</v>
      </c>
      <c r="B3" s="5" t="s">
        <v>196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0.3</v>
      </c>
      <c r="U3" s="7"/>
      <c r="V3" s="7"/>
      <c r="W3" s="7"/>
      <c r="X3" s="7"/>
      <c r="Y3" s="7"/>
      <c r="Z3" s="7">
        <v>0</v>
      </c>
      <c r="AA3" s="7"/>
      <c r="AB3" s="7"/>
      <c r="AC3" s="7"/>
      <c r="AD3" s="7"/>
      <c r="AE3" s="7"/>
    </row>
    <row r="4" spans="1:31" x14ac:dyDescent="0.2">
      <c r="A4" s="5" t="s">
        <v>2</v>
      </c>
      <c r="B4" s="5" t="s">
        <v>195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1.1000000000000001</v>
      </c>
      <c r="X4" s="7"/>
      <c r="Y4" s="7"/>
      <c r="Z4" s="7"/>
      <c r="AA4" s="7"/>
      <c r="AB4" s="7"/>
      <c r="AC4" s="7"/>
      <c r="AD4" s="7"/>
      <c r="AE4" s="7"/>
    </row>
    <row r="5" spans="1:31" x14ac:dyDescent="0.2">
      <c r="A5" s="5" t="s">
        <v>8</v>
      </c>
      <c r="B5" s="5" t="s">
        <v>201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0.8</v>
      </c>
      <c r="X5" s="7"/>
      <c r="Y5" s="7"/>
      <c r="Z5" s="7"/>
      <c r="AA5" s="7"/>
      <c r="AB5" s="7"/>
      <c r="AC5" s="7"/>
      <c r="AD5" s="7"/>
      <c r="AE5" s="7"/>
    </row>
    <row r="6" spans="1:31" x14ac:dyDescent="0.2">
      <c r="A6" s="5" t="s">
        <v>6</v>
      </c>
      <c r="B6" s="5" t="s">
        <v>199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0.6</v>
      </c>
      <c r="T6" s="7"/>
      <c r="U6" s="7"/>
      <c r="V6" s="7"/>
      <c r="W6" s="7">
        <v>0.9</v>
      </c>
      <c r="X6" s="7"/>
      <c r="Y6" s="7"/>
      <c r="Z6" s="7"/>
      <c r="AA6" s="7"/>
      <c r="AB6" s="7"/>
      <c r="AC6" s="7"/>
      <c r="AD6" s="7">
        <v>0.9</v>
      </c>
      <c r="AE6" s="7"/>
    </row>
    <row r="7" spans="1:31" x14ac:dyDescent="0.2">
      <c r="A7" s="5" t="s">
        <v>7</v>
      </c>
      <c r="B7" s="5" t="s">
        <v>200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0.1</v>
      </c>
      <c r="W7" s="7"/>
      <c r="X7" s="7"/>
      <c r="Y7" s="7"/>
      <c r="Z7" s="7">
        <v>0.1</v>
      </c>
      <c r="AA7" s="7"/>
      <c r="AB7" s="7"/>
      <c r="AC7" s="7"/>
      <c r="AD7" s="7"/>
      <c r="AE7" s="7"/>
    </row>
    <row r="8" spans="1:31" x14ac:dyDescent="0.2">
      <c r="A8" s="5" t="s">
        <v>11</v>
      </c>
      <c r="B8" s="5" t="s">
        <v>204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4.7</v>
      </c>
      <c r="W8" s="7"/>
      <c r="X8" s="7"/>
      <c r="Y8" s="7"/>
      <c r="Z8" s="7">
        <v>0.1</v>
      </c>
      <c r="AA8" s="7"/>
      <c r="AB8" s="7"/>
      <c r="AC8" s="7"/>
      <c r="AD8" s="7"/>
      <c r="AE8" s="7"/>
    </row>
    <row r="9" spans="1:31" x14ac:dyDescent="0.2">
      <c r="A9" s="5" t="s">
        <v>19</v>
      </c>
      <c r="B9" s="5" t="s">
        <v>212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0.4</v>
      </c>
      <c r="X9" s="7"/>
      <c r="Y9" s="7"/>
      <c r="Z9" s="7"/>
      <c r="AA9" s="7"/>
      <c r="AB9" s="7"/>
      <c r="AC9" s="7"/>
      <c r="AD9" s="7"/>
      <c r="AE9" s="7"/>
    </row>
    <row r="10" spans="1:31" x14ac:dyDescent="0.2">
      <c r="A10" s="5" t="s">
        <v>16</v>
      </c>
      <c r="B10" s="5" t="s">
        <v>209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v>0.8</v>
      </c>
      <c r="AA10" s="7"/>
      <c r="AB10" s="7"/>
      <c r="AC10" s="7"/>
      <c r="AD10" s="7"/>
      <c r="AE10" s="7"/>
    </row>
    <row r="11" spans="1:31" x14ac:dyDescent="0.2">
      <c r="A11" s="5" t="s">
        <v>26</v>
      </c>
      <c r="B11" s="5" t="s">
        <v>219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0.9</v>
      </c>
      <c r="X11" s="7"/>
      <c r="Y11" s="7"/>
      <c r="Z11" s="7"/>
      <c r="AA11" s="7"/>
      <c r="AB11" s="7"/>
      <c r="AC11" s="7"/>
      <c r="AD11" s="7"/>
      <c r="AE11" s="7"/>
    </row>
    <row r="12" spans="1:31" x14ac:dyDescent="0.2">
      <c r="A12" s="5" t="s">
        <v>21</v>
      </c>
      <c r="B12" s="5" t="s">
        <v>214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2.9</v>
      </c>
      <c r="V12" s="7"/>
      <c r="W12" s="7"/>
      <c r="X12" s="7"/>
      <c r="Y12" s="7"/>
      <c r="Z12" s="7">
        <v>0</v>
      </c>
      <c r="AA12" s="7"/>
      <c r="AB12" s="7"/>
      <c r="AC12" s="7"/>
      <c r="AD12" s="7"/>
      <c r="AE12" s="7">
        <v>0.1</v>
      </c>
    </row>
    <row r="13" spans="1:31" x14ac:dyDescent="0.2">
      <c r="A13" s="5" t="s">
        <v>22</v>
      </c>
      <c r="B13" s="5" t="s">
        <v>215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>
        <v>2</v>
      </c>
      <c r="X13" s="7"/>
      <c r="Y13" s="7"/>
      <c r="Z13" s="7"/>
      <c r="AA13" s="7"/>
      <c r="AB13" s="7"/>
      <c r="AC13" s="7"/>
      <c r="AD13" s="7"/>
      <c r="AE13" s="7"/>
    </row>
    <row r="14" spans="1:31" x14ac:dyDescent="0.2">
      <c r="A14" s="5" t="s">
        <v>14</v>
      </c>
      <c r="B14" s="5" t="s">
        <v>207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1.4</v>
      </c>
      <c r="W14" s="7"/>
      <c r="X14" s="7"/>
      <c r="Y14" s="7"/>
      <c r="Z14" s="7"/>
      <c r="AA14" s="7"/>
      <c r="AB14" s="7"/>
      <c r="AC14" s="7">
        <v>0.4</v>
      </c>
      <c r="AD14" s="7"/>
      <c r="AE14" s="7"/>
    </row>
    <row r="15" spans="1:31" x14ac:dyDescent="0.2">
      <c r="A15" s="5" t="s">
        <v>28</v>
      </c>
      <c r="B15" s="5" t="s">
        <v>221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0.1</v>
      </c>
      <c r="W15" s="7"/>
      <c r="X15" s="7"/>
      <c r="Y15" s="7"/>
      <c r="Z15" s="7"/>
      <c r="AA15" s="7"/>
      <c r="AB15" s="7">
        <v>0.4</v>
      </c>
      <c r="AC15" s="7"/>
      <c r="AD15" s="7"/>
      <c r="AE15" s="7"/>
    </row>
    <row r="16" spans="1:31" x14ac:dyDescent="0.2">
      <c r="A16" s="5" t="s">
        <v>24</v>
      </c>
      <c r="B16" s="5" t="s">
        <v>217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0.9</v>
      </c>
      <c r="T16" s="7"/>
      <c r="U16" s="7"/>
      <c r="V16" s="7"/>
      <c r="W16" s="7">
        <v>4.2</v>
      </c>
      <c r="X16" s="7"/>
      <c r="Y16" s="7"/>
      <c r="Z16" s="7"/>
      <c r="AA16" s="7"/>
      <c r="AB16" s="7"/>
      <c r="AC16" s="7"/>
      <c r="AD16" s="7">
        <v>2.2000000000000002</v>
      </c>
      <c r="AE16" s="7"/>
    </row>
    <row r="17" spans="1:31" x14ac:dyDescent="0.2">
      <c r="A17" s="5" t="s">
        <v>20</v>
      </c>
      <c r="B17" s="5" t="s">
        <v>213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0.2</v>
      </c>
      <c r="W17" s="7"/>
      <c r="X17" s="7"/>
      <c r="Y17" s="7"/>
      <c r="Z17" s="7">
        <v>0</v>
      </c>
      <c r="AA17" s="7"/>
      <c r="AB17" s="7"/>
      <c r="AC17" s="7"/>
      <c r="AD17" s="7"/>
      <c r="AE17" s="7"/>
    </row>
    <row r="18" spans="1:31" x14ac:dyDescent="0.2">
      <c r="A18" s="5" t="s">
        <v>29</v>
      </c>
      <c r="B18" s="5" t="s">
        <v>222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>
        <v>0.2</v>
      </c>
      <c r="X18" s="7"/>
      <c r="Y18" s="7"/>
      <c r="Z18" s="7"/>
      <c r="AA18" s="7"/>
      <c r="AB18" s="7"/>
      <c r="AC18" s="7"/>
      <c r="AD18" s="7"/>
      <c r="AE18" s="7"/>
    </row>
    <row r="19" spans="1:31" x14ac:dyDescent="0.2">
      <c r="A19" s="5" t="s">
        <v>25</v>
      </c>
      <c r="B19" s="5" t="s">
        <v>218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0.1</v>
      </c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">
      <c r="A20" s="5" t="s">
        <v>17</v>
      </c>
      <c r="B20" s="5" t="s">
        <v>210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0</v>
      </c>
      <c r="U20" s="7"/>
      <c r="V20" s="7">
        <v>0.1</v>
      </c>
      <c r="W20" s="7"/>
      <c r="X20" s="7"/>
      <c r="Y20" s="7"/>
      <c r="Z20" s="7">
        <v>0.2</v>
      </c>
      <c r="AA20" s="7"/>
      <c r="AB20" s="7"/>
      <c r="AC20" s="7"/>
      <c r="AD20" s="7"/>
      <c r="AE20" s="7"/>
    </row>
    <row r="21" spans="1:31" x14ac:dyDescent="0.2">
      <c r="A21" s="5" t="s">
        <v>15</v>
      </c>
      <c r="B21" s="5" t="s">
        <v>208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">
      <c r="A22" s="5" t="s">
        <v>12</v>
      </c>
      <c r="B22" s="5" t="s">
        <v>205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0.8</v>
      </c>
      <c r="AB22" s="7"/>
      <c r="AC22" s="7"/>
      <c r="AD22" s="7"/>
      <c r="AE22" s="7"/>
    </row>
    <row r="23" spans="1:31" x14ac:dyDescent="0.2">
      <c r="A23" s="5" t="s">
        <v>41</v>
      </c>
      <c r="B23" s="5" t="s">
        <v>234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2</v>
      </c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">
      <c r="A24" s="5" t="s">
        <v>93</v>
      </c>
      <c r="B24" s="5" t="s">
        <v>286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1.5</v>
      </c>
      <c r="AA24" s="7"/>
      <c r="AB24" s="7"/>
      <c r="AC24" s="7">
        <v>0.7</v>
      </c>
      <c r="AD24" s="7"/>
      <c r="AE24" s="7"/>
    </row>
    <row r="25" spans="1:31" x14ac:dyDescent="0.2">
      <c r="A25" s="5" t="s">
        <v>36</v>
      </c>
      <c r="B25" s="5" t="s">
        <v>229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0.6</v>
      </c>
      <c r="W25" s="7"/>
      <c r="X25" s="7"/>
      <c r="Y25" s="7"/>
      <c r="Z25" s="7"/>
      <c r="AA25" s="7"/>
      <c r="AB25" s="7"/>
      <c r="AC25" s="7">
        <v>0.5</v>
      </c>
      <c r="AD25" s="7"/>
      <c r="AE25" s="7"/>
    </row>
    <row r="26" spans="1:31" x14ac:dyDescent="0.2">
      <c r="A26" s="5" t="s">
        <v>30</v>
      </c>
      <c r="B26" s="5" t="s">
        <v>223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0.2</v>
      </c>
      <c r="Y26" s="7"/>
      <c r="Z26" s="7"/>
      <c r="AA26" s="7"/>
      <c r="AB26" s="7"/>
      <c r="AC26" s="7"/>
      <c r="AD26" s="7"/>
      <c r="AE26" s="7"/>
    </row>
    <row r="27" spans="1:31" x14ac:dyDescent="0.2">
      <c r="A27" s="5" t="s">
        <v>167</v>
      </c>
      <c r="B27" s="5" t="s">
        <v>361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v>1.2</v>
      </c>
      <c r="W27" s="7"/>
      <c r="X27" s="7"/>
      <c r="Y27" s="7"/>
      <c r="Z27" s="7"/>
      <c r="AA27" s="7"/>
      <c r="AB27" s="7"/>
      <c r="AC27" s="7"/>
      <c r="AD27" s="7"/>
      <c r="AE27" s="7">
        <v>1.1000000000000001</v>
      </c>
    </row>
    <row r="28" spans="1:31" x14ac:dyDescent="0.2">
      <c r="A28" s="5" t="s">
        <v>33</v>
      </c>
      <c r="B28" s="5" t="s">
        <v>226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>
        <v>0</v>
      </c>
      <c r="T28" s="7"/>
      <c r="U28" s="7"/>
      <c r="V28" s="7"/>
      <c r="W28" s="7">
        <v>0.2</v>
      </c>
      <c r="X28" s="7"/>
      <c r="Y28" s="7"/>
      <c r="Z28" s="7"/>
      <c r="AA28" s="7"/>
      <c r="AB28" s="7"/>
      <c r="AC28" s="7"/>
      <c r="AD28" s="7"/>
      <c r="AE28" s="7"/>
    </row>
    <row r="29" spans="1:31" x14ac:dyDescent="0.2">
      <c r="A29" s="5" t="s">
        <v>34</v>
      </c>
      <c r="B29" s="5" t="s">
        <v>227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>
        <v>0.1</v>
      </c>
      <c r="Z29" s="7"/>
      <c r="AA29" s="7"/>
      <c r="AB29" s="7"/>
      <c r="AC29" s="7"/>
      <c r="AD29" s="7"/>
      <c r="AE29" s="7"/>
    </row>
    <row r="30" spans="1:31" x14ac:dyDescent="0.2">
      <c r="A30" s="5" t="s">
        <v>39</v>
      </c>
      <c r="B30" s="5" t="s">
        <v>232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1.4</v>
      </c>
      <c r="T30" s="7"/>
      <c r="U30" s="7"/>
      <c r="V30" s="7"/>
      <c r="W30" s="7">
        <v>0.5</v>
      </c>
      <c r="X30" s="7"/>
      <c r="Y30" s="7"/>
      <c r="Z30" s="7"/>
      <c r="AA30" s="7"/>
      <c r="AB30" s="7"/>
      <c r="AC30" s="7"/>
      <c r="AD30" s="7">
        <v>0.5</v>
      </c>
      <c r="AE30" s="7"/>
    </row>
    <row r="31" spans="1:31" x14ac:dyDescent="0.2">
      <c r="A31" s="5" t="s">
        <v>37</v>
      </c>
      <c r="B31" s="5" t="s">
        <v>230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>
        <v>1.9</v>
      </c>
      <c r="X31" s="7"/>
      <c r="Y31" s="7"/>
      <c r="Z31" s="7">
        <v>0.9</v>
      </c>
      <c r="AA31" s="7"/>
      <c r="AB31" s="7"/>
      <c r="AC31" s="7"/>
      <c r="AD31" s="7"/>
      <c r="AE31" s="7"/>
    </row>
    <row r="32" spans="1:31" x14ac:dyDescent="0.2">
      <c r="A32" s="5" t="s">
        <v>38</v>
      </c>
      <c r="B32" s="5" t="s">
        <v>231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0.3</v>
      </c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">
      <c r="A33" s="5" t="s">
        <v>42</v>
      </c>
      <c r="B33" s="5" t="s">
        <v>235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v>1</v>
      </c>
      <c r="X33" s="7"/>
      <c r="Y33" s="7"/>
      <c r="Z33" s="7"/>
      <c r="AA33" s="7"/>
      <c r="AB33" s="7"/>
      <c r="AC33" s="7"/>
      <c r="AD33" s="7"/>
      <c r="AE33" s="7"/>
    </row>
    <row r="34" spans="1:31" x14ac:dyDescent="0.2">
      <c r="A34" s="5" t="s">
        <v>35</v>
      </c>
      <c r="B34" s="5" t="s">
        <v>228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v>0.5</v>
      </c>
      <c r="W34" s="7"/>
      <c r="X34" s="7"/>
      <c r="Y34" s="7"/>
      <c r="Z34" s="7"/>
      <c r="AA34" s="7"/>
      <c r="AB34" s="7"/>
      <c r="AC34" s="7">
        <v>0.6</v>
      </c>
      <c r="AD34" s="7"/>
      <c r="AE34" s="7"/>
    </row>
    <row r="35" spans="1:31" x14ac:dyDescent="0.2">
      <c r="A35" s="5" t="s">
        <v>76</v>
      </c>
      <c r="B35" s="5" t="s">
        <v>269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</v>
      </c>
      <c r="U35" s="7"/>
      <c r="V35" s="7"/>
      <c r="W35" s="7"/>
      <c r="X35" s="7"/>
      <c r="Y35" s="7"/>
      <c r="Z35" s="7">
        <v>0</v>
      </c>
      <c r="AA35" s="7"/>
      <c r="AB35" s="7"/>
      <c r="AC35" s="7"/>
      <c r="AD35" s="7"/>
      <c r="AE35" s="7"/>
    </row>
    <row r="36" spans="1:31" x14ac:dyDescent="0.2">
      <c r="A36" s="5" t="s">
        <v>46</v>
      </c>
      <c r="B36" s="5" t="s">
        <v>239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>
        <v>0.1</v>
      </c>
      <c r="W36" s="7"/>
      <c r="X36" s="7"/>
      <c r="Y36" s="7"/>
      <c r="Z36" s="7">
        <v>0.2</v>
      </c>
      <c r="AA36" s="7"/>
      <c r="AB36" s="7"/>
      <c r="AC36" s="7"/>
      <c r="AD36" s="7"/>
      <c r="AE36" s="7"/>
    </row>
    <row r="37" spans="1:31" x14ac:dyDescent="0.2">
      <c r="A37" s="5" t="s">
        <v>48</v>
      </c>
      <c r="B37" s="5" t="s">
        <v>241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0.1</v>
      </c>
      <c r="AA37" s="7"/>
      <c r="AB37" s="7"/>
      <c r="AC37" s="7"/>
      <c r="AD37" s="7"/>
      <c r="AE37" s="7"/>
    </row>
    <row r="38" spans="1:31" x14ac:dyDescent="0.2">
      <c r="A38" s="5" t="s">
        <v>49</v>
      </c>
      <c r="B38" s="5" t="s">
        <v>242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v>0.3</v>
      </c>
      <c r="X38" s="7"/>
      <c r="Y38" s="7"/>
      <c r="Z38" s="7"/>
      <c r="AA38" s="7"/>
      <c r="AB38" s="7"/>
      <c r="AC38" s="7"/>
      <c r="AD38" s="7"/>
      <c r="AE38" s="7"/>
    </row>
    <row r="39" spans="1:31" x14ac:dyDescent="0.2">
      <c r="A39" s="5" t="s">
        <v>51</v>
      </c>
      <c r="B39" s="5" t="s">
        <v>244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>
        <v>1.2</v>
      </c>
      <c r="X39" s="7"/>
      <c r="Y39" s="7"/>
      <c r="Z39" s="7"/>
      <c r="AA39" s="7"/>
      <c r="AB39" s="7"/>
      <c r="AC39" s="7">
        <v>1.6</v>
      </c>
      <c r="AD39" s="7"/>
      <c r="AE39" s="7"/>
    </row>
    <row r="40" spans="1:31" x14ac:dyDescent="0.2">
      <c r="A40" s="5" t="s">
        <v>53</v>
      </c>
      <c r="B40" s="5" t="s">
        <v>246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>
        <v>0.5</v>
      </c>
      <c r="T40" s="7"/>
      <c r="U40" s="7"/>
      <c r="V40" s="7"/>
      <c r="W40" s="7">
        <v>0.6</v>
      </c>
      <c r="X40" s="7"/>
      <c r="Y40" s="7"/>
      <c r="Z40" s="7"/>
      <c r="AA40" s="7"/>
      <c r="AB40" s="7"/>
      <c r="AC40" s="7"/>
      <c r="AD40" s="7">
        <v>0.5</v>
      </c>
      <c r="AE40" s="7"/>
    </row>
    <row r="41" spans="1:31" x14ac:dyDescent="0.2">
      <c r="A41" s="5" t="s">
        <v>54</v>
      </c>
      <c r="B41" s="5" t="s">
        <v>247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0.3</v>
      </c>
      <c r="AA41" s="7"/>
      <c r="AB41" s="7"/>
      <c r="AC41" s="7">
        <v>0.4</v>
      </c>
      <c r="AD41" s="7"/>
      <c r="AE41" s="7"/>
    </row>
    <row r="42" spans="1:31" x14ac:dyDescent="0.2">
      <c r="A42" s="5" t="s">
        <v>155</v>
      </c>
      <c r="B42" s="5" t="s">
        <v>349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>
        <v>1.9</v>
      </c>
      <c r="T42" s="7"/>
      <c r="U42" s="7"/>
      <c r="V42" s="7"/>
      <c r="W42" s="7">
        <v>1.1000000000000001</v>
      </c>
      <c r="X42" s="7"/>
      <c r="Y42" s="7"/>
      <c r="Z42" s="7"/>
      <c r="AA42" s="7"/>
      <c r="AB42" s="7"/>
      <c r="AC42" s="7">
        <v>1</v>
      </c>
      <c r="AD42" s="7"/>
      <c r="AE42" s="7"/>
    </row>
    <row r="43" spans="1:31" x14ac:dyDescent="0.2">
      <c r="A43" s="5" t="s">
        <v>55</v>
      </c>
      <c r="B43" s="5" t="s">
        <v>248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>
        <v>0</v>
      </c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">
      <c r="A44" s="5" t="s">
        <v>57</v>
      </c>
      <c r="B44" s="5" t="s">
        <v>250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>
        <v>0.1</v>
      </c>
      <c r="W44" s="7"/>
      <c r="X44" s="7"/>
      <c r="Y44" s="7"/>
      <c r="Z44" s="7">
        <v>0.2</v>
      </c>
      <c r="AA44" s="7"/>
      <c r="AB44" s="7"/>
      <c r="AC44" s="7"/>
      <c r="AD44" s="7"/>
      <c r="AE44" s="7"/>
    </row>
    <row r="45" spans="1:31" x14ac:dyDescent="0.2">
      <c r="A45" s="5" t="s">
        <v>163</v>
      </c>
      <c r="B45" s="5" t="s">
        <v>357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>
        <v>0.1</v>
      </c>
      <c r="AD45" s="7"/>
      <c r="AE45" s="7"/>
    </row>
    <row r="46" spans="1:31" x14ac:dyDescent="0.2">
      <c r="A46" s="5" t="s">
        <v>58</v>
      </c>
      <c r="B46" s="5" t="s">
        <v>251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v>0.1</v>
      </c>
      <c r="Y46" s="7"/>
      <c r="Z46" s="7"/>
      <c r="AA46" s="7"/>
      <c r="AB46" s="7">
        <v>0.1</v>
      </c>
      <c r="AC46" s="7"/>
      <c r="AD46" s="7"/>
      <c r="AE46" s="7"/>
    </row>
    <row r="47" spans="1:31" x14ac:dyDescent="0.2">
      <c r="A47" s="5" t="s">
        <v>60</v>
      </c>
      <c r="B47" s="5" t="s">
        <v>253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1.2</v>
      </c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">
      <c r="A48" s="5" t="s">
        <v>63</v>
      </c>
      <c r="B48" s="5" t="s">
        <v>256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0.7</v>
      </c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2">
      <c r="A49" s="5" t="s">
        <v>68</v>
      </c>
      <c r="B49" s="5" t="s">
        <v>261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>
        <v>1.2</v>
      </c>
    </row>
    <row r="50" spans="1:31" x14ac:dyDescent="0.2">
      <c r="A50" s="5" t="s">
        <v>65</v>
      </c>
      <c r="B50" s="5" t="s">
        <v>258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>
        <v>0.4</v>
      </c>
      <c r="V50" s="7"/>
      <c r="W50" s="7"/>
      <c r="X50" s="7"/>
      <c r="Y50" s="7"/>
      <c r="Z50" s="7">
        <v>1</v>
      </c>
      <c r="AA50" s="7"/>
      <c r="AB50" s="7"/>
      <c r="AC50" s="7"/>
      <c r="AD50" s="7"/>
      <c r="AE50" s="7"/>
    </row>
    <row r="51" spans="1:31" x14ac:dyDescent="0.2">
      <c r="A51" s="5" t="s">
        <v>66</v>
      </c>
      <c r="B51" s="5" t="s">
        <v>259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2.2000000000000002</v>
      </c>
      <c r="U51" s="7"/>
      <c r="V51" s="7"/>
      <c r="W51" s="7"/>
      <c r="X51" s="7"/>
      <c r="Y51" s="7"/>
      <c r="Z51" s="7">
        <v>1.1000000000000001</v>
      </c>
      <c r="AA51" s="7"/>
      <c r="AB51" s="7"/>
      <c r="AC51" s="7"/>
      <c r="AD51" s="7"/>
      <c r="AE51" s="7"/>
    </row>
    <row r="52" spans="1:31" x14ac:dyDescent="0.2">
      <c r="A52" s="5" t="s">
        <v>71</v>
      </c>
      <c r="B52" s="5" t="s">
        <v>264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>
        <v>0.4</v>
      </c>
    </row>
    <row r="53" spans="1:31" x14ac:dyDescent="0.2">
      <c r="A53" s="5" t="s">
        <v>72</v>
      </c>
      <c r="B53" s="5" t="s">
        <v>265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6.3</v>
      </c>
      <c r="X53" s="7"/>
      <c r="Y53" s="7"/>
      <c r="Z53" s="7"/>
      <c r="AA53" s="7"/>
      <c r="AB53" s="7"/>
      <c r="AC53" s="7"/>
      <c r="AD53" s="7"/>
      <c r="AE53" s="7"/>
    </row>
    <row r="54" spans="1:31" x14ac:dyDescent="0.2">
      <c r="A54" s="5" t="s">
        <v>73</v>
      </c>
      <c r="B54" s="5" t="s">
        <v>266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>
        <v>0.7</v>
      </c>
      <c r="T54" s="7"/>
      <c r="U54" s="7"/>
      <c r="V54" s="7"/>
      <c r="W54" s="7">
        <v>0.6</v>
      </c>
      <c r="X54" s="7"/>
      <c r="Y54" s="7"/>
      <c r="Z54" s="7"/>
      <c r="AA54" s="7"/>
      <c r="AB54" s="7"/>
      <c r="AC54" s="7"/>
      <c r="AD54" s="7">
        <v>1.7</v>
      </c>
      <c r="AE54" s="7"/>
    </row>
    <row r="55" spans="1:31" x14ac:dyDescent="0.2">
      <c r="A55" s="5" t="s">
        <v>67</v>
      </c>
      <c r="B55" s="5" t="s">
        <v>260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>
        <v>0</v>
      </c>
      <c r="AD55" s="7"/>
      <c r="AE55" s="7"/>
    </row>
    <row r="56" spans="1:31" x14ac:dyDescent="0.2">
      <c r="A56" s="5" t="s">
        <v>74</v>
      </c>
      <c r="B56" s="5" t="s">
        <v>267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v>2.1</v>
      </c>
      <c r="X56" s="7"/>
      <c r="Y56" s="7"/>
      <c r="Z56" s="7"/>
      <c r="AA56" s="7"/>
      <c r="AB56" s="7"/>
      <c r="AC56" s="7"/>
      <c r="AD56" s="7"/>
      <c r="AE56" s="7"/>
    </row>
    <row r="57" spans="1:31" x14ac:dyDescent="0.2">
      <c r="A57" s="5" t="s">
        <v>75</v>
      </c>
      <c r="B57" s="5" t="s">
        <v>268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>
        <v>0.5</v>
      </c>
      <c r="T57" s="7"/>
      <c r="U57" s="7"/>
      <c r="V57" s="7"/>
      <c r="W57" s="7">
        <v>0.9</v>
      </c>
      <c r="X57" s="7"/>
      <c r="Y57" s="7"/>
      <c r="Z57" s="7"/>
      <c r="AA57" s="7"/>
      <c r="AB57" s="7"/>
      <c r="AC57" s="7">
        <v>0.6</v>
      </c>
      <c r="AD57" s="7"/>
      <c r="AE57" s="7"/>
    </row>
    <row r="58" spans="1:31" x14ac:dyDescent="0.2">
      <c r="A58" s="5" t="s">
        <v>78</v>
      </c>
      <c r="B58" s="5" t="s">
        <v>271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>
        <v>0</v>
      </c>
      <c r="W58" s="7"/>
      <c r="X58" s="7"/>
      <c r="Y58" s="7"/>
      <c r="Z58" s="7">
        <v>0.2</v>
      </c>
      <c r="AA58" s="7"/>
      <c r="AB58" s="7"/>
      <c r="AC58" s="7"/>
      <c r="AD58" s="7"/>
      <c r="AE58" s="7"/>
    </row>
    <row r="59" spans="1:31" x14ac:dyDescent="0.2">
      <c r="A59" s="5" t="s">
        <v>80</v>
      </c>
      <c r="B59" s="5" t="s">
        <v>273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>
        <v>0.7</v>
      </c>
      <c r="AB59" s="7"/>
      <c r="AC59" s="7"/>
      <c r="AD59" s="7"/>
      <c r="AE59" s="7"/>
    </row>
    <row r="60" spans="1:31" x14ac:dyDescent="0.2">
      <c r="A60" s="5" t="s">
        <v>79</v>
      </c>
      <c r="B60" s="5" t="s">
        <v>272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>
        <v>2.4</v>
      </c>
      <c r="W60" s="7"/>
      <c r="X60" s="7"/>
      <c r="Y60" s="7"/>
      <c r="Z60" s="7"/>
      <c r="AA60" s="7"/>
      <c r="AB60" s="7">
        <v>2.1</v>
      </c>
      <c r="AC60" s="7"/>
      <c r="AD60" s="7"/>
      <c r="AE60" s="7"/>
    </row>
    <row r="61" spans="1:31" x14ac:dyDescent="0.2">
      <c r="A61" s="5" t="s">
        <v>83</v>
      </c>
      <c r="B61" s="5" t="s">
        <v>276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>
        <v>0.9</v>
      </c>
      <c r="Y61" s="7"/>
      <c r="Z61" s="7"/>
      <c r="AA61" s="7"/>
      <c r="AB61" s="7"/>
      <c r="AC61" s="7"/>
      <c r="AD61" s="7"/>
      <c r="AE61" s="7"/>
    </row>
    <row r="62" spans="1:31" x14ac:dyDescent="0.2">
      <c r="A62" s="5" t="s">
        <v>85</v>
      </c>
      <c r="B62" s="5" t="s">
        <v>278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>
        <v>1.4</v>
      </c>
      <c r="AA62" s="7"/>
      <c r="AB62" s="7"/>
      <c r="AC62" s="7"/>
      <c r="AD62" s="7"/>
      <c r="AE62" s="7"/>
    </row>
    <row r="63" spans="1:31" x14ac:dyDescent="0.2">
      <c r="A63" s="5" t="s">
        <v>87</v>
      </c>
      <c r="B63" s="5" t="s">
        <v>280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>
        <v>0.8</v>
      </c>
      <c r="X63" s="7"/>
      <c r="Y63" s="7"/>
      <c r="Z63" s="7"/>
      <c r="AA63" s="7"/>
      <c r="AB63" s="7"/>
      <c r="AC63" s="7"/>
      <c r="AD63" s="7"/>
      <c r="AE63" s="7"/>
    </row>
    <row r="64" spans="1:31" x14ac:dyDescent="0.2">
      <c r="A64" s="5" t="s">
        <v>88</v>
      </c>
      <c r="B64" s="5" t="s">
        <v>281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>
        <v>0.3</v>
      </c>
      <c r="AA64" s="7"/>
      <c r="AB64" s="7"/>
      <c r="AC64" s="7"/>
      <c r="AD64" s="7"/>
      <c r="AE64" s="7"/>
    </row>
    <row r="65" spans="1:31" x14ac:dyDescent="0.2">
      <c r="A65" s="5" t="s">
        <v>90</v>
      </c>
      <c r="B65" s="5" t="s">
        <v>283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0</v>
      </c>
      <c r="W65" s="7"/>
      <c r="X65" s="7"/>
      <c r="Y65" s="7"/>
      <c r="Z65" s="7">
        <v>0.3</v>
      </c>
      <c r="AA65" s="7"/>
      <c r="AB65" s="7"/>
      <c r="AC65" s="7"/>
      <c r="AD65" s="7"/>
      <c r="AE65" s="7"/>
    </row>
    <row r="66" spans="1:31" x14ac:dyDescent="0.2">
      <c r="A66" s="5" t="s">
        <v>91</v>
      </c>
      <c r="B66" s="5" t="s">
        <v>284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>
        <v>0.4</v>
      </c>
      <c r="AA66" s="7"/>
      <c r="AB66" s="7"/>
      <c r="AC66" s="7"/>
      <c r="AD66" s="7"/>
      <c r="AE66" s="7">
        <v>0.5</v>
      </c>
    </row>
    <row r="67" spans="1:31" x14ac:dyDescent="0.2">
      <c r="A67" s="5" t="s">
        <v>188</v>
      </c>
      <c r="B67" s="5" t="s">
        <v>382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>
        <v>0.2</v>
      </c>
      <c r="W67" s="7"/>
      <c r="X67" s="7"/>
      <c r="Y67" s="7"/>
      <c r="Z67" s="7">
        <v>0.4</v>
      </c>
      <c r="AA67" s="7"/>
      <c r="AB67" s="7"/>
      <c r="AC67" s="7"/>
      <c r="AD67" s="7"/>
      <c r="AE67" s="7"/>
    </row>
    <row r="68" spans="1:31" x14ac:dyDescent="0.2">
      <c r="A68" s="5" t="s">
        <v>92</v>
      </c>
      <c r="B68" s="5" t="s">
        <v>285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v>4.3</v>
      </c>
      <c r="W68" s="7"/>
      <c r="X68" s="7"/>
      <c r="Y68" s="7"/>
      <c r="Z68" s="7">
        <v>0.1</v>
      </c>
      <c r="AA68" s="7"/>
      <c r="AB68" s="7"/>
      <c r="AC68" s="7"/>
      <c r="AD68" s="7"/>
      <c r="AE68" s="7"/>
    </row>
    <row r="69" spans="1:31" x14ac:dyDescent="0.2">
      <c r="A69" s="5" t="s">
        <v>98</v>
      </c>
      <c r="B69" s="5" t="s">
        <v>291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>
        <v>0.2</v>
      </c>
      <c r="W69" s="7"/>
      <c r="X69" s="7"/>
      <c r="Y69" s="7">
        <v>0.4</v>
      </c>
      <c r="Z69" s="7"/>
      <c r="AA69" s="7"/>
      <c r="AB69" s="7"/>
      <c r="AC69" s="7">
        <v>0.1</v>
      </c>
      <c r="AD69" s="7"/>
      <c r="AE69" s="7">
        <v>0.8</v>
      </c>
    </row>
    <row r="70" spans="1:31" x14ac:dyDescent="0.2">
      <c r="A70" s="5" t="s">
        <v>107</v>
      </c>
      <c r="B70" s="5" t="s">
        <v>300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>
        <v>0.1</v>
      </c>
      <c r="W70" s="7"/>
      <c r="X70" s="7"/>
      <c r="Y70" s="7"/>
      <c r="Z70" s="7">
        <v>0.1</v>
      </c>
      <c r="AA70" s="7"/>
      <c r="AB70" s="7"/>
      <c r="AC70" s="7"/>
      <c r="AD70" s="7"/>
      <c r="AE70" s="7"/>
    </row>
    <row r="71" spans="1:31" x14ac:dyDescent="0.2">
      <c r="A71" s="5" t="s">
        <v>99</v>
      </c>
      <c r="B71" s="5" t="s">
        <v>292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>
        <v>1.8</v>
      </c>
      <c r="AA71" s="7"/>
      <c r="AB71" s="7"/>
      <c r="AC71" s="7"/>
      <c r="AD71" s="7"/>
      <c r="AE71" s="7"/>
    </row>
    <row r="72" spans="1:31" x14ac:dyDescent="0.2">
      <c r="A72" s="5" t="s">
        <v>104</v>
      </c>
      <c r="B72" s="5" t="s">
        <v>297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0.6</v>
      </c>
      <c r="W72" s="7"/>
      <c r="X72" s="7"/>
      <c r="Y72" s="7"/>
      <c r="Z72" s="7"/>
      <c r="AA72" s="7"/>
      <c r="AB72" s="7"/>
      <c r="AC72" s="7">
        <v>0.5</v>
      </c>
      <c r="AD72" s="7"/>
      <c r="AE72" s="7"/>
    </row>
    <row r="73" spans="1:31" x14ac:dyDescent="0.2">
      <c r="A73" s="5" t="s">
        <v>100</v>
      </c>
      <c r="B73" s="5" t="s">
        <v>293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0.6</v>
      </c>
      <c r="W73" s="7"/>
      <c r="X73" s="7"/>
      <c r="Y73" s="7"/>
      <c r="Z73" s="7"/>
      <c r="AA73" s="7"/>
      <c r="AB73" s="7"/>
      <c r="AC73" s="7"/>
      <c r="AD73" s="7">
        <v>0.9</v>
      </c>
      <c r="AE73" s="7"/>
    </row>
    <row r="74" spans="1:31" x14ac:dyDescent="0.2">
      <c r="A74" s="5" t="s">
        <v>105</v>
      </c>
      <c r="B74" s="5" t="s">
        <v>298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0.3</v>
      </c>
      <c r="W74" s="7"/>
      <c r="X74" s="7"/>
      <c r="Y74" s="7"/>
      <c r="Z74" s="7">
        <v>0.2</v>
      </c>
      <c r="AA74" s="7"/>
      <c r="AB74" s="7"/>
      <c r="AC74" s="7"/>
      <c r="AD74" s="7"/>
      <c r="AE74" s="7"/>
    </row>
    <row r="75" spans="1:31" x14ac:dyDescent="0.2">
      <c r="A75" s="5" t="s">
        <v>110</v>
      </c>
      <c r="B75" s="5" t="s">
        <v>303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0.1</v>
      </c>
      <c r="W75" s="7"/>
      <c r="X75" s="7"/>
      <c r="Y75" s="7"/>
      <c r="Z75" s="7">
        <v>1</v>
      </c>
      <c r="AA75" s="7"/>
      <c r="AB75" s="7"/>
      <c r="AC75" s="7"/>
      <c r="AD75" s="7"/>
      <c r="AE75" s="7"/>
    </row>
    <row r="76" spans="1:31" x14ac:dyDescent="0.2">
      <c r="A76" s="5" t="s">
        <v>122</v>
      </c>
      <c r="B76" s="5" t="s">
        <v>316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0.6</v>
      </c>
      <c r="W76" s="7"/>
      <c r="X76" s="7"/>
      <c r="Y76" s="7"/>
      <c r="Z76" s="7"/>
      <c r="AA76" s="7">
        <v>0.7</v>
      </c>
      <c r="AB76" s="7"/>
      <c r="AC76" s="7"/>
      <c r="AD76" s="7"/>
      <c r="AE76" s="7"/>
    </row>
    <row r="77" spans="1:31" x14ac:dyDescent="0.2">
      <c r="A77" s="5" t="s">
        <v>123</v>
      </c>
      <c r="B77" s="5" t="s">
        <v>317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>
        <v>0.7</v>
      </c>
      <c r="AC77" s="7"/>
      <c r="AD77" s="7"/>
      <c r="AE77" s="7"/>
    </row>
    <row r="78" spans="1:31" x14ac:dyDescent="0.2">
      <c r="A78" s="5" t="s">
        <v>114</v>
      </c>
      <c r="B78" s="5" t="s">
        <v>308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0.6</v>
      </c>
      <c r="U78" s="7"/>
      <c r="V78" s="7"/>
      <c r="W78" s="7">
        <v>0.5</v>
      </c>
      <c r="X78" s="7"/>
      <c r="Y78" s="7"/>
      <c r="Z78" s="7"/>
      <c r="AA78" s="7"/>
      <c r="AB78" s="7"/>
      <c r="AC78" s="7">
        <v>0.8</v>
      </c>
      <c r="AD78" s="7"/>
      <c r="AE78" s="7"/>
    </row>
    <row r="79" spans="1:31" x14ac:dyDescent="0.2">
      <c r="A79" s="5" t="s">
        <v>120</v>
      </c>
      <c r="B79" s="5" t="s">
        <v>314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>
        <v>1</v>
      </c>
      <c r="AB79" s="7"/>
      <c r="AC79" s="7"/>
      <c r="AD79" s="7"/>
      <c r="AE79" s="7"/>
    </row>
    <row r="80" spans="1:31" x14ac:dyDescent="0.2">
      <c r="A80" s="5" t="s">
        <v>121</v>
      </c>
      <c r="B80" s="5" t="s">
        <v>315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1.5</v>
      </c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2">
      <c r="A81" s="5" t="s">
        <v>112</v>
      </c>
      <c r="B81" s="5" t="s">
        <v>305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>
        <v>0.1</v>
      </c>
      <c r="T81" s="7"/>
      <c r="U81" s="7"/>
      <c r="V81" s="7"/>
      <c r="W81" s="7">
        <v>1.5</v>
      </c>
      <c r="X81" s="7"/>
      <c r="Y81" s="7"/>
      <c r="Z81" s="7"/>
      <c r="AA81" s="7"/>
      <c r="AB81" s="7"/>
      <c r="AC81" s="7"/>
      <c r="AD81" s="7"/>
      <c r="AE81" s="7"/>
    </row>
    <row r="82" spans="1:31" x14ac:dyDescent="0.2">
      <c r="A82" s="5" t="s">
        <v>62</v>
      </c>
      <c r="B82" s="5" t="s">
        <v>255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>
        <v>0.2</v>
      </c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2">
      <c r="A83" s="5" t="s">
        <v>109</v>
      </c>
      <c r="B83" s="5" t="s">
        <v>302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0.1</v>
      </c>
      <c r="W83" s="7"/>
      <c r="X83" s="7"/>
      <c r="Y83" s="7"/>
      <c r="Z83" s="7">
        <v>0</v>
      </c>
      <c r="AA83" s="7"/>
      <c r="AB83" s="7"/>
      <c r="AC83" s="7"/>
      <c r="AD83" s="7"/>
      <c r="AE83" s="7"/>
    </row>
    <row r="84" spans="1:31" x14ac:dyDescent="0.2">
      <c r="A84" s="5" t="s">
        <v>118</v>
      </c>
      <c r="B84" s="5" t="s">
        <v>312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2.5</v>
      </c>
      <c r="W84" s="7"/>
      <c r="X84" s="7"/>
      <c r="Y84" s="7"/>
      <c r="Z84" s="7">
        <v>0.8</v>
      </c>
      <c r="AA84" s="7"/>
      <c r="AB84" s="7"/>
      <c r="AC84" s="7"/>
      <c r="AD84" s="7"/>
      <c r="AE84" s="7"/>
    </row>
    <row r="85" spans="1:31" x14ac:dyDescent="0.2">
      <c r="A85" s="5" t="s">
        <v>117</v>
      </c>
      <c r="B85" s="5" t="s">
        <v>311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>
        <v>0.2</v>
      </c>
      <c r="W85" s="7"/>
      <c r="X85" s="7"/>
      <c r="Y85" s="7"/>
      <c r="Z85" s="7">
        <v>0</v>
      </c>
      <c r="AA85" s="7"/>
      <c r="AB85" s="7"/>
      <c r="AC85" s="7"/>
      <c r="AD85" s="7"/>
      <c r="AE85" s="7"/>
    </row>
    <row r="86" spans="1:31" x14ac:dyDescent="0.2">
      <c r="A86" s="5" t="s">
        <v>108</v>
      </c>
      <c r="B86" s="5" t="s">
        <v>301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>
        <v>0.2</v>
      </c>
      <c r="AA86" s="7"/>
      <c r="AB86" s="7"/>
      <c r="AC86" s="7"/>
      <c r="AD86" s="7"/>
      <c r="AE86" s="7"/>
    </row>
    <row r="87" spans="1:31" x14ac:dyDescent="0.2">
      <c r="A87" s="5" t="s">
        <v>119</v>
      </c>
      <c r="B87" s="5" t="s">
        <v>313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0.6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>
        <v>0.3</v>
      </c>
    </row>
    <row r="88" spans="1:31" x14ac:dyDescent="0.2">
      <c r="A88" s="5" t="s">
        <v>116</v>
      </c>
      <c r="B88" s="5" t="s">
        <v>310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>
        <v>0.9</v>
      </c>
      <c r="AB88" s="7"/>
      <c r="AC88" s="7">
        <v>1.5</v>
      </c>
      <c r="AD88" s="7"/>
      <c r="AE88" s="7"/>
    </row>
    <row r="89" spans="1:31" x14ac:dyDescent="0.2">
      <c r="A89" s="5" t="s">
        <v>124</v>
      </c>
      <c r="B89" s="5" t="s">
        <v>318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>
        <v>0.6</v>
      </c>
      <c r="AB89" s="7"/>
      <c r="AC89" s="7"/>
      <c r="AD89" s="7"/>
      <c r="AE89" s="7"/>
    </row>
    <row r="90" spans="1:31" x14ac:dyDescent="0.2">
      <c r="A90" s="5" t="s">
        <v>131</v>
      </c>
      <c r="B90" s="5" t="s">
        <v>325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>
        <v>0.3</v>
      </c>
      <c r="W90" s="7"/>
      <c r="X90" s="7"/>
      <c r="Y90" s="7"/>
      <c r="Z90" s="7">
        <v>0.8</v>
      </c>
      <c r="AA90" s="7"/>
      <c r="AB90" s="7"/>
      <c r="AC90" s="7"/>
      <c r="AD90" s="7"/>
      <c r="AE90" s="7"/>
    </row>
    <row r="91" spans="1:31" x14ac:dyDescent="0.2">
      <c r="A91" s="5" t="s">
        <v>128</v>
      </c>
      <c r="B91" s="5" t="s">
        <v>322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0.5</v>
      </c>
      <c r="T91" s="7"/>
      <c r="U91" s="7"/>
      <c r="V91" s="7"/>
      <c r="W91" s="7">
        <v>2</v>
      </c>
      <c r="X91" s="7"/>
      <c r="Y91" s="7"/>
      <c r="Z91" s="7"/>
      <c r="AA91" s="7"/>
      <c r="AB91" s="7"/>
      <c r="AC91" s="7">
        <v>0.6</v>
      </c>
      <c r="AD91" s="7"/>
      <c r="AE91" s="7"/>
    </row>
    <row r="92" spans="1:31" x14ac:dyDescent="0.2">
      <c r="A92" s="5" t="s">
        <v>126</v>
      </c>
      <c r="B92" s="5" t="s">
        <v>320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>
        <v>0.5</v>
      </c>
      <c r="W92" s="7"/>
      <c r="X92" s="7"/>
      <c r="Y92" s="7"/>
      <c r="Z92" s="7"/>
      <c r="AA92" s="7"/>
      <c r="AB92" s="7"/>
      <c r="AC92" s="7"/>
      <c r="AD92" s="7">
        <v>1</v>
      </c>
      <c r="AE92" s="7"/>
    </row>
    <row r="93" spans="1:31" x14ac:dyDescent="0.2">
      <c r="A93" s="5" t="s">
        <v>127</v>
      </c>
      <c r="B93" s="5" t="s">
        <v>321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>
        <v>1.5</v>
      </c>
      <c r="AB93" s="7"/>
      <c r="AC93" s="7"/>
      <c r="AD93" s="7"/>
      <c r="AE93" s="7"/>
    </row>
    <row r="94" spans="1:31" x14ac:dyDescent="0.2">
      <c r="A94" s="5" t="s">
        <v>408</v>
      </c>
      <c r="B94" s="5" t="s">
        <v>307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>
        <v>0</v>
      </c>
      <c r="W94" s="7"/>
      <c r="X94" s="7"/>
      <c r="Y94" s="7"/>
      <c r="Z94" s="7">
        <v>0.1</v>
      </c>
      <c r="AA94" s="7"/>
      <c r="AB94" s="7"/>
      <c r="AC94" s="7"/>
      <c r="AD94" s="7"/>
      <c r="AE94" s="7"/>
    </row>
    <row r="95" spans="1:31" x14ac:dyDescent="0.2">
      <c r="A95" s="5" t="s">
        <v>134</v>
      </c>
      <c r="B95" s="5" t="s">
        <v>328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>
        <v>0.7</v>
      </c>
      <c r="AA95" s="7"/>
      <c r="AB95" s="7"/>
      <c r="AC95" s="7"/>
      <c r="AD95" s="7"/>
      <c r="AE95" s="7"/>
    </row>
    <row r="96" spans="1:31" x14ac:dyDescent="0.2">
      <c r="A96" s="5" t="s">
        <v>135</v>
      </c>
      <c r="B96" s="5" t="s">
        <v>329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>
        <v>0.1</v>
      </c>
      <c r="T96" s="7"/>
      <c r="U96" s="7"/>
      <c r="V96" s="7"/>
      <c r="W96" s="7">
        <v>0</v>
      </c>
      <c r="X96" s="7"/>
      <c r="Y96" s="7"/>
      <c r="Z96" s="7"/>
      <c r="AA96" s="7"/>
      <c r="AB96" s="7"/>
      <c r="AC96" s="7"/>
      <c r="AD96" s="7"/>
      <c r="AE96" s="7"/>
    </row>
    <row r="97" spans="1:31" x14ac:dyDescent="0.2">
      <c r="A97" s="5" t="s">
        <v>138</v>
      </c>
      <c r="B97" s="5" t="s">
        <v>332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>
        <v>1</v>
      </c>
      <c r="AC97" s="7"/>
      <c r="AD97" s="7"/>
      <c r="AE97" s="7"/>
    </row>
    <row r="98" spans="1:31" x14ac:dyDescent="0.2">
      <c r="A98" s="5" t="s">
        <v>142</v>
      </c>
      <c r="B98" s="5" t="s">
        <v>336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>
        <v>0.6</v>
      </c>
      <c r="T98" s="7"/>
      <c r="U98" s="7"/>
      <c r="V98" s="7"/>
      <c r="W98" s="7">
        <v>0.3</v>
      </c>
      <c r="X98" s="7"/>
      <c r="Y98" s="7"/>
      <c r="Z98" s="7"/>
      <c r="AA98" s="7"/>
      <c r="AB98" s="7"/>
      <c r="AC98" s="7"/>
      <c r="AD98" s="7">
        <v>0.2</v>
      </c>
      <c r="AE98" s="7"/>
    </row>
    <row r="99" spans="1:31" x14ac:dyDescent="0.2">
      <c r="A99" s="5" t="s">
        <v>136</v>
      </c>
      <c r="B99" s="5" t="s">
        <v>330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>
        <v>0</v>
      </c>
      <c r="T99" s="7"/>
      <c r="U99" s="7"/>
      <c r="V99" s="7"/>
      <c r="W99" s="7">
        <v>0.7</v>
      </c>
      <c r="X99" s="7"/>
      <c r="Y99" s="7"/>
      <c r="Z99" s="7"/>
      <c r="AA99" s="7"/>
      <c r="AB99" s="7"/>
      <c r="AC99" s="7"/>
      <c r="AD99" s="7">
        <v>0.6</v>
      </c>
      <c r="AE99" s="7"/>
    </row>
    <row r="100" spans="1:31" x14ac:dyDescent="0.2">
      <c r="A100" s="5" t="s">
        <v>137</v>
      </c>
      <c r="B100" s="5" t="s">
        <v>331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>
        <v>0.5</v>
      </c>
      <c r="W100" s="7"/>
      <c r="X100" s="7"/>
      <c r="Y100" s="7"/>
      <c r="Z100" s="7"/>
      <c r="AA100" s="7"/>
      <c r="AB100" s="7">
        <v>0.3</v>
      </c>
      <c r="AC100" s="7"/>
      <c r="AD100" s="7"/>
      <c r="AE100" s="7"/>
    </row>
    <row r="101" spans="1:31" x14ac:dyDescent="0.2">
      <c r="A101" s="5" t="s">
        <v>139</v>
      </c>
      <c r="B101" s="5" t="s">
        <v>333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v>0</v>
      </c>
      <c r="W101" s="7"/>
      <c r="X101" s="7"/>
      <c r="Y101" s="7"/>
      <c r="Z101" s="7">
        <v>0.1</v>
      </c>
      <c r="AA101" s="7"/>
      <c r="AB101" s="7"/>
      <c r="AC101" s="7"/>
      <c r="AD101" s="7"/>
      <c r="AE101" s="7"/>
    </row>
    <row r="102" spans="1:31" x14ac:dyDescent="0.2">
      <c r="A102" s="5" t="s">
        <v>146</v>
      </c>
      <c r="B102" s="5" t="s">
        <v>340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0.1</v>
      </c>
      <c r="W102" s="7"/>
      <c r="X102" s="7"/>
      <c r="Y102" s="7"/>
      <c r="Z102" s="7">
        <v>0</v>
      </c>
      <c r="AA102" s="7"/>
      <c r="AB102" s="7"/>
      <c r="AC102" s="7"/>
      <c r="AD102" s="7"/>
      <c r="AE102" s="7"/>
    </row>
    <row r="103" spans="1:31" x14ac:dyDescent="0.2">
      <c r="A103" s="5" t="s">
        <v>147</v>
      </c>
      <c r="B103" s="5" t="s">
        <v>341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0.8</v>
      </c>
      <c r="W103" s="7"/>
      <c r="X103" s="7"/>
      <c r="Y103" s="7">
        <v>0.3</v>
      </c>
      <c r="Z103" s="7"/>
      <c r="AA103" s="7"/>
      <c r="AB103" s="7"/>
      <c r="AC103" s="7"/>
      <c r="AD103" s="7"/>
      <c r="AE103" s="7"/>
    </row>
    <row r="104" spans="1:31" x14ac:dyDescent="0.2">
      <c r="A104" s="5" t="s">
        <v>148</v>
      </c>
      <c r="B104" s="5" t="s">
        <v>342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>
        <v>0.4</v>
      </c>
      <c r="Y104" s="7"/>
      <c r="Z104" s="7"/>
      <c r="AA104" s="7"/>
      <c r="AB104" s="7"/>
      <c r="AC104" s="7"/>
      <c r="AD104" s="7"/>
      <c r="AE104" s="7"/>
    </row>
    <row r="105" spans="1:31" x14ac:dyDescent="0.2">
      <c r="A105" s="5" t="s">
        <v>95</v>
      </c>
      <c r="B105" s="5" t="s">
        <v>288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>
        <v>0.8</v>
      </c>
      <c r="X105" s="7"/>
      <c r="Y105" s="7"/>
      <c r="Z105" s="7"/>
      <c r="AA105" s="7"/>
      <c r="AB105" s="7"/>
      <c r="AC105" s="7"/>
      <c r="AD105" s="7"/>
      <c r="AE105" s="7"/>
    </row>
    <row r="106" spans="1:31" x14ac:dyDescent="0.2">
      <c r="A106" s="5" t="s">
        <v>187</v>
      </c>
      <c r="B106" s="5" t="s">
        <v>381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>
        <v>0.6</v>
      </c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x14ac:dyDescent="0.2">
      <c r="A107" s="5" t="s">
        <v>151</v>
      </c>
      <c r="B107" s="5" t="s">
        <v>345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0.9</v>
      </c>
      <c r="U107" s="7"/>
      <c r="V107" s="7"/>
      <c r="W107" s="7"/>
      <c r="X107" s="7"/>
      <c r="Y107" s="7"/>
      <c r="Z107" s="7"/>
      <c r="AA107" s="7">
        <v>0.5</v>
      </c>
      <c r="AB107" s="7"/>
      <c r="AC107" s="7"/>
      <c r="AD107" s="7"/>
      <c r="AE107" s="7"/>
    </row>
    <row r="108" spans="1:31" x14ac:dyDescent="0.2">
      <c r="A108" s="5" t="s">
        <v>156</v>
      </c>
      <c r="B108" s="5" t="s">
        <v>350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>
        <v>0.2</v>
      </c>
      <c r="W108" s="7"/>
      <c r="X108" s="7"/>
      <c r="Y108" s="7"/>
      <c r="Z108" s="7">
        <v>0.1</v>
      </c>
      <c r="AA108" s="7"/>
      <c r="AB108" s="7"/>
      <c r="AC108" s="7"/>
      <c r="AD108" s="7"/>
      <c r="AE108" s="7"/>
    </row>
    <row r="109" spans="1:31" x14ac:dyDescent="0.2">
      <c r="A109" s="5" t="s">
        <v>154</v>
      </c>
      <c r="B109" s="5" t="s">
        <v>348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>
        <v>0.9</v>
      </c>
      <c r="W109" s="7"/>
      <c r="X109" s="7"/>
      <c r="Y109" s="7"/>
      <c r="Z109" s="7"/>
      <c r="AA109" s="7"/>
      <c r="AB109" s="7"/>
      <c r="AC109" s="7"/>
      <c r="AD109" s="7">
        <v>0.2</v>
      </c>
      <c r="AE109" s="7"/>
    </row>
    <row r="110" spans="1:31" x14ac:dyDescent="0.2">
      <c r="A110" s="5" t="s">
        <v>160</v>
      </c>
      <c r="B110" s="5" t="s">
        <v>354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0</v>
      </c>
      <c r="W110" s="7"/>
      <c r="X110" s="7"/>
      <c r="Y110" s="7"/>
      <c r="Z110" s="7">
        <v>0</v>
      </c>
      <c r="AA110" s="7"/>
      <c r="AB110" s="7"/>
      <c r="AC110" s="7"/>
      <c r="AD110" s="7"/>
      <c r="AE110" s="7"/>
    </row>
    <row r="111" spans="1:31" x14ac:dyDescent="0.2">
      <c r="A111" s="5" t="s">
        <v>161</v>
      </c>
      <c r="B111" s="5" t="s">
        <v>355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0</v>
      </c>
      <c r="W111" s="7"/>
      <c r="X111" s="7"/>
      <c r="Y111" s="7"/>
      <c r="Z111" s="7">
        <v>0</v>
      </c>
      <c r="AA111" s="7"/>
      <c r="AB111" s="7"/>
      <c r="AC111" s="7"/>
      <c r="AD111" s="7"/>
      <c r="AE111" s="7"/>
    </row>
    <row r="112" spans="1:31" x14ac:dyDescent="0.2">
      <c r="A112" s="5" t="s">
        <v>153</v>
      </c>
      <c r="B112" s="5" t="s">
        <v>347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>
        <v>0.2</v>
      </c>
      <c r="AC112" s="7"/>
      <c r="AD112" s="7"/>
      <c r="AE112" s="7"/>
    </row>
    <row r="113" spans="1:31" x14ac:dyDescent="0.2">
      <c r="A113" s="5" t="s">
        <v>190</v>
      </c>
      <c r="B113" s="5" t="s">
        <v>384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0.3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x14ac:dyDescent="0.2">
      <c r="A114" s="5" t="s">
        <v>157</v>
      </c>
      <c r="B114" s="5" t="s">
        <v>351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>
        <v>0.6</v>
      </c>
      <c r="AB114" s="7"/>
      <c r="AC114" s="7"/>
      <c r="AD114" s="7"/>
      <c r="AE114" s="7"/>
    </row>
    <row r="115" spans="1:31" x14ac:dyDescent="0.2">
      <c r="A115" s="5" t="s">
        <v>103</v>
      </c>
      <c r="B115" s="5" t="s">
        <v>296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>
        <v>2.1</v>
      </c>
      <c r="Y115" s="7"/>
      <c r="Z115" s="7"/>
      <c r="AA115" s="7"/>
      <c r="AB115" s="7"/>
      <c r="AC115" s="7"/>
      <c r="AD115" s="7"/>
      <c r="AE115" s="7"/>
    </row>
    <row r="116" spans="1:31" x14ac:dyDescent="0.2">
      <c r="A116" s="5" t="s">
        <v>102</v>
      </c>
      <c r="B116" s="5" t="s">
        <v>295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>
        <v>0.2</v>
      </c>
      <c r="X116" s="7"/>
      <c r="Y116" s="7"/>
      <c r="Z116" s="7"/>
      <c r="AA116" s="7"/>
      <c r="AB116" s="7"/>
      <c r="AC116" s="7"/>
      <c r="AD116" s="7"/>
      <c r="AE116" s="7"/>
    </row>
    <row r="117" spans="1:31" x14ac:dyDescent="0.2">
      <c r="A117" s="5" t="s">
        <v>183</v>
      </c>
      <c r="B117" s="5" t="s">
        <v>377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v>1.8</v>
      </c>
      <c r="X117" s="7"/>
      <c r="Y117" s="7"/>
      <c r="Z117" s="7"/>
      <c r="AA117" s="7"/>
      <c r="AB117" s="7"/>
      <c r="AC117" s="7"/>
      <c r="AD117" s="7"/>
      <c r="AE117" s="7"/>
    </row>
    <row r="118" spans="1:31" x14ac:dyDescent="0.2">
      <c r="A118" s="5" t="s">
        <v>150</v>
      </c>
      <c r="B118" s="5" t="s">
        <v>344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>
        <v>0.3</v>
      </c>
      <c r="AB118" s="7"/>
      <c r="AC118" s="7"/>
      <c r="AD118" s="7"/>
      <c r="AE118" s="7"/>
    </row>
    <row r="119" spans="1:31" x14ac:dyDescent="0.2">
      <c r="A119" s="5" t="s">
        <v>159</v>
      </c>
      <c r="B119" s="5" t="s">
        <v>353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>
        <v>0</v>
      </c>
      <c r="X119" s="7"/>
      <c r="Y119" s="7"/>
      <c r="Z119" s="7"/>
      <c r="AA119" s="7"/>
      <c r="AB119" s="7"/>
      <c r="AC119" s="7"/>
      <c r="AD119" s="7"/>
      <c r="AE119" s="7">
        <v>0.9</v>
      </c>
    </row>
    <row r="120" spans="1:31" x14ac:dyDescent="0.2">
      <c r="A120" s="5" t="s">
        <v>170</v>
      </c>
      <c r="B120" s="5" t="s">
        <v>364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>
        <v>6.8</v>
      </c>
      <c r="V120" s="7"/>
      <c r="W120" s="7"/>
      <c r="X120" s="7"/>
      <c r="Y120" s="7"/>
      <c r="Z120" s="7">
        <v>1.5</v>
      </c>
      <c r="AA120" s="7"/>
      <c r="AB120" s="7"/>
      <c r="AC120" s="7"/>
      <c r="AD120" s="7"/>
      <c r="AE120" s="7"/>
    </row>
    <row r="121" spans="1:31" x14ac:dyDescent="0.2">
      <c r="A121" s="5" t="s">
        <v>177</v>
      </c>
      <c r="B121" s="5" t="s">
        <v>371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>
        <v>0.8</v>
      </c>
      <c r="AA121" s="7"/>
      <c r="AB121" s="7"/>
      <c r="AC121" s="7"/>
      <c r="AD121" s="7"/>
      <c r="AE121" s="7"/>
    </row>
    <row r="122" spans="1:31" x14ac:dyDescent="0.2">
      <c r="A122" s="5" t="s">
        <v>169</v>
      </c>
      <c r="B122" s="5" t="s">
        <v>363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>
        <v>0.4</v>
      </c>
      <c r="AD122" s="7"/>
      <c r="AE122" s="7"/>
    </row>
    <row r="123" spans="1:31" x14ac:dyDescent="0.2">
      <c r="A123" s="5" t="s">
        <v>171</v>
      </c>
      <c r="B123" s="5" t="s">
        <v>365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>
        <v>0.7</v>
      </c>
      <c r="W123" s="7"/>
      <c r="X123" s="7"/>
      <c r="Y123" s="7"/>
      <c r="Z123" s="7"/>
      <c r="AA123" s="7"/>
      <c r="AB123" s="7">
        <v>0</v>
      </c>
      <c r="AC123" s="7"/>
      <c r="AD123" s="7"/>
      <c r="AE123" s="7"/>
    </row>
    <row r="124" spans="1:31" x14ac:dyDescent="0.2">
      <c r="A124" s="5" t="s">
        <v>168</v>
      </c>
      <c r="B124" s="5" t="s">
        <v>362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>
        <v>1.2</v>
      </c>
      <c r="W124" s="7"/>
      <c r="X124" s="7"/>
      <c r="Y124" s="7"/>
      <c r="Z124" s="7"/>
      <c r="AA124" s="7"/>
      <c r="AB124" s="7"/>
      <c r="AC124" s="7">
        <v>1</v>
      </c>
      <c r="AD124" s="7"/>
      <c r="AE124" s="7"/>
    </row>
    <row r="125" spans="1:31" x14ac:dyDescent="0.2">
      <c r="A125" s="5" t="s">
        <v>172</v>
      </c>
      <c r="B125" s="5" t="s">
        <v>366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>
        <v>0.2</v>
      </c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x14ac:dyDescent="0.2">
      <c r="A126" s="5" t="s">
        <v>173</v>
      </c>
      <c r="B126" s="5" t="s">
        <v>367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>
        <v>2.2000000000000002</v>
      </c>
      <c r="X126" s="7"/>
      <c r="Y126" s="7"/>
      <c r="Z126" s="7"/>
      <c r="AA126" s="7"/>
      <c r="AB126" s="7"/>
      <c r="AC126" s="7"/>
      <c r="AD126" s="7"/>
      <c r="AE126" s="7"/>
    </row>
    <row r="127" spans="1:31" x14ac:dyDescent="0.2">
      <c r="A127" s="5" t="s">
        <v>174</v>
      </c>
      <c r="B127" s="5" t="s">
        <v>368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>
        <v>0.1</v>
      </c>
      <c r="AA127" s="7"/>
      <c r="AB127" s="7"/>
      <c r="AC127" s="7"/>
      <c r="AD127" s="7"/>
      <c r="AE127" s="7"/>
    </row>
    <row r="128" spans="1:31" x14ac:dyDescent="0.2">
      <c r="A128" s="5" t="s">
        <v>175</v>
      </c>
      <c r="B128" s="5" t="s">
        <v>369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>
        <v>0.4</v>
      </c>
      <c r="V128" s="7"/>
      <c r="W128" s="7"/>
      <c r="X128" s="7"/>
      <c r="Y128" s="7"/>
      <c r="Z128" s="7">
        <v>0.1</v>
      </c>
      <c r="AA128" s="7"/>
      <c r="AB128" s="7"/>
      <c r="AC128" s="7"/>
      <c r="AD128" s="7"/>
      <c r="AE128" s="7"/>
    </row>
    <row r="129" spans="1:31" x14ac:dyDescent="0.2">
      <c r="A129" s="5" t="s">
        <v>178</v>
      </c>
      <c r="B129" s="5" t="s">
        <v>372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>
        <v>1</v>
      </c>
      <c r="AA129" s="7"/>
      <c r="AB129" s="7"/>
      <c r="AC129" s="7"/>
      <c r="AD129" s="7"/>
      <c r="AE129" s="7"/>
    </row>
    <row r="130" spans="1:31" x14ac:dyDescent="0.2">
      <c r="A130" s="5" t="s">
        <v>179</v>
      </c>
      <c r="B130" s="5" t="s">
        <v>373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>
        <v>0.9</v>
      </c>
      <c r="V130" s="7"/>
      <c r="W130" s="7"/>
      <c r="X130" s="7"/>
      <c r="Y130" s="7"/>
      <c r="Z130" s="7">
        <v>0.1</v>
      </c>
      <c r="AA130" s="7"/>
      <c r="AB130" s="7"/>
      <c r="AC130" s="7"/>
      <c r="AD130" s="7"/>
      <c r="AE130" s="7"/>
    </row>
    <row r="131" spans="1:31" x14ac:dyDescent="0.2">
      <c r="A131" s="5" t="s">
        <v>180</v>
      </c>
      <c r="B131" s="5" t="s">
        <v>374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>
        <v>0.2</v>
      </c>
      <c r="T131" s="7"/>
      <c r="U131" s="7"/>
      <c r="V131" s="7"/>
      <c r="W131" s="7">
        <v>0.6</v>
      </c>
      <c r="X131" s="7"/>
      <c r="Y131" s="7"/>
      <c r="Z131" s="7"/>
      <c r="AA131" s="7"/>
      <c r="AB131" s="7"/>
      <c r="AC131" s="7"/>
      <c r="AD131" s="7">
        <v>0.5</v>
      </c>
      <c r="AE131" s="7"/>
    </row>
    <row r="132" spans="1:31" x14ac:dyDescent="0.2">
      <c r="A132" s="5" t="s">
        <v>182</v>
      </c>
      <c r="B132" s="5" t="s">
        <v>376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>
        <v>4.0999999999999996</v>
      </c>
      <c r="V132" s="7"/>
      <c r="W132" s="7"/>
      <c r="X132" s="7"/>
      <c r="Y132" s="7"/>
      <c r="Z132" s="7">
        <v>1.8</v>
      </c>
      <c r="AA132" s="7"/>
      <c r="AB132" s="7"/>
      <c r="AC132" s="7"/>
      <c r="AD132" s="7"/>
      <c r="AE132" s="7"/>
    </row>
    <row r="133" spans="1:31" x14ac:dyDescent="0.2">
      <c r="A133" s="5" t="s">
        <v>186</v>
      </c>
      <c r="B133" s="5" t="s">
        <v>380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>
        <v>1.3</v>
      </c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x14ac:dyDescent="0.2">
      <c r="A134" s="5" t="s">
        <v>184</v>
      </c>
      <c r="B134" s="5" t="s">
        <v>378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>
        <v>0.1</v>
      </c>
      <c r="T134" s="7"/>
      <c r="U134" s="7"/>
      <c r="V134" s="7"/>
      <c r="W134" s="7">
        <v>0.1</v>
      </c>
      <c r="X134" s="7"/>
      <c r="Y134" s="7"/>
      <c r="Z134" s="7"/>
      <c r="AA134" s="7"/>
      <c r="AB134" s="7"/>
      <c r="AC134" s="7"/>
      <c r="AD134" s="7"/>
      <c r="AE134" s="7"/>
    </row>
    <row r="135" spans="1:31" ht="12" customHeight="1" x14ac:dyDescent="0.2">
      <c r="A135" s="5" t="s">
        <v>185</v>
      </c>
      <c r="B135" s="5" t="s">
        <v>379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1.4</v>
      </c>
      <c r="W135" s="7"/>
      <c r="X135" s="7"/>
      <c r="Y135" s="7"/>
      <c r="Z135" s="7"/>
      <c r="AA135" s="7"/>
      <c r="AB135" s="7">
        <v>0.8</v>
      </c>
      <c r="AC135" s="7"/>
      <c r="AD135" s="7"/>
      <c r="AE135" s="7"/>
    </row>
    <row r="136" spans="1:31" x14ac:dyDescent="0.2">
      <c r="A136" s="5" t="s">
        <v>409</v>
      </c>
      <c r="B136" s="5" t="s">
        <v>337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>
        <v>1.3</v>
      </c>
      <c r="AA136" s="7"/>
      <c r="AB136" s="7"/>
      <c r="AC136" s="7"/>
      <c r="AD136" s="7"/>
      <c r="AE136" s="7"/>
    </row>
    <row r="137" spans="1:31" x14ac:dyDescent="0.2">
      <c r="A137" s="5" t="s">
        <v>189</v>
      </c>
      <c r="B137" s="5" t="s">
        <v>383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>
        <v>0.8</v>
      </c>
      <c r="X137" s="7"/>
      <c r="Y137" s="7"/>
      <c r="Z137" s="7">
        <v>1.1000000000000001</v>
      </c>
      <c r="AA137" s="7"/>
      <c r="AB137" s="7"/>
      <c r="AC137" s="7"/>
      <c r="AD137" s="7"/>
      <c r="AE137" s="7"/>
    </row>
    <row r="138" spans="1:31" x14ac:dyDescent="0.2">
      <c r="A138" s="5" t="s">
        <v>191</v>
      </c>
      <c r="B138" s="5" t="s">
        <v>385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0.2</v>
      </c>
      <c r="U138" s="7"/>
      <c r="V138" s="7"/>
      <c r="W138" s="7"/>
      <c r="X138" s="7"/>
      <c r="Y138" s="7"/>
      <c r="Z138" s="7">
        <v>0.6</v>
      </c>
      <c r="AA138" s="7"/>
      <c r="AB138" s="7"/>
      <c r="AC138" s="7"/>
      <c r="AD138" s="7"/>
      <c r="AE138" s="7"/>
    </row>
    <row r="139" spans="1:31" x14ac:dyDescent="0.2">
      <c r="A139" s="5" t="s">
        <v>192</v>
      </c>
      <c r="B139" s="5" t="s">
        <v>386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>
        <v>0.3</v>
      </c>
      <c r="Y139" s="7"/>
      <c r="Z139" s="7"/>
      <c r="AA139" s="7"/>
      <c r="AB139" s="7"/>
      <c r="AC139" s="7">
        <v>0.1</v>
      </c>
      <c r="AD139" s="7"/>
      <c r="AE139" s="7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84CD-5B12-4ABC-BE14-D77D23069DE9}">
  <dimension ref="A1:AE140"/>
  <sheetViews>
    <sheetView workbookViewId="0">
      <pane xSplit="2" ySplit="1" topLeftCell="S2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ColWidth="9.140625" defaultRowHeight="12.75" x14ac:dyDescent="0.2"/>
  <cols>
    <col min="1" max="1" width="26.5703125" style="5" customWidth="1"/>
    <col min="2" max="16384" width="9.140625" style="5"/>
  </cols>
  <sheetData>
    <row r="1" spans="1:31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</row>
    <row r="2" spans="1:31" x14ac:dyDescent="0.2">
      <c r="A2" s="5" t="s">
        <v>1</v>
      </c>
      <c r="B2" s="5" t="s">
        <v>194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29.9</v>
      </c>
      <c r="V2" s="7"/>
      <c r="W2" s="7"/>
      <c r="X2" s="7"/>
      <c r="Y2" s="7"/>
      <c r="Z2" s="7"/>
      <c r="AA2" s="7">
        <v>33.5</v>
      </c>
      <c r="AB2" s="7"/>
      <c r="AC2" s="7"/>
      <c r="AD2" s="7"/>
      <c r="AE2" s="7"/>
    </row>
    <row r="3" spans="1:31" x14ac:dyDescent="0.2">
      <c r="A3" s="5" t="s">
        <v>3</v>
      </c>
      <c r="B3" s="5" t="s">
        <v>196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47.2</v>
      </c>
      <c r="U3" s="7"/>
      <c r="V3" s="7"/>
      <c r="W3" s="7"/>
      <c r="X3" s="7"/>
      <c r="Y3" s="7"/>
      <c r="Z3" s="7">
        <v>23.8</v>
      </c>
      <c r="AA3" s="7"/>
      <c r="AB3" s="7"/>
      <c r="AC3" s="7"/>
      <c r="AD3" s="7"/>
      <c r="AE3" s="7"/>
    </row>
    <row r="4" spans="1:31" x14ac:dyDescent="0.2">
      <c r="A4" s="5" t="s">
        <v>2</v>
      </c>
      <c r="B4" s="5" t="s">
        <v>195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v>26.6</v>
      </c>
      <c r="T4" s="7"/>
      <c r="U4" s="7"/>
      <c r="V4" s="7"/>
      <c r="W4" s="7">
        <v>38.799999999999997</v>
      </c>
      <c r="X4" s="7"/>
      <c r="Y4" s="7"/>
      <c r="Z4" s="7"/>
      <c r="AA4" s="7"/>
      <c r="AB4" s="7"/>
      <c r="AC4" s="7"/>
      <c r="AD4" s="7"/>
      <c r="AE4" s="7"/>
    </row>
    <row r="5" spans="1:31" x14ac:dyDescent="0.2">
      <c r="A5" s="5" t="s">
        <v>8</v>
      </c>
      <c r="B5" s="5" t="s">
        <v>201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36.700000000000003</v>
      </c>
      <c r="X5" s="7"/>
      <c r="Y5" s="7"/>
      <c r="Z5" s="7"/>
      <c r="AA5" s="7"/>
      <c r="AB5" s="7"/>
      <c r="AC5" s="7"/>
      <c r="AD5" s="7"/>
      <c r="AE5" s="7"/>
    </row>
    <row r="6" spans="1:31" x14ac:dyDescent="0.2">
      <c r="A6" s="5" t="s">
        <v>6</v>
      </c>
      <c r="B6" s="5" t="s">
        <v>199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40.5</v>
      </c>
      <c r="T6" s="7"/>
      <c r="U6" s="7"/>
      <c r="V6" s="7"/>
      <c r="W6" s="7">
        <v>40</v>
      </c>
      <c r="X6" s="7"/>
      <c r="Y6" s="7"/>
      <c r="Z6" s="7"/>
      <c r="AA6" s="7"/>
      <c r="AB6" s="7"/>
      <c r="AC6" s="7"/>
      <c r="AD6" s="7">
        <v>31.1</v>
      </c>
      <c r="AE6" s="7"/>
    </row>
    <row r="7" spans="1:31" x14ac:dyDescent="0.2">
      <c r="A7" s="5" t="s">
        <v>7</v>
      </c>
      <c r="B7" s="5" t="s">
        <v>200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40.9</v>
      </c>
      <c r="W7" s="7"/>
      <c r="X7" s="7"/>
      <c r="Y7" s="7"/>
      <c r="Z7" s="7">
        <v>9.5</v>
      </c>
      <c r="AA7" s="7"/>
      <c r="AB7" s="7"/>
      <c r="AC7" s="7"/>
      <c r="AD7" s="7"/>
      <c r="AE7" s="7"/>
    </row>
    <row r="8" spans="1:31" x14ac:dyDescent="0.2">
      <c r="A8" s="5" t="s">
        <v>11</v>
      </c>
      <c r="B8" s="5" t="s">
        <v>204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30.7</v>
      </c>
      <c r="W8" s="7"/>
      <c r="X8" s="7"/>
      <c r="Y8" s="7"/>
      <c r="Z8" s="7">
        <v>7.1</v>
      </c>
      <c r="AA8" s="7"/>
      <c r="AB8" s="7"/>
      <c r="AC8" s="7"/>
      <c r="AD8" s="7"/>
      <c r="AE8" s="7"/>
    </row>
    <row r="9" spans="1:31" x14ac:dyDescent="0.2">
      <c r="A9" s="5" t="s">
        <v>19</v>
      </c>
      <c r="B9" s="5" t="s">
        <v>212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19.5</v>
      </c>
      <c r="X9" s="7"/>
      <c r="Y9" s="7"/>
      <c r="Z9" s="7"/>
      <c r="AA9" s="7"/>
      <c r="AB9" s="7"/>
      <c r="AC9" s="7"/>
      <c r="AD9" s="7"/>
      <c r="AE9" s="7"/>
    </row>
    <row r="10" spans="1:31" x14ac:dyDescent="0.2">
      <c r="A10" s="5" t="s">
        <v>16</v>
      </c>
      <c r="B10" s="5" t="s">
        <v>209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16.899999999999999</v>
      </c>
      <c r="U10" s="7"/>
      <c r="V10" s="7"/>
      <c r="W10" s="7"/>
      <c r="X10" s="7"/>
      <c r="Y10" s="7"/>
      <c r="Z10" s="7">
        <v>9.1</v>
      </c>
      <c r="AA10" s="7"/>
      <c r="AB10" s="7"/>
      <c r="AC10" s="7"/>
      <c r="AD10" s="7"/>
      <c r="AE10" s="7"/>
    </row>
    <row r="11" spans="1:31" x14ac:dyDescent="0.2">
      <c r="A11" s="5" t="s">
        <v>26</v>
      </c>
      <c r="B11" s="5" t="s">
        <v>219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11.9</v>
      </c>
      <c r="X11" s="7"/>
      <c r="Y11" s="7"/>
      <c r="Z11" s="7"/>
      <c r="AA11" s="7"/>
      <c r="AB11" s="7"/>
      <c r="AC11" s="7"/>
      <c r="AD11" s="7"/>
      <c r="AE11" s="7"/>
    </row>
    <row r="12" spans="1:31" x14ac:dyDescent="0.2">
      <c r="A12" s="5" t="s">
        <v>21</v>
      </c>
      <c r="B12" s="5" t="s">
        <v>214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30.3</v>
      </c>
      <c r="V12" s="7"/>
      <c r="W12" s="7"/>
      <c r="X12" s="7"/>
      <c r="Y12" s="7"/>
      <c r="Z12" s="7">
        <v>12.1</v>
      </c>
      <c r="AA12" s="7"/>
      <c r="AB12" s="7"/>
      <c r="AC12" s="7"/>
      <c r="AD12" s="7"/>
      <c r="AE12" s="7">
        <v>9.6</v>
      </c>
    </row>
    <row r="13" spans="1:31" x14ac:dyDescent="0.2">
      <c r="A13" s="5" t="s">
        <v>22</v>
      </c>
      <c r="B13" s="5" t="s">
        <v>215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>
        <v>33.1</v>
      </c>
      <c r="X13" s="7"/>
      <c r="Y13" s="7"/>
      <c r="Z13" s="7"/>
      <c r="AA13" s="7"/>
      <c r="AB13" s="7"/>
      <c r="AC13" s="7"/>
      <c r="AD13" s="7"/>
      <c r="AE13" s="7"/>
    </row>
    <row r="14" spans="1:31" x14ac:dyDescent="0.2">
      <c r="A14" s="5" t="s">
        <v>14</v>
      </c>
      <c r="B14" s="5" t="s">
        <v>207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72.099999999999994</v>
      </c>
      <c r="W14" s="7"/>
      <c r="X14" s="7"/>
      <c r="Y14" s="7"/>
      <c r="Z14" s="7"/>
      <c r="AA14" s="7"/>
      <c r="AB14" s="7"/>
      <c r="AC14" s="7">
        <v>50.1</v>
      </c>
      <c r="AD14" s="7"/>
      <c r="AE14" s="7"/>
    </row>
    <row r="15" spans="1:31" x14ac:dyDescent="0.2">
      <c r="A15" s="5" t="s">
        <v>28</v>
      </c>
      <c r="B15" s="5" t="s">
        <v>221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11.9</v>
      </c>
      <c r="W15" s="7"/>
      <c r="X15" s="7"/>
      <c r="Y15" s="7"/>
      <c r="Z15" s="7"/>
      <c r="AA15" s="7"/>
      <c r="AB15" s="7">
        <v>9.8000000000000007</v>
      </c>
      <c r="AC15" s="7"/>
      <c r="AD15" s="7"/>
      <c r="AE15" s="7"/>
    </row>
    <row r="16" spans="1:31" x14ac:dyDescent="0.2">
      <c r="A16" s="5" t="s">
        <v>24</v>
      </c>
      <c r="B16" s="5" t="s">
        <v>217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57.7</v>
      </c>
      <c r="T16" s="7"/>
      <c r="U16" s="7"/>
      <c r="V16" s="7"/>
      <c r="W16" s="7">
        <v>49.8</v>
      </c>
      <c r="X16" s="7"/>
      <c r="Y16" s="7"/>
      <c r="Z16" s="7"/>
      <c r="AA16" s="7"/>
      <c r="AB16" s="7"/>
      <c r="AC16" s="7"/>
      <c r="AD16" s="7">
        <v>46.8</v>
      </c>
      <c r="AE16" s="7"/>
    </row>
    <row r="17" spans="1:31" x14ac:dyDescent="0.2">
      <c r="A17" s="5" t="s">
        <v>20</v>
      </c>
      <c r="B17" s="5" t="s">
        <v>213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23.5</v>
      </c>
      <c r="W17" s="7"/>
      <c r="X17" s="7"/>
      <c r="Y17" s="7"/>
      <c r="Z17" s="7">
        <v>18.899999999999999</v>
      </c>
      <c r="AA17" s="7"/>
      <c r="AB17" s="7"/>
      <c r="AC17" s="7"/>
      <c r="AD17" s="7"/>
      <c r="AE17" s="7"/>
    </row>
    <row r="18" spans="1:31" x14ac:dyDescent="0.2">
      <c r="A18" s="5" t="s">
        <v>29</v>
      </c>
      <c r="B18" s="5" t="s">
        <v>222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23.4</v>
      </c>
      <c r="T18" s="7"/>
      <c r="U18" s="7"/>
      <c r="V18" s="7"/>
      <c r="W18" s="7">
        <v>30.6</v>
      </c>
      <c r="X18" s="7"/>
      <c r="Y18" s="7"/>
      <c r="Z18" s="7"/>
      <c r="AA18" s="7"/>
      <c r="AB18" s="7"/>
      <c r="AC18" s="7"/>
      <c r="AD18" s="7"/>
      <c r="AE18" s="7"/>
    </row>
    <row r="19" spans="1:31" x14ac:dyDescent="0.2">
      <c r="A19" s="5" t="s">
        <v>25</v>
      </c>
      <c r="B19" s="5" t="s">
        <v>218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49.1</v>
      </c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">
      <c r="A20" s="5" t="s">
        <v>17</v>
      </c>
      <c r="B20" s="5" t="s">
        <v>210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39.1</v>
      </c>
      <c r="U20" s="7"/>
      <c r="V20" s="7">
        <v>28.1</v>
      </c>
      <c r="W20" s="7"/>
      <c r="X20" s="7"/>
      <c r="Y20" s="7"/>
      <c r="Z20" s="7">
        <v>31.9</v>
      </c>
      <c r="AA20" s="7"/>
      <c r="AB20" s="7"/>
      <c r="AC20" s="7"/>
      <c r="AD20" s="7"/>
      <c r="AE20" s="7"/>
    </row>
    <row r="21" spans="1:31" x14ac:dyDescent="0.2">
      <c r="A21" s="5" t="s">
        <v>15</v>
      </c>
      <c r="B21" s="5" t="s">
        <v>208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58.5</v>
      </c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">
      <c r="A22" s="5" t="s">
        <v>12</v>
      </c>
      <c r="B22" s="5" t="s">
        <v>205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>
        <v>37.6</v>
      </c>
      <c r="T22" s="7"/>
      <c r="U22" s="7"/>
      <c r="V22" s="7"/>
      <c r="W22" s="7"/>
      <c r="X22" s="7"/>
      <c r="Y22" s="7"/>
      <c r="Z22" s="7"/>
      <c r="AA22" s="7">
        <v>24.4</v>
      </c>
      <c r="AB22" s="7"/>
      <c r="AC22" s="7"/>
      <c r="AD22" s="7"/>
      <c r="AE22" s="7"/>
    </row>
    <row r="23" spans="1:31" x14ac:dyDescent="0.2">
      <c r="A23" s="5" t="s">
        <v>41</v>
      </c>
      <c r="B23" s="5" t="s">
        <v>234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51.9</v>
      </c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">
      <c r="A24" s="5" t="s">
        <v>93</v>
      </c>
      <c r="B24" s="5" t="s">
        <v>286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36.799999999999997</v>
      </c>
      <c r="AA24" s="7"/>
      <c r="AB24" s="7"/>
      <c r="AC24" s="7">
        <v>32</v>
      </c>
      <c r="AD24" s="7"/>
      <c r="AE24" s="7"/>
    </row>
    <row r="25" spans="1:31" x14ac:dyDescent="0.2">
      <c r="A25" s="5" t="s">
        <v>36</v>
      </c>
      <c r="B25" s="5" t="s">
        <v>229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76</v>
      </c>
      <c r="W25" s="7"/>
      <c r="X25" s="7"/>
      <c r="Y25" s="7"/>
      <c r="Z25" s="7"/>
      <c r="AA25" s="7"/>
      <c r="AB25" s="7"/>
      <c r="AC25" s="7">
        <v>53.3</v>
      </c>
      <c r="AD25" s="7"/>
      <c r="AE25" s="7"/>
    </row>
    <row r="26" spans="1:31" x14ac:dyDescent="0.2">
      <c r="A26" s="5" t="s">
        <v>30</v>
      </c>
      <c r="B26" s="5" t="s">
        <v>223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45</v>
      </c>
      <c r="Y26" s="7"/>
      <c r="Z26" s="7"/>
      <c r="AA26" s="7"/>
      <c r="AB26" s="7"/>
      <c r="AC26" s="7"/>
      <c r="AD26" s="7"/>
      <c r="AE26" s="7"/>
    </row>
    <row r="27" spans="1:31" x14ac:dyDescent="0.2">
      <c r="A27" s="5" t="s">
        <v>167</v>
      </c>
      <c r="B27" s="5" t="s">
        <v>361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v>72.400000000000006</v>
      </c>
      <c r="W27" s="7"/>
      <c r="X27" s="7"/>
      <c r="Y27" s="7"/>
      <c r="Z27" s="7"/>
      <c r="AA27" s="7"/>
      <c r="AB27" s="7"/>
      <c r="AC27" s="7"/>
      <c r="AD27" s="7"/>
      <c r="AE27" s="7">
        <v>31</v>
      </c>
    </row>
    <row r="28" spans="1:31" x14ac:dyDescent="0.2">
      <c r="A28" s="5" t="s">
        <v>33</v>
      </c>
      <c r="B28" s="5" t="s">
        <v>226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>
        <v>25.3</v>
      </c>
      <c r="T28" s="7"/>
      <c r="U28" s="7"/>
      <c r="V28" s="7"/>
      <c r="W28" s="7">
        <v>24.4</v>
      </c>
      <c r="X28" s="7"/>
      <c r="Y28" s="7"/>
      <c r="Z28" s="7"/>
      <c r="AA28" s="7"/>
      <c r="AB28" s="7"/>
      <c r="AC28" s="7"/>
      <c r="AD28" s="7"/>
      <c r="AE28" s="7"/>
    </row>
    <row r="29" spans="1:31" x14ac:dyDescent="0.2">
      <c r="A29" s="5" t="s">
        <v>34</v>
      </c>
      <c r="B29" s="5" t="s">
        <v>227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>
        <v>7.4</v>
      </c>
      <c r="Z29" s="7"/>
      <c r="AA29" s="7"/>
      <c r="AB29" s="7"/>
      <c r="AC29" s="7"/>
      <c r="AD29" s="7"/>
      <c r="AE29" s="7"/>
    </row>
    <row r="30" spans="1:31" x14ac:dyDescent="0.2">
      <c r="A30" s="5" t="s">
        <v>39</v>
      </c>
      <c r="B30" s="5" t="s">
        <v>232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53.2</v>
      </c>
      <c r="T30" s="7"/>
      <c r="U30" s="7"/>
      <c r="V30" s="7"/>
      <c r="W30" s="7">
        <v>55.2</v>
      </c>
      <c r="X30" s="7"/>
      <c r="Y30" s="7"/>
      <c r="Z30" s="7"/>
      <c r="AA30" s="7"/>
      <c r="AB30" s="7"/>
      <c r="AC30" s="7"/>
      <c r="AD30" s="7">
        <v>47.6</v>
      </c>
      <c r="AE30" s="7"/>
    </row>
    <row r="31" spans="1:31" x14ac:dyDescent="0.2">
      <c r="A31" s="5" t="s">
        <v>37</v>
      </c>
      <c r="B31" s="5" t="s">
        <v>230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40.5</v>
      </c>
      <c r="T31" s="7"/>
      <c r="U31" s="7"/>
      <c r="V31" s="7"/>
      <c r="W31" s="7">
        <v>65.3</v>
      </c>
      <c r="X31" s="7"/>
      <c r="Y31" s="7"/>
      <c r="Z31" s="7">
        <v>38.6</v>
      </c>
      <c r="AA31" s="7"/>
      <c r="AB31" s="7"/>
      <c r="AC31" s="7"/>
      <c r="AD31" s="7"/>
      <c r="AE31" s="7"/>
    </row>
    <row r="32" spans="1:31" x14ac:dyDescent="0.2">
      <c r="A32" s="5" t="s">
        <v>38</v>
      </c>
      <c r="B32" s="5" t="s">
        <v>231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54.2</v>
      </c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">
      <c r="A33" s="5" t="s">
        <v>42</v>
      </c>
      <c r="B33" s="5" t="s">
        <v>235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v>33.299999999999997</v>
      </c>
      <c r="X33" s="7"/>
      <c r="Y33" s="7"/>
      <c r="Z33" s="7"/>
      <c r="AA33" s="7"/>
      <c r="AB33" s="7"/>
      <c r="AC33" s="7"/>
      <c r="AD33" s="7"/>
      <c r="AE33" s="7"/>
    </row>
    <row r="34" spans="1:31" x14ac:dyDescent="0.2">
      <c r="A34" s="5" t="s">
        <v>35</v>
      </c>
      <c r="B34" s="5" t="s">
        <v>228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v>21.5</v>
      </c>
      <c r="W34" s="7"/>
      <c r="X34" s="7"/>
      <c r="Y34" s="7"/>
      <c r="Z34" s="7"/>
      <c r="AA34" s="7"/>
      <c r="AB34" s="7"/>
      <c r="AC34" s="7">
        <v>66.900000000000006</v>
      </c>
      <c r="AD34" s="7"/>
      <c r="AE34" s="7"/>
    </row>
    <row r="35" spans="1:31" x14ac:dyDescent="0.2">
      <c r="A35" s="5" t="s">
        <v>76</v>
      </c>
      <c r="B35" s="5" t="s">
        <v>269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25</v>
      </c>
      <c r="U35" s="7"/>
      <c r="V35" s="7"/>
      <c r="W35" s="7"/>
      <c r="X35" s="7"/>
      <c r="Y35" s="7"/>
      <c r="Z35" s="7">
        <v>17.7</v>
      </c>
      <c r="AA35" s="7"/>
      <c r="AB35" s="7"/>
      <c r="AC35" s="7"/>
      <c r="AD35" s="7"/>
      <c r="AE35" s="7"/>
    </row>
    <row r="36" spans="1:31" x14ac:dyDescent="0.2">
      <c r="A36" s="5" t="s">
        <v>46</v>
      </c>
      <c r="B36" s="5" t="s">
        <v>239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>
        <v>21.5</v>
      </c>
      <c r="W36" s="7"/>
      <c r="X36" s="7"/>
      <c r="Y36" s="7"/>
      <c r="Z36" s="7">
        <v>23.6</v>
      </c>
      <c r="AA36" s="7"/>
      <c r="AB36" s="7"/>
      <c r="AC36" s="7"/>
      <c r="AD36" s="7"/>
      <c r="AE36" s="7"/>
    </row>
    <row r="37" spans="1:31" x14ac:dyDescent="0.2">
      <c r="A37" s="5" t="s">
        <v>48</v>
      </c>
      <c r="B37" s="5" t="s">
        <v>241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21.5</v>
      </c>
      <c r="AA37" s="7"/>
      <c r="AB37" s="7"/>
      <c r="AC37" s="7"/>
      <c r="AD37" s="7"/>
      <c r="AE37" s="7"/>
    </row>
    <row r="38" spans="1:31" x14ac:dyDescent="0.2">
      <c r="A38" s="5" t="s">
        <v>49</v>
      </c>
      <c r="B38" s="5" t="s">
        <v>242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v>10.7</v>
      </c>
      <c r="X38" s="7"/>
      <c r="Y38" s="7"/>
      <c r="Z38" s="7"/>
      <c r="AA38" s="7"/>
      <c r="AB38" s="7"/>
      <c r="AC38" s="7"/>
      <c r="AD38" s="7"/>
      <c r="AE38" s="7"/>
    </row>
    <row r="39" spans="1:31" x14ac:dyDescent="0.2">
      <c r="A39" s="5" t="s">
        <v>51</v>
      </c>
      <c r="B39" s="5" t="s">
        <v>244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>
        <v>42.6</v>
      </c>
      <c r="X39" s="7"/>
      <c r="Y39" s="7"/>
      <c r="Z39" s="7"/>
      <c r="AA39" s="7"/>
      <c r="AB39" s="7"/>
      <c r="AC39" s="7">
        <v>48.4</v>
      </c>
      <c r="AD39" s="7"/>
      <c r="AE39" s="7"/>
    </row>
    <row r="40" spans="1:31" x14ac:dyDescent="0.2">
      <c r="A40" s="5" t="s">
        <v>53</v>
      </c>
      <c r="B40" s="5" t="s">
        <v>246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>
        <v>39.200000000000003</v>
      </c>
      <c r="T40" s="7"/>
      <c r="U40" s="7"/>
      <c r="V40" s="7"/>
      <c r="W40" s="7">
        <v>22.1</v>
      </c>
      <c r="X40" s="7"/>
      <c r="Y40" s="7"/>
      <c r="Z40" s="7"/>
      <c r="AA40" s="7"/>
      <c r="AB40" s="7"/>
      <c r="AC40" s="7"/>
      <c r="AD40" s="7">
        <v>41.9</v>
      </c>
      <c r="AE40" s="7"/>
    </row>
    <row r="41" spans="1:31" x14ac:dyDescent="0.2">
      <c r="A41" s="5" t="s">
        <v>54</v>
      </c>
      <c r="B41" s="5" t="s">
        <v>247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32.6</v>
      </c>
      <c r="AA41" s="7"/>
      <c r="AB41" s="7"/>
      <c r="AC41" s="7">
        <v>22.7</v>
      </c>
      <c r="AD41" s="7"/>
      <c r="AE41" s="7"/>
    </row>
    <row r="42" spans="1:31" x14ac:dyDescent="0.2">
      <c r="A42" s="5" t="s">
        <v>155</v>
      </c>
      <c r="B42" s="5" t="s">
        <v>349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>
        <v>39.700000000000003</v>
      </c>
      <c r="T42" s="7"/>
      <c r="U42" s="7"/>
      <c r="V42" s="7"/>
      <c r="W42" s="7">
        <v>37.9</v>
      </c>
      <c r="X42" s="7"/>
      <c r="Y42" s="7"/>
      <c r="Z42" s="7"/>
      <c r="AA42" s="7"/>
      <c r="AB42" s="7"/>
      <c r="AC42" s="7">
        <v>40</v>
      </c>
      <c r="AD42" s="7"/>
      <c r="AE42" s="7"/>
    </row>
    <row r="43" spans="1:31" x14ac:dyDescent="0.2">
      <c r="A43" s="5" t="s">
        <v>55</v>
      </c>
      <c r="B43" s="5" t="s">
        <v>248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>
        <v>0</v>
      </c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">
      <c r="A44" s="5" t="s">
        <v>57</v>
      </c>
      <c r="B44" s="5" t="s">
        <v>250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>
        <v>8.1999999999999993</v>
      </c>
      <c r="W44" s="7"/>
      <c r="X44" s="7"/>
      <c r="Y44" s="7"/>
      <c r="Z44" s="7">
        <v>9.6999999999999993</v>
      </c>
      <c r="AA44" s="7"/>
      <c r="AB44" s="7"/>
      <c r="AC44" s="7"/>
      <c r="AD44" s="7"/>
      <c r="AE44" s="7"/>
    </row>
    <row r="45" spans="1:31" x14ac:dyDescent="0.2">
      <c r="A45" s="5" t="s">
        <v>163</v>
      </c>
      <c r="B45" s="5" t="s">
        <v>357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v>41.3</v>
      </c>
      <c r="T45" s="7"/>
      <c r="U45" s="7"/>
      <c r="V45" s="7"/>
      <c r="W45" s="7"/>
      <c r="X45" s="7"/>
      <c r="Y45" s="7"/>
      <c r="Z45" s="7"/>
      <c r="AA45" s="7"/>
      <c r="AB45" s="7"/>
      <c r="AC45" s="7">
        <v>32.9</v>
      </c>
      <c r="AD45" s="7"/>
      <c r="AE45" s="7"/>
    </row>
    <row r="46" spans="1:31" x14ac:dyDescent="0.2">
      <c r="A46" s="5" t="s">
        <v>58</v>
      </c>
      <c r="B46" s="5" t="s">
        <v>251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>
        <v>11.3</v>
      </c>
      <c r="Y46" s="7"/>
      <c r="Z46" s="7"/>
      <c r="AA46" s="7"/>
      <c r="AB46" s="7">
        <v>19.3</v>
      </c>
      <c r="AC46" s="7"/>
      <c r="AD46" s="7"/>
      <c r="AE46" s="7"/>
    </row>
    <row r="47" spans="1:31" x14ac:dyDescent="0.2">
      <c r="A47" s="5" t="s">
        <v>60</v>
      </c>
      <c r="B47" s="5" t="s">
        <v>253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15.1</v>
      </c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">
      <c r="A48" s="5" t="s">
        <v>63</v>
      </c>
      <c r="B48" s="5" t="s">
        <v>256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38</v>
      </c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2">
      <c r="A49" s="5" t="s">
        <v>68</v>
      </c>
      <c r="B49" s="5" t="s">
        <v>261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>
        <v>22.6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>
        <v>34.700000000000003</v>
      </c>
    </row>
    <row r="50" spans="1:31" x14ac:dyDescent="0.2">
      <c r="A50" s="5" t="s">
        <v>65</v>
      </c>
      <c r="B50" s="5" t="s">
        <v>258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>
        <v>27.6</v>
      </c>
      <c r="V50" s="7"/>
      <c r="W50" s="7"/>
      <c r="X50" s="7"/>
      <c r="Y50" s="7"/>
      <c r="Z50" s="7">
        <v>14.3</v>
      </c>
      <c r="AA50" s="7"/>
      <c r="AB50" s="7"/>
      <c r="AC50" s="7"/>
      <c r="AD50" s="7"/>
      <c r="AE50" s="7"/>
    </row>
    <row r="51" spans="1:31" x14ac:dyDescent="0.2">
      <c r="A51" s="5" t="s">
        <v>66</v>
      </c>
      <c r="B51" s="5" t="s">
        <v>259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15.2</v>
      </c>
      <c r="U51" s="7"/>
      <c r="V51" s="7"/>
      <c r="W51" s="7"/>
      <c r="X51" s="7"/>
      <c r="Y51" s="7"/>
      <c r="Z51" s="7">
        <v>29.5</v>
      </c>
      <c r="AA51" s="7"/>
      <c r="AB51" s="7"/>
      <c r="AC51" s="7"/>
      <c r="AD51" s="7"/>
      <c r="AE51" s="7"/>
    </row>
    <row r="52" spans="1:31" x14ac:dyDescent="0.2">
      <c r="A52" s="5" t="s">
        <v>71</v>
      </c>
      <c r="B52" s="5" t="s">
        <v>264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>
        <v>27.3</v>
      </c>
    </row>
    <row r="53" spans="1:31" x14ac:dyDescent="0.2">
      <c r="A53" s="5" t="s">
        <v>72</v>
      </c>
      <c r="B53" s="5" t="s">
        <v>265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25.2</v>
      </c>
      <c r="X53" s="7"/>
      <c r="Y53" s="7"/>
      <c r="Z53" s="7"/>
      <c r="AA53" s="7"/>
      <c r="AB53" s="7"/>
      <c r="AC53" s="7"/>
      <c r="AD53" s="7"/>
      <c r="AE53" s="7"/>
    </row>
    <row r="54" spans="1:31" x14ac:dyDescent="0.2">
      <c r="A54" s="5" t="s">
        <v>73</v>
      </c>
      <c r="B54" s="5" t="s">
        <v>266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>
        <v>34.6</v>
      </c>
      <c r="T54" s="7"/>
      <c r="U54" s="7"/>
      <c r="V54" s="7"/>
      <c r="W54" s="7">
        <v>31.6</v>
      </c>
      <c r="X54" s="7"/>
      <c r="Y54" s="7"/>
      <c r="Z54" s="7"/>
      <c r="AA54" s="7"/>
      <c r="AB54" s="7"/>
      <c r="AC54" s="7"/>
      <c r="AD54" s="7">
        <v>48.3</v>
      </c>
      <c r="AE54" s="7"/>
    </row>
    <row r="55" spans="1:31" x14ac:dyDescent="0.2">
      <c r="A55" s="5" t="s">
        <v>67</v>
      </c>
      <c r="B55" s="5" t="s">
        <v>260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>
        <v>23.1</v>
      </c>
      <c r="T55" s="7"/>
      <c r="U55" s="7"/>
      <c r="V55" s="7"/>
      <c r="W55" s="7"/>
      <c r="X55" s="7"/>
      <c r="Y55" s="7"/>
      <c r="Z55" s="7"/>
      <c r="AA55" s="7"/>
      <c r="AB55" s="7"/>
      <c r="AC55" s="7">
        <v>38.799999999999997</v>
      </c>
      <c r="AD55" s="7"/>
      <c r="AE55" s="7"/>
    </row>
    <row r="56" spans="1:31" x14ac:dyDescent="0.2">
      <c r="A56" s="5" t="s">
        <v>69</v>
      </c>
      <c r="B56" s="5" t="s">
        <v>262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30.6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2">
      <c r="A57" s="5" t="s">
        <v>74</v>
      </c>
      <c r="B57" s="5" t="s">
        <v>267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29</v>
      </c>
      <c r="X57" s="7"/>
      <c r="Y57" s="7"/>
      <c r="Z57" s="7"/>
      <c r="AA57" s="7"/>
      <c r="AB57" s="7"/>
      <c r="AC57" s="7"/>
      <c r="AD57" s="7"/>
      <c r="AE57" s="7"/>
    </row>
    <row r="58" spans="1:31" x14ac:dyDescent="0.2">
      <c r="A58" s="5" t="s">
        <v>75</v>
      </c>
      <c r="B58" s="5" t="s">
        <v>268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33.299999999999997</v>
      </c>
      <c r="T58" s="7"/>
      <c r="U58" s="7"/>
      <c r="V58" s="7"/>
      <c r="W58" s="7">
        <v>22.1</v>
      </c>
      <c r="X58" s="7"/>
      <c r="Y58" s="7"/>
      <c r="Z58" s="7"/>
      <c r="AA58" s="7"/>
      <c r="AB58" s="7"/>
      <c r="AC58" s="7">
        <v>47.9</v>
      </c>
      <c r="AD58" s="7"/>
      <c r="AE58" s="7"/>
    </row>
    <row r="59" spans="1:31" x14ac:dyDescent="0.2">
      <c r="A59" s="5" t="s">
        <v>78</v>
      </c>
      <c r="B59" s="5" t="s">
        <v>271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>
        <v>26.6</v>
      </c>
      <c r="W59" s="7"/>
      <c r="X59" s="7"/>
      <c r="Y59" s="7"/>
      <c r="Z59" s="7">
        <v>10.4</v>
      </c>
      <c r="AA59" s="7"/>
      <c r="AB59" s="7"/>
      <c r="AC59" s="7"/>
      <c r="AD59" s="7"/>
      <c r="AE59" s="7"/>
    </row>
    <row r="60" spans="1:31" x14ac:dyDescent="0.2">
      <c r="A60" s="5" t="s">
        <v>80</v>
      </c>
      <c r="B60" s="5" t="s">
        <v>273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>
        <v>17.3</v>
      </c>
      <c r="AB60" s="7"/>
      <c r="AC60" s="7"/>
      <c r="AD60" s="7"/>
      <c r="AE60" s="7"/>
    </row>
    <row r="61" spans="1:31" x14ac:dyDescent="0.2">
      <c r="A61" s="5" t="s">
        <v>79</v>
      </c>
      <c r="B61" s="5" t="s">
        <v>272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>
        <v>14.7</v>
      </c>
      <c r="W61" s="7"/>
      <c r="X61" s="7"/>
      <c r="Y61" s="7"/>
      <c r="Z61" s="7"/>
      <c r="AA61" s="7"/>
      <c r="AB61" s="7">
        <v>19.5</v>
      </c>
      <c r="AC61" s="7"/>
      <c r="AD61" s="7"/>
      <c r="AE61" s="7"/>
    </row>
    <row r="62" spans="1:31" x14ac:dyDescent="0.2">
      <c r="A62" s="5" t="s">
        <v>83</v>
      </c>
      <c r="B62" s="5" t="s">
        <v>276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>
        <v>46.1</v>
      </c>
      <c r="Y62" s="7"/>
      <c r="Z62" s="7"/>
      <c r="AA62" s="7"/>
      <c r="AB62" s="7"/>
      <c r="AC62" s="7"/>
      <c r="AD62" s="7"/>
      <c r="AE62" s="7"/>
    </row>
    <row r="63" spans="1:31" x14ac:dyDescent="0.2">
      <c r="A63" s="5" t="s">
        <v>85</v>
      </c>
      <c r="B63" s="5" t="s">
        <v>278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>
        <v>4.3</v>
      </c>
      <c r="AA63" s="7"/>
      <c r="AB63" s="7"/>
      <c r="AC63" s="7"/>
      <c r="AD63" s="7"/>
      <c r="AE63" s="7"/>
    </row>
    <row r="64" spans="1:31" x14ac:dyDescent="0.2">
      <c r="A64" s="5" t="s">
        <v>87</v>
      </c>
      <c r="B64" s="5" t="s">
        <v>280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>
        <v>35.1</v>
      </c>
      <c r="X64" s="7"/>
      <c r="Y64" s="7"/>
      <c r="Z64" s="7"/>
      <c r="AA64" s="7"/>
      <c r="AB64" s="7"/>
      <c r="AC64" s="7"/>
      <c r="AD64" s="7"/>
      <c r="AE64" s="7"/>
    </row>
    <row r="65" spans="1:31" x14ac:dyDescent="0.2">
      <c r="A65" s="5" t="s">
        <v>88</v>
      </c>
      <c r="B65" s="5" t="s">
        <v>281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>
        <v>11.2</v>
      </c>
      <c r="AA65" s="7"/>
      <c r="AB65" s="7"/>
      <c r="AC65" s="7"/>
      <c r="AD65" s="7"/>
      <c r="AE65" s="7"/>
    </row>
    <row r="66" spans="1:31" x14ac:dyDescent="0.2">
      <c r="A66" s="5" t="s">
        <v>90</v>
      </c>
      <c r="B66" s="5" t="s">
        <v>283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>
        <v>29.2</v>
      </c>
      <c r="W66" s="7"/>
      <c r="X66" s="7"/>
      <c r="Y66" s="7"/>
      <c r="Z66" s="7">
        <v>15.5</v>
      </c>
      <c r="AA66" s="7"/>
      <c r="AB66" s="7"/>
      <c r="AC66" s="7"/>
      <c r="AD66" s="7"/>
      <c r="AE66" s="7"/>
    </row>
    <row r="67" spans="1:31" x14ac:dyDescent="0.2">
      <c r="A67" s="5" t="s">
        <v>91</v>
      </c>
      <c r="B67" s="5" t="s">
        <v>284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41</v>
      </c>
      <c r="U67" s="7"/>
      <c r="V67" s="7"/>
      <c r="W67" s="7"/>
      <c r="X67" s="7"/>
      <c r="Y67" s="7"/>
      <c r="Z67" s="7">
        <v>26.9</v>
      </c>
      <c r="AA67" s="7"/>
      <c r="AB67" s="7"/>
      <c r="AC67" s="7"/>
      <c r="AD67" s="7"/>
      <c r="AE67" s="7">
        <v>36.6</v>
      </c>
    </row>
    <row r="68" spans="1:31" x14ac:dyDescent="0.2">
      <c r="A68" s="5" t="s">
        <v>188</v>
      </c>
      <c r="B68" s="5" t="s">
        <v>382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v>20.9</v>
      </c>
      <c r="W68" s="7"/>
      <c r="X68" s="7"/>
      <c r="Y68" s="7"/>
      <c r="Z68" s="7">
        <v>56.6</v>
      </c>
      <c r="AA68" s="7"/>
      <c r="AB68" s="7"/>
      <c r="AC68" s="7"/>
      <c r="AD68" s="7"/>
      <c r="AE68" s="7"/>
    </row>
    <row r="69" spans="1:31" x14ac:dyDescent="0.2">
      <c r="A69" s="5" t="s">
        <v>92</v>
      </c>
      <c r="B69" s="5" t="s">
        <v>285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>
        <v>36.4</v>
      </c>
      <c r="W69" s="7"/>
      <c r="X69" s="7"/>
      <c r="Y69" s="7"/>
      <c r="Z69" s="7">
        <v>26.9</v>
      </c>
      <c r="AA69" s="7"/>
      <c r="AB69" s="7"/>
      <c r="AC69" s="7"/>
      <c r="AD69" s="7"/>
      <c r="AE69" s="7"/>
    </row>
    <row r="70" spans="1:31" x14ac:dyDescent="0.2">
      <c r="A70" s="5" t="s">
        <v>98</v>
      </c>
      <c r="B70" s="5" t="s">
        <v>291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>
        <v>6.9</v>
      </c>
      <c r="W70" s="7"/>
      <c r="X70" s="7"/>
      <c r="Y70" s="7">
        <v>10.3</v>
      </c>
      <c r="Z70" s="7"/>
      <c r="AA70" s="7"/>
      <c r="AB70" s="7"/>
      <c r="AC70" s="7">
        <v>39.799999999999997</v>
      </c>
      <c r="AD70" s="7"/>
      <c r="AE70" s="7">
        <v>18</v>
      </c>
    </row>
    <row r="71" spans="1:31" x14ac:dyDescent="0.2">
      <c r="A71" s="5" t="s">
        <v>107</v>
      </c>
      <c r="B71" s="5" t="s">
        <v>300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27.1</v>
      </c>
      <c r="W71" s="7"/>
      <c r="X71" s="7"/>
      <c r="Y71" s="7"/>
      <c r="Z71" s="7">
        <v>17.5</v>
      </c>
      <c r="AA71" s="7"/>
      <c r="AB71" s="7"/>
      <c r="AC71" s="7"/>
      <c r="AD71" s="7"/>
      <c r="AE71" s="7"/>
    </row>
    <row r="72" spans="1:31" x14ac:dyDescent="0.2">
      <c r="A72" s="5" t="s">
        <v>99</v>
      </c>
      <c r="B72" s="5" t="s">
        <v>292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>
        <v>36.9</v>
      </c>
      <c r="AA72" s="7"/>
      <c r="AB72" s="7"/>
      <c r="AC72" s="7"/>
      <c r="AD72" s="7"/>
      <c r="AE72" s="7"/>
    </row>
    <row r="73" spans="1:31" x14ac:dyDescent="0.2">
      <c r="A73" s="5" t="s">
        <v>104</v>
      </c>
      <c r="B73" s="5" t="s">
        <v>297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27.6</v>
      </c>
      <c r="W73" s="7"/>
      <c r="X73" s="7"/>
      <c r="Y73" s="7"/>
      <c r="Z73" s="7"/>
      <c r="AA73" s="7"/>
      <c r="AB73" s="7"/>
      <c r="AC73" s="7">
        <v>50.1</v>
      </c>
      <c r="AD73" s="7"/>
      <c r="AE73" s="7"/>
    </row>
    <row r="74" spans="1:31" x14ac:dyDescent="0.2">
      <c r="A74" s="5" t="s">
        <v>100</v>
      </c>
      <c r="B74" s="5" t="s">
        <v>293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>
        <v>22.9</v>
      </c>
      <c r="W74" s="7"/>
      <c r="X74" s="7"/>
      <c r="Y74" s="7"/>
      <c r="Z74" s="7"/>
      <c r="AA74" s="7"/>
      <c r="AB74" s="7"/>
      <c r="AC74" s="7"/>
      <c r="AD74" s="7">
        <v>43.1</v>
      </c>
      <c r="AE74" s="7"/>
    </row>
    <row r="75" spans="1:31" x14ac:dyDescent="0.2">
      <c r="A75" s="5" t="s">
        <v>105</v>
      </c>
      <c r="B75" s="5" t="s">
        <v>298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>
        <v>29.4</v>
      </c>
      <c r="W75" s="7"/>
      <c r="X75" s="7"/>
      <c r="Y75" s="7"/>
      <c r="Z75" s="7">
        <v>31.1</v>
      </c>
      <c r="AA75" s="7"/>
      <c r="AB75" s="7"/>
      <c r="AC75" s="7"/>
      <c r="AD75" s="7"/>
      <c r="AE75" s="7"/>
    </row>
    <row r="76" spans="1:31" x14ac:dyDescent="0.2">
      <c r="A76" s="5" t="s">
        <v>110</v>
      </c>
      <c r="B76" s="5" t="s">
        <v>303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>
        <v>36.799999999999997</v>
      </c>
      <c r="W76" s="7"/>
      <c r="X76" s="7"/>
      <c r="Y76" s="7"/>
      <c r="Z76" s="7">
        <v>18.7</v>
      </c>
      <c r="AA76" s="7"/>
      <c r="AB76" s="7"/>
      <c r="AC76" s="7"/>
      <c r="AD76" s="7"/>
      <c r="AE76" s="7"/>
    </row>
    <row r="77" spans="1:31" x14ac:dyDescent="0.2">
      <c r="A77" s="5" t="s">
        <v>122</v>
      </c>
      <c r="B77" s="5" t="s">
        <v>316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>
        <v>35.700000000000003</v>
      </c>
      <c r="W77" s="7"/>
      <c r="X77" s="7"/>
      <c r="Y77" s="7"/>
      <c r="Z77" s="7"/>
      <c r="AA77" s="7">
        <v>30.1</v>
      </c>
      <c r="AB77" s="7"/>
      <c r="AC77" s="7"/>
      <c r="AD77" s="7"/>
      <c r="AE77" s="7"/>
    </row>
    <row r="78" spans="1:31" x14ac:dyDescent="0.2">
      <c r="A78" s="5" t="s">
        <v>123</v>
      </c>
      <c r="B78" s="5" t="s">
        <v>317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>
        <v>14.5</v>
      </c>
      <c r="AC78" s="7"/>
      <c r="AD78" s="7"/>
      <c r="AE78" s="7"/>
    </row>
    <row r="79" spans="1:31" x14ac:dyDescent="0.2">
      <c r="A79" s="5" t="s">
        <v>114</v>
      </c>
      <c r="B79" s="5" t="s">
        <v>308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37.799999999999997</v>
      </c>
      <c r="U79" s="7"/>
      <c r="V79" s="7"/>
      <c r="W79" s="7">
        <v>59.8</v>
      </c>
      <c r="X79" s="7"/>
      <c r="Y79" s="7"/>
      <c r="Z79" s="7"/>
      <c r="AA79" s="7"/>
      <c r="AB79" s="7"/>
      <c r="AC79" s="7">
        <v>63.7</v>
      </c>
      <c r="AD79" s="7"/>
      <c r="AE79" s="7"/>
    </row>
    <row r="80" spans="1:31" x14ac:dyDescent="0.2">
      <c r="A80" s="5" t="s">
        <v>120</v>
      </c>
      <c r="B80" s="5" t="s">
        <v>314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>
        <v>34</v>
      </c>
      <c r="T80" s="7"/>
      <c r="U80" s="7"/>
      <c r="V80" s="7"/>
      <c r="W80" s="7"/>
      <c r="X80" s="7"/>
      <c r="Y80" s="7"/>
      <c r="Z80" s="7"/>
      <c r="AA80" s="7">
        <v>53.2</v>
      </c>
      <c r="AB80" s="7"/>
      <c r="AC80" s="7"/>
      <c r="AD80" s="7"/>
      <c r="AE80" s="7"/>
    </row>
    <row r="81" spans="1:31" x14ac:dyDescent="0.2">
      <c r="A81" s="5" t="s">
        <v>121</v>
      </c>
      <c r="B81" s="5" t="s">
        <v>315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34.200000000000003</v>
      </c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2">
      <c r="A82" s="5" t="s">
        <v>112</v>
      </c>
      <c r="B82" s="5" t="s">
        <v>305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>
        <v>31.5</v>
      </c>
      <c r="T82" s="7"/>
      <c r="U82" s="7"/>
      <c r="V82" s="7"/>
      <c r="W82" s="7">
        <v>29.2</v>
      </c>
      <c r="X82" s="7"/>
      <c r="Y82" s="7"/>
      <c r="Z82" s="7"/>
      <c r="AA82" s="7"/>
      <c r="AB82" s="7"/>
      <c r="AC82" s="7"/>
      <c r="AD82" s="7"/>
      <c r="AE82" s="7"/>
    </row>
    <row r="83" spans="1:31" x14ac:dyDescent="0.2">
      <c r="A83" s="5" t="s">
        <v>62</v>
      </c>
      <c r="B83" s="5" t="s">
        <v>255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11.8</v>
      </c>
      <c r="W83" s="7"/>
      <c r="X83" s="7"/>
      <c r="Y83" s="7"/>
      <c r="Z83" s="7"/>
      <c r="AA83" s="7"/>
      <c r="AB83" s="7"/>
      <c r="AC83" s="7"/>
      <c r="AD83" s="7"/>
      <c r="AE83" s="7"/>
    </row>
    <row r="84" spans="1:31" x14ac:dyDescent="0.2">
      <c r="A84" s="5" t="s">
        <v>109</v>
      </c>
      <c r="B84" s="5" t="s">
        <v>302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35.5</v>
      </c>
      <c r="W84" s="7"/>
      <c r="X84" s="7"/>
      <c r="Y84" s="7"/>
      <c r="Z84" s="7">
        <v>16.5</v>
      </c>
      <c r="AA84" s="7"/>
      <c r="AB84" s="7"/>
      <c r="AC84" s="7"/>
      <c r="AD84" s="7"/>
      <c r="AE84" s="7"/>
    </row>
    <row r="85" spans="1:31" x14ac:dyDescent="0.2">
      <c r="A85" s="5" t="s">
        <v>118</v>
      </c>
      <c r="B85" s="5" t="s">
        <v>312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>
        <v>25.5</v>
      </c>
      <c r="W85" s="7"/>
      <c r="X85" s="7"/>
      <c r="Y85" s="7"/>
      <c r="Z85" s="7">
        <v>15.2</v>
      </c>
      <c r="AA85" s="7"/>
      <c r="AB85" s="7"/>
      <c r="AC85" s="7"/>
      <c r="AD85" s="7"/>
      <c r="AE85" s="7"/>
    </row>
    <row r="86" spans="1:31" x14ac:dyDescent="0.2">
      <c r="A86" s="5" t="s">
        <v>117</v>
      </c>
      <c r="B86" s="5" t="s">
        <v>311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>
        <v>10.7</v>
      </c>
      <c r="W86" s="7"/>
      <c r="X86" s="7"/>
      <c r="Y86" s="7"/>
      <c r="Z86" s="7">
        <v>20.9</v>
      </c>
      <c r="AA86" s="7"/>
      <c r="AB86" s="7"/>
      <c r="AC86" s="7"/>
      <c r="AD86" s="7"/>
      <c r="AE86" s="7"/>
    </row>
    <row r="87" spans="1:31" x14ac:dyDescent="0.2">
      <c r="A87" s="5" t="s">
        <v>108</v>
      </c>
      <c r="B87" s="5" t="s">
        <v>301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>
        <v>45.8</v>
      </c>
      <c r="AA87" s="7"/>
      <c r="AB87" s="7"/>
      <c r="AC87" s="7"/>
      <c r="AD87" s="7"/>
      <c r="AE87" s="7"/>
    </row>
    <row r="88" spans="1:31" x14ac:dyDescent="0.2">
      <c r="A88" s="5" t="s">
        <v>119</v>
      </c>
      <c r="B88" s="5" t="s">
        <v>313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49.6</v>
      </c>
      <c r="U88" s="7"/>
      <c r="V88" s="7"/>
      <c r="W88" s="7"/>
      <c r="X88" s="7"/>
      <c r="Y88" s="7"/>
      <c r="Z88" s="7"/>
      <c r="AA88" s="7"/>
      <c r="AB88" s="7"/>
      <c r="AC88" s="7"/>
      <c r="AD88" s="7"/>
      <c r="AE88" s="7">
        <v>24.6</v>
      </c>
    </row>
    <row r="89" spans="1:31" x14ac:dyDescent="0.2">
      <c r="A89" s="5" t="s">
        <v>116</v>
      </c>
      <c r="B89" s="5" t="s">
        <v>310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>
        <v>2.6</v>
      </c>
      <c r="AB89" s="7"/>
      <c r="AC89" s="7">
        <v>6.5</v>
      </c>
      <c r="AD89" s="7"/>
      <c r="AE89" s="7"/>
    </row>
    <row r="90" spans="1:31" x14ac:dyDescent="0.2">
      <c r="A90" s="5" t="s">
        <v>124</v>
      </c>
      <c r="B90" s="5" t="s">
        <v>318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11</v>
      </c>
      <c r="T90" s="7"/>
      <c r="U90" s="7"/>
      <c r="V90" s="7"/>
      <c r="W90" s="7"/>
      <c r="X90" s="7"/>
      <c r="Y90" s="7"/>
      <c r="Z90" s="7"/>
      <c r="AA90" s="7">
        <v>9.1999999999999993</v>
      </c>
      <c r="AB90" s="7"/>
      <c r="AC90" s="7"/>
      <c r="AD90" s="7"/>
      <c r="AE90" s="7"/>
    </row>
    <row r="91" spans="1:31" x14ac:dyDescent="0.2">
      <c r="A91" s="5" t="s">
        <v>131</v>
      </c>
      <c r="B91" s="5" t="s">
        <v>325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>
        <v>17.600000000000001</v>
      </c>
      <c r="W91" s="7"/>
      <c r="X91" s="7"/>
      <c r="Y91" s="7"/>
      <c r="Z91" s="7">
        <v>31.5</v>
      </c>
      <c r="AA91" s="7"/>
      <c r="AB91" s="7"/>
      <c r="AC91" s="7"/>
      <c r="AD91" s="7"/>
      <c r="AE91" s="7"/>
    </row>
    <row r="92" spans="1:31" x14ac:dyDescent="0.2">
      <c r="A92" s="5" t="s">
        <v>128</v>
      </c>
      <c r="B92" s="5" t="s">
        <v>322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>
        <v>29.5</v>
      </c>
      <c r="T92" s="7"/>
      <c r="U92" s="7"/>
      <c r="V92" s="7"/>
      <c r="W92" s="7">
        <v>28.1</v>
      </c>
      <c r="X92" s="7"/>
      <c r="Y92" s="7"/>
      <c r="Z92" s="7"/>
      <c r="AA92" s="7"/>
      <c r="AB92" s="7"/>
      <c r="AC92" s="7">
        <v>30.7</v>
      </c>
      <c r="AD92" s="7"/>
      <c r="AE92" s="7"/>
    </row>
    <row r="93" spans="1:31" x14ac:dyDescent="0.2">
      <c r="A93" s="5" t="s">
        <v>126</v>
      </c>
      <c r="B93" s="5" t="s">
        <v>320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>
        <v>73.599999999999994</v>
      </c>
      <c r="W93" s="7"/>
      <c r="X93" s="7"/>
      <c r="Y93" s="7"/>
      <c r="Z93" s="7"/>
      <c r="AA93" s="7"/>
      <c r="AB93" s="7"/>
      <c r="AC93" s="7"/>
      <c r="AD93" s="7">
        <v>62.5</v>
      </c>
      <c r="AE93" s="7"/>
    </row>
    <row r="94" spans="1:31" x14ac:dyDescent="0.2">
      <c r="A94" s="5" t="s">
        <v>127</v>
      </c>
      <c r="B94" s="5" t="s">
        <v>321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15.9</v>
      </c>
      <c r="U94" s="7"/>
      <c r="V94" s="7"/>
      <c r="W94" s="7"/>
      <c r="X94" s="7"/>
      <c r="Y94" s="7"/>
      <c r="Z94" s="7"/>
      <c r="AA94" s="7">
        <v>18.399999999999999</v>
      </c>
      <c r="AB94" s="7"/>
      <c r="AC94" s="7"/>
      <c r="AD94" s="7"/>
      <c r="AE94" s="7"/>
    </row>
    <row r="95" spans="1:31" x14ac:dyDescent="0.2">
      <c r="A95" s="5" t="s">
        <v>408</v>
      </c>
      <c r="B95" s="5" t="s">
        <v>307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>
        <v>54.9</v>
      </c>
      <c r="W95" s="7"/>
      <c r="X95" s="7"/>
      <c r="Y95" s="7"/>
      <c r="Z95" s="7">
        <v>40.9</v>
      </c>
      <c r="AA95" s="7"/>
      <c r="AB95" s="7"/>
      <c r="AC95" s="7"/>
      <c r="AD95" s="7"/>
      <c r="AE95" s="7"/>
    </row>
    <row r="96" spans="1:31" x14ac:dyDescent="0.2">
      <c r="A96" s="5" t="s">
        <v>134</v>
      </c>
      <c r="B96" s="5" t="s">
        <v>328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>
        <v>13.1</v>
      </c>
      <c r="AA96" s="7"/>
      <c r="AB96" s="7"/>
      <c r="AC96" s="7"/>
      <c r="AD96" s="7"/>
      <c r="AE96" s="7"/>
    </row>
    <row r="97" spans="1:31" x14ac:dyDescent="0.2">
      <c r="A97" s="5" t="s">
        <v>135</v>
      </c>
      <c r="B97" s="5" t="s">
        <v>329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>
        <v>18.3</v>
      </c>
      <c r="T97" s="7"/>
      <c r="U97" s="7"/>
      <c r="V97" s="7"/>
      <c r="W97" s="7">
        <v>5.9</v>
      </c>
      <c r="X97" s="7"/>
      <c r="Y97" s="7"/>
      <c r="Z97" s="7"/>
      <c r="AA97" s="7"/>
      <c r="AB97" s="7"/>
      <c r="AC97" s="7"/>
      <c r="AD97" s="7"/>
      <c r="AE97" s="7"/>
    </row>
    <row r="98" spans="1:31" x14ac:dyDescent="0.2">
      <c r="A98" s="5" t="s">
        <v>138</v>
      </c>
      <c r="B98" s="5" t="s">
        <v>332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>
        <v>31.9</v>
      </c>
      <c r="AC98" s="7"/>
      <c r="AD98" s="7"/>
      <c r="AE98" s="7"/>
    </row>
    <row r="99" spans="1:31" x14ac:dyDescent="0.2">
      <c r="A99" s="5" t="s">
        <v>142</v>
      </c>
      <c r="B99" s="5" t="s">
        <v>336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>
        <v>55.1</v>
      </c>
      <c r="T99" s="7"/>
      <c r="U99" s="7"/>
      <c r="V99" s="7"/>
      <c r="W99" s="7">
        <v>41.5</v>
      </c>
      <c r="X99" s="7"/>
      <c r="Y99" s="7"/>
      <c r="Z99" s="7"/>
      <c r="AA99" s="7"/>
      <c r="AB99" s="7"/>
      <c r="AC99" s="7"/>
      <c r="AD99" s="7">
        <v>30.1</v>
      </c>
      <c r="AE99" s="7"/>
    </row>
    <row r="100" spans="1:31" x14ac:dyDescent="0.2">
      <c r="A100" s="5" t="s">
        <v>136</v>
      </c>
      <c r="B100" s="5" t="s">
        <v>330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50.7</v>
      </c>
      <c r="T100" s="7"/>
      <c r="U100" s="7"/>
      <c r="V100" s="7"/>
      <c r="W100" s="7">
        <v>37.200000000000003</v>
      </c>
      <c r="X100" s="7"/>
      <c r="Y100" s="7"/>
      <c r="Z100" s="7"/>
      <c r="AA100" s="7"/>
      <c r="AB100" s="7"/>
      <c r="AC100" s="7"/>
      <c r="AD100" s="7">
        <v>39.1</v>
      </c>
      <c r="AE100" s="7"/>
    </row>
    <row r="101" spans="1:31" x14ac:dyDescent="0.2">
      <c r="A101" s="5" t="s">
        <v>137</v>
      </c>
      <c r="B101" s="5" t="s">
        <v>331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>
        <v>23.7</v>
      </c>
      <c r="W101" s="7"/>
      <c r="X101" s="7"/>
      <c r="Y101" s="7"/>
      <c r="Z101" s="7"/>
      <c r="AA101" s="7"/>
      <c r="AB101" s="7">
        <v>21</v>
      </c>
      <c r="AC101" s="7"/>
      <c r="AD101" s="7"/>
      <c r="AE101" s="7"/>
    </row>
    <row r="102" spans="1:31" x14ac:dyDescent="0.2">
      <c r="A102" s="5" t="s">
        <v>139</v>
      </c>
      <c r="B102" s="5" t="s">
        <v>333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27.6</v>
      </c>
      <c r="W102" s="7"/>
      <c r="X102" s="7"/>
      <c r="Y102" s="7"/>
      <c r="Z102" s="7">
        <v>15.2</v>
      </c>
      <c r="AA102" s="7"/>
      <c r="AB102" s="7"/>
      <c r="AC102" s="7"/>
      <c r="AD102" s="7"/>
      <c r="AE102" s="7"/>
    </row>
    <row r="103" spans="1:31" x14ac:dyDescent="0.2">
      <c r="A103" s="5" t="s">
        <v>146</v>
      </c>
      <c r="B103" s="5" t="s">
        <v>340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24.9</v>
      </c>
      <c r="W103" s="7"/>
      <c r="X103" s="7"/>
      <c r="Y103" s="7"/>
      <c r="Z103" s="7">
        <v>32.9</v>
      </c>
      <c r="AA103" s="7"/>
      <c r="AB103" s="7"/>
      <c r="AC103" s="7"/>
      <c r="AD103" s="7"/>
      <c r="AE103" s="7"/>
    </row>
    <row r="104" spans="1:31" x14ac:dyDescent="0.2">
      <c r="A104" s="5" t="s">
        <v>147</v>
      </c>
      <c r="B104" s="5" t="s">
        <v>341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21.8</v>
      </c>
      <c r="W104" s="7"/>
      <c r="X104" s="7"/>
      <c r="Y104" s="7">
        <v>14.1</v>
      </c>
      <c r="Z104" s="7"/>
      <c r="AA104" s="7"/>
      <c r="AB104" s="7"/>
      <c r="AC104" s="7"/>
      <c r="AD104" s="7"/>
      <c r="AE104" s="7"/>
    </row>
    <row r="105" spans="1:31" x14ac:dyDescent="0.2">
      <c r="A105" s="5" t="s">
        <v>148</v>
      </c>
      <c r="B105" s="5" t="s">
        <v>342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>
        <v>13.4</v>
      </c>
      <c r="T105" s="7"/>
      <c r="U105" s="7"/>
      <c r="V105" s="7"/>
      <c r="W105" s="7"/>
      <c r="X105" s="7">
        <v>37.6</v>
      </c>
      <c r="Y105" s="7"/>
      <c r="Z105" s="7"/>
      <c r="AA105" s="7"/>
      <c r="AB105" s="7"/>
      <c r="AC105" s="7"/>
      <c r="AD105" s="7"/>
      <c r="AE105" s="7"/>
    </row>
    <row r="106" spans="1:31" x14ac:dyDescent="0.2">
      <c r="A106" s="5" t="s">
        <v>95</v>
      </c>
      <c r="B106" s="5" t="s">
        <v>288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>
        <v>33.200000000000003</v>
      </c>
      <c r="X106" s="7"/>
      <c r="Y106" s="7"/>
      <c r="Z106" s="7"/>
      <c r="AA106" s="7"/>
      <c r="AB106" s="7"/>
      <c r="AC106" s="7"/>
      <c r="AD106" s="7"/>
      <c r="AE106" s="7"/>
    </row>
    <row r="107" spans="1:31" x14ac:dyDescent="0.2">
      <c r="A107" s="5" t="s">
        <v>187</v>
      </c>
      <c r="B107" s="5" t="s">
        <v>381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>
        <v>16.3</v>
      </c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x14ac:dyDescent="0.2">
      <c r="A108" s="5" t="s">
        <v>151</v>
      </c>
      <c r="B108" s="5" t="s">
        <v>345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45</v>
      </c>
      <c r="U108" s="7"/>
      <c r="V108" s="7"/>
      <c r="W108" s="7"/>
      <c r="X108" s="7"/>
      <c r="Y108" s="7"/>
      <c r="Z108" s="7"/>
      <c r="AA108" s="7">
        <v>55.2</v>
      </c>
      <c r="AB108" s="7"/>
      <c r="AC108" s="7"/>
      <c r="AD108" s="7"/>
      <c r="AE108" s="7"/>
    </row>
    <row r="109" spans="1:31" x14ac:dyDescent="0.2">
      <c r="A109" s="5" t="s">
        <v>156</v>
      </c>
      <c r="B109" s="5" t="s">
        <v>350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>
        <v>30.4</v>
      </c>
      <c r="W109" s="7"/>
      <c r="X109" s="7"/>
      <c r="Y109" s="7"/>
      <c r="Z109" s="7">
        <v>17.3</v>
      </c>
      <c r="AA109" s="7"/>
      <c r="AB109" s="7"/>
      <c r="AC109" s="7"/>
      <c r="AD109" s="7"/>
      <c r="AE109" s="7"/>
    </row>
    <row r="110" spans="1:31" x14ac:dyDescent="0.2">
      <c r="A110" s="5" t="s">
        <v>154</v>
      </c>
      <c r="B110" s="5" t="s">
        <v>348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>
        <v>14.2</v>
      </c>
      <c r="W110" s="7"/>
      <c r="X110" s="7"/>
      <c r="Y110" s="7"/>
      <c r="Z110" s="7"/>
      <c r="AA110" s="7"/>
      <c r="AB110" s="7"/>
      <c r="AC110" s="7"/>
      <c r="AD110" s="7">
        <v>42.4</v>
      </c>
      <c r="AE110" s="7"/>
    </row>
    <row r="111" spans="1:31" x14ac:dyDescent="0.2">
      <c r="A111" s="5" t="s">
        <v>160</v>
      </c>
      <c r="B111" s="5" t="s">
        <v>354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17.8</v>
      </c>
      <c r="W111" s="7"/>
      <c r="X111" s="7"/>
      <c r="Y111" s="7"/>
      <c r="Z111" s="7">
        <v>14.6</v>
      </c>
      <c r="AA111" s="7"/>
      <c r="AB111" s="7"/>
      <c r="AC111" s="7"/>
      <c r="AD111" s="7"/>
      <c r="AE111" s="7"/>
    </row>
    <row r="112" spans="1:31" x14ac:dyDescent="0.2">
      <c r="A112" s="5" t="s">
        <v>161</v>
      </c>
      <c r="B112" s="5" t="s">
        <v>355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12.2</v>
      </c>
      <c r="W112" s="7"/>
      <c r="X112" s="7"/>
      <c r="Y112" s="7"/>
      <c r="Z112" s="7">
        <v>9.6</v>
      </c>
      <c r="AA112" s="7"/>
      <c r="AB112" s="7"/>
      <c r="AC112" s="7"/>
      <c r="AD112" s="7"/>
      <c r="AE112" s="7"/>
    </row>
    <row r="113" spans="1:31" x14ac:dyDescent="0.2">
      <c r="A113" s="5" t="s">
        <v>153</v>
      </c>
      <c r="B113" s="5" t="s">
        <v>347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>
        <v>16.399999999999999</v>
      </c>
      <c r="AC113" s="7"/>
      <c r="AD113" s="7"/>
      <c r="AE113" s="7"/>
    </row>
    <row r="114" spans="1:31" x14ac:dyDescent="0.2">
      <c r="A114" s="5" t="s">
        <v>190</v>
      </c>
      <c r="B114" s="5" t="s">
        <v>384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11.3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x14ac:dyDescent="0.2">
      <c r="A115" s="5" t="s">
        <v>157</v>
      </c>
      <c r="B115" s="5" t="s">
        <v>351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>
        <v>38.1</v>
      </c>
      <c r="AB115" s="7"/>
      <c r="AC115" s="7"/>
      <c r="AD115" s="7"/>
      <c r="AE115" s="7"/>
    </row>
    <row r="116" spans="1:31" x14ac:dyDescent="0.2">
      <c r="A116" s="5" t="s">
        <v>103</v>
      </c>
      <c r="B116" s="5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>
        <v>28.6</v>
      </c>
      <c r="Y116" s="7"/>
      <c r="Z116" s="7"/>
      <c r="AA116" s="7"/>
      <c r="AB116" s="7"/>
      <c r="AC116" s="7"/>
      <c r="AD116" s="7"/>
      <c r="AE116" s="7"/>
    </row>
    <row r="117" spans="1:31" x14ac:dyDescent="0.2">
      <c r="A117" s="5" t="s">
        <v>102</v>
      </c>
      <c r="B117" s="5" t="s">
        <v>295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v>15.1</v>
      </c>
      <c r="X117" s="7"/>
      <c r="Y117" s="7"/>
      <c r="Z117" s="7"/>
      <c r="AA117" s="7"/>
      <c r="AB117" s="7"/>
      <c r="AC117" s="7"/>
      <c r="AD117" s="7"/>
      <c r="AE117" s="7"/>
    </row>
    <row r="118" spans="1:31" x14ac:dyDescent="0.2">
      <c r="A118" s="5" t="s">
        <v>183</v>
      </c>
      <c r="B118" s="5" t="s">
        <v>377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>
        <v>25.5</v>
      </c>
      <c r="X118" s="7"/>
      <c r="Y118" s="7"/>
      <c r="Z118" s="7"/>
      <c r="AA118" s="7"/>
      <c r="AB118" s="7"/>
      <c r="AC118" s="7"/>
      <c r="AD118" s="7"/>
      <c r="AE118" s="7"/>
    </row>
    <row r="119" spans="1:31" x14ac:dyDescent="0.2">
      <c r="A119" s="5" t="s">
        <v>150</v>
      </c>
      <c r="B119" s="5" t="s">
        <v>344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>
        <v>19</v>
      </c>
      <c r="AB119" s="7"/>
      <c r="AC119" s="7"/>
      <c r="AD119" s="7"/>
      <c r="AE119" s="7"/>
    </row>
    <row r="120" spans="1:31" x14ac:dyDescent="0.2">
      <c r="A120" s="5" t="s">
        <v>159</v>
      </c>
      <c r="B120" s="5" t="s">
        <v>353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>
        <v>41.2</v>
      </c>
      <c r="X120" s="7"/>
      <c r="Y120" s="7"/>
      <c r="Z120" s="7"/>
      <c r="AA120" s="7"/>
      <c r="AB120" s="7"/>
      <c r="AC120" s="7"/>
      <c r="AD120" s="7"/>
      <c r="AE120" s="7">
        <v>25.7</v>
      </c>
    </row>
    <row r="121" spans="1:31" x14ac:dyDescent="0.2">
      <c r="A121" s="5" t="s">
        <v>170</v>
      </c>
      <c r="B121" s="5" t="s">
        <v>364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>
        <v>26.3</v>
      </c>
      <c r="V121" s="7"/>
      <c r="W121" s="7"/>
      <c r="X121" s="7"/>
      <c r="Y121" s="7"/>
      <c r="Z121" s="7">
        <v>24.1</v>
      </c>
      <c r="AA121" s="7"/>
      <c r="AB121" s="7"/>
      <c r="AC121" s="7"/>
      <c r="AD121" s="7"/>
      <c r="AE121" s="7"/>
    </row>
    <row r="122" spans="1:31" x14ac:dyDescent="0.2">
      <c r="A122" s="5" t="s">
        <v>177</v>
      </c>
      <c r="B122" s="5" t="s">
        <v>371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>
        <v>28.8</v>
      </c>
      <c r="T122" s="7"/>
      <c r="U122" s="7"/>
      <c r="V122" s="7"/>
      <c r="W122" s="7"/>
      <c r="X122" s="7"/>
      <c r="Y122" s="7"/>
      <c r="Z122" s="7">
        <v>45</v>
      </c>
      <c r="AA122" s="7"/>
      <c r="AB122" s="7"/>
      <c r="AC122" s="7"/>
      <c r="AD122" s="7"/>
      <c r="AE122" s="7"/>
    </row>
    <row r="123" spans="1:31" x14ac:dyDescent="0.2">
      <c r="A123" s="5" t="s">
        <v>169</v>
      </c>
      <c r="B123" s="5" t="s">
        <v>363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>
        <v>5.2</v>
      </c>
      <c r="AD123" s="7"/>
      <c r="AE123" s="7"/>
    </row>
    <row r="124" spans="1:31" x14ac:dyDescent="0.2">
      <c r="A124" s="5" t="s">
        <v>171</v>
      </c>
      <c r="B124" s="5" t="s">
        <v>365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>
        <v>18.899999999999999</v>
      </c>
      <c r="W124" s="7"/>
      <c r="X124" s="7"/>
      <c r="Y124" s="7"/>
      <c r="Z124" s="7"/>
      <c r="AA124" s="7"/>
      <c r="AB124" s="7">
        <v>6.7</v>
      </c>
      <c r="AC124" s="7"/>
      <c r="AD124" s="7"/>
      <c r="AE124" s="7"/>
    </row>
    <row r="125" spans="1:31" x14ac:dyDescent="0.2">
      <c r="A125" s="5" t="s">
        <v>168</v>
      </c>
      <c r="B125" s="5" t="s">
        <v>362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>
        <v>54.8</v>
      </c>
      <c r="W125" s="7"/>
      <c r="X125" s="7"/>
      <c r="Y125" s="7"/>
      <c r="Z125" s="7"/>
      <c r="AA125" s="7"/>
      <c r="AB125" s="7"/>
      <c r="AC125" s="7">
        <v>50.6</v>
      </c>
      <c r="AD125" s="7"/>
      <c r="AE125" s="7"/>
    </row>
    <row r="126" spans="1:31" x14ac:dyDescent="0.2">
      <c r="A126" s="5" t="s">
        <v>172</v>
      </c>
      <c r="B126" s="5" t="s">
        <v>366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>
        <v>32.4</v>
      </c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x14ac:dyDescent="0.2">
      <c r="A127" s="5" t="s">
        <v>173</v>
      </c>
      <c r="B127" s="5" t="s">
        <v>367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v>28.4</v>
      </c>
      <c r="X127" s="7"/>
      <c r="Y127" s="7"/>
      <c r="Z127" s="7"/>
      <c r="AA127" s="7"/>
      <c r="AB127" s="7"/>
      <c r="AC127" s="7"/>
      <c r="AD127" s="7"/>
      <c r="AE127" s="7"/>
    </row>
    <row r="128" spans="1:31" x14ac:dyDescent="0.2">
      <c r="A128" s="5" t="s">
        <v>174</v>
      </c>
      <c r="B128" s="5" t="s">
        <v>368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>
        <v>28.6</v>
      </c>
      <c r="AA128" s="7"/>
      <c r="AB128" s="7"/>
      <c r="AC128" s="7"/>
      <c r="AD128" s="7"/>
      <c r="AE128" s="7"/>
    </row>
    <row r="129" spans="1:31" x14ac:dyDescent="0.2">
      <c r="A129" s="5" t="s">
        <v>175</v>
      </c>
      <c r="B129" s="5" t="s">
        <v>369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>
        <v>32.200000000000003</v>
      </c>
      <c r="V129" s="7"/>
      <c r="W129" s="7"/>
      <c r="X129" s="7"/>
      <c r="Y129" s="7"/>
      <c r="Z129" s="7">
        <v>14.1</v>
      </c>
      <c r="AA129" s="7"/>
      <c r="AB129" s="7"/>
      <c r="AC129" s="7"/>
      <c r="AD129" s="7"/>
      <c r="AE129" s="7"/>
    </row>
    <row r="130" spans="1:31" x14ac:dyDescent="0.2">
      <c r="A130" s="5" t="s">
        <v>178</v>
      </c>
      <c r="B130" s="5" t="s">
        <v>372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>
        <v>35.299999999999997</v>
      </c>
      <c r="T130" s="7"/>
      <c r="U130" s="7"/>
      <c r="V130" s="7"/>
      <c r="W130" s="7"/>
      <c r="X130" s="7"/>
      <c r="Y130" s="7"/>
      <c r="Z130" s="7">
        <v>37.9</v>
      </c>
      <c r="AA130" s="7"/>
      <c r="AB130" s="7"/>
      <c r="AC130" s="7"/>
      <c r="AD130" s="7"/>
      <c r="AE130" s="7"/>
    </row>
    <row r="131" spans="1:31" x14ac:dyDescent="0.2">
      <c r="A131" s="5" t="s">
        <v>179</v>
      </c>
      <c r="B131" s="5" t="s">
        <v>373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>
        <v>38.9</v>
      </c>
      <c r="V131" s="7"/>
      <c r="W131" s="7"/>
      <c r="X131" s="7"/>
      <c r="Y131" s="7"/>
      <c r="Z131" s="7">
        <v>27.3</v>
      </c>
      <c r="AA131" s="7"/>
      <c r="AB131" s="7"/>
      <c r="AC131" s="7"/>
      <c r="AD131" s="7"/>
      <c r="AE131" s="7"/>
    </row>
    <row r="132" spans="1:31" x14ac:dyDescent="0.2">
      <c r="A132" s="5" t="s">
        <v>180</v>
      </c>
      <c r="B132" s="5" t="s">
        <v>374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>
        <v>64.5</v>
      </c>
      <c r="T132" s="7"/>
      <c r="U132" s="7"/>
      <c r="V132" s="7"/>
      <c r="W132" s="7">
        <v>39.4</v>
      </c>
      <c r="X132" s="7"/>
      <c r="Y132" s="7"/>
      <c r="Z132" s="7"/>
      <c r="AA132" s="7"/>
      <c r="AB132" s="7"/>
      <c r="AC132" s="7"/>
      <c r="AD132" s="7">
        <v>36.6</v>
      </c>
      <c r="AE132" s="7"/>
    </row>
    <row r="133" spans="1:31" x14ac:dyDescent="0.2">
      <c r="A133" s="5" t="s">
        <v>182</v>
      </c>
      <c r="B133" s="5" t="s">
        <v>376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>
        <v>20.8</v>
      </c>
      <c r="V133" s="7"/>
      <c r="W133" s="7"/>
      <c r="X133" s="7"/>
      <c r="Y133" s="7"/>
      <c r="Z133" s="7">
        <v>14.1</v>
      </c>
      <c r="AA133" s="7"/>
      <c r="AB133" s="7"/>
      <c r="AC133" s="7"/>
      <c r="AD133" s="7"/>
      <c r="AE133" s="7"/>
    </row>
    <row r="134" spans="1:31" x14ac:dyDescent="0.2">
      <c r="A134" s="5" t="s">
        <v>186</v>
      </c>
      <c r="B134" s="5" t="s">
        <v>380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>
        <v>9.6999999999999993</v>
      </c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x14ac:dyDescent="0.2">
      <c r="A135" s="5" t="s">
        <v>184</v>
      </c>
      <c r="B135" s="5" t="s">
        <v>378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>
        <v>20.9</v>
      </c>
      <c r="T135" s="7"/>
      <c r="U135" s="7"/>
      <c r="V135" s="7"/>
      <c r="W135" s="7">
        <v>9.6</v>
      </c>
      <c r="X135" s="7"/>
      <c r="Y135" s="7"/>
      <c r="Z135" s="7"/>
      <c r="AA135" s="7"/>
      <c r="AB135" s="7"/>
      <c r="AC135" s="7"/>
      <c r="AD135" s="7"/>
      <c r="AE135" s="7"/>
    </row>
    <row r="136" spans="1:31" x14ac:dyDescent="0.2">
      <c r="A136" s="5" t="s">
        <v>185</v>
      </c>
      <c r="B136" s="5" t="s">
        <v>379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14.3</v>
      </c>
      <c r="W136" s="7"/>
      <c r="X136" s="7"/>
      <c r="Y136" s="7"/>
      <c r="Z136" s="7"/>
      <c r="AA136" s="7"/>
      <c r="AB136" s="7">
        <v>11</v>
      </c>
      <c r="AC136" s="7"/>
      <c r="AD136" s="7"/>
      <c r="AE136" s="7"/>
    </row>
    <row r="137" spans="1:31" x14ac:dyDescent="0.2">
      <c r="A137" s="5" t="s">
        <v>409</v>
      </c>
      <c r="B137" s="5" t="s">
        <v>337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>
        <v>29.5</v>
      </c>
      <c r="AA137" s="7"/>
      <c r="AB137" s="7"/>
      <c r="AC137" s="7"/>
      <c r="AD137" s="7"/>
      <c r="AE137" s="7"/>
    </row>
    <row r="138" spans="1:31" x14ac:dyDescent="0.2">
      <c r="A138" s="5" t="s">
        <v>189</v>
      </c>
      <c r="B138" s="5" t="s">
        <v>383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>
        <v>15.3</v>
      </c>
      <c r="X138" s="7"/>
      <c r="Y138" s="7"/>
      <c r="Z138" s="7">
        <v>23.6</v>
      </c>
      <c r="AA138" s="7"/>
      <c r="AB138" s="7"/>
      <c r="AC138" s="7"/>
      <c r="AD138" s="7"/>
      <c r="AE138" s="7"/>
    </row>
    <row r="139" spans="1:31" x14ac:dyDescent="0.2">
      <c r="A139" s="5" t="s">
        <v>191</v>
      </c>
      <c r="B139" s="5" t="s">
        <v>385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>
        <v>24.1</v>
      </c>
      <c r="U139" s="7"/>
      <c r="V139" s="7"/>
      <c r="W139" s="7"/>
      <c r="X139" s="7"/>
      <c r="Y139" s="7"/>
      <c r="Z139" s="7">
        <v>47.1</v>
      </c>
      <c r="AA139" s="7"/>
      <c r="AB139" s="7"/>
      <c r="AC139" s="7"/>
      <c r="AD139" s="7"/>
      <c r="AE139" s="7"/>
    </row>
    <row r="140" spans="1:31" x14ac:dyDescent="0.2">
      <c r="A140" s="5" t="s">
        <v>192</v>
      </c>
      <c r="B140" s="5" t="s">
        <v>386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>
        <v>47</v>
      </c>
      <c r="Y140" s="7"/>
      <c r="Z140" s="7"/>
      <c r="AA140" s="7"/>
      <c r="AB140" s="7"/>
      <c r="AC140" s="7">
        <v>47.4</v>
      </c>
      <c r="AD140" s="7"/>
      <c r="AE140" s="7"/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3D76-DF33-4392-9902-426B165A5E29}">
  <dimension ref="A1:AE9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78" sqref="A78:XFD78"/>
    </sheetView>
  </sheetViews>
  <sheetFormatPr defaultColWidth="9.140625" defaultRowHeight="12.75" x14ac:dyDescent="0.2"/>
  <cols>
    <col min="1" max="1" width="27" style="5" customWidth="1"/>
    <col min="2" max="16384" width="9.140625" style="5"/>
  </cols>
  <sheetData>
    <row r="1" spans="1:31" s="4" customFormat="1" x14ac:dyDescent="0.2">
      <c r="A1" s="4" t="s">
        <v>410</v>
      </c>
      <c r="B1" s="4" t="s">
        <v>402</v>
      </c>
      <c r="C1" s="4">
        <v>1990</v>
      </c>
      <c r="D1" s="4">
        <v>1991</v>
      </c>
      <c r="E1" s="4">
        <v>1992</v>
      </c>
      <c r="F1" s="4">
        <v>1993</v>
      </c>
      <c r="G1" s="4">
        <v>1994</v>
      </c>
      <c r="H1" s="4">
        <v>1995</v>
      </c>
      <c r="I1" s="4">
        <v>1996</v>
      </c>
      <c r="J1" s="4">
        <v>1997</v>
      </c>
      <c r="K1" s="4">
        <v>1998</v>
      </c>
      <c r="L1" s="4">
        <v>1999</v>
      </c>
      <c r="M1" s="4">
        <v>2000</v>
      </c>
      <c r="N1" s="4">
        <v>2001</v>
      </c>
      <c r="O1" s="4">
        <v>2002</v>
      </c>
      <c r="P1" s="4">
        <v>2003</v>
      </c>
      <c r="Q1" s="4">
        <v>2004</v>
      </c>
      <c r="R1" s="4">
        <v>2005</v>
      </c>
      <c r="S1" s="4">
        <v>2006</v>
      </c>
      <c r="T1" s="4">
        <v>2007</v>
      </c>
      <c r="U1" s="4">
        <v>2008</v>
      </c>
      <c r="V1" s="4">
        <v>2009</v>
      </c>
      <c r="W1" s="4">
        <v>2010</v>
      </c>
      <c r="X1" s="4">
        <v>2011</v>
      </c>
      <c r="Y1" s="4">
        <v>2012</v>
      </c>
      <c r="Z1" s="4">
        <v>2013</v>
      </c>
      <c r="AA1" s="4">
        <v>2014</v>
      </c>
      <c r="AB1" s="4">
        <v>2015</v>
      </c>
      <c r="AC1" s="4">
        <v>2016</v>
      </c>
      <c r="AD1" s="4">
        <v>2017</v>
      </c>
      <c r="AE1" s="4">
        <v>2018</v>
      </c>
    </row>
    <row r="2" spans="1:31" x14ac:dyDescent="0.2">
      <c r="A2" s="5" t="s">
        <v>3</v>
      </c>
      <c r="B2" s="5" t="s">
        <v>196</v>
      </c>
      <c r="C2" s="7"/>
      <c r="D2" s="7"/>
      <c r="E2" s="7"/>
      <c r="F2" s="7"/>
      <c r="G2" s="7">
        <v>2.317697286605835</v>
      </c>
      <c r="H2" s="7"/>
      <c r="I2" s="7"/>
      <c r="J2" s="7"/>
      <c r="K2" s="7"/>
      <c r="L2" s="7">
        <v>1.8832486867904663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">
      <c r="A3" s="5" t="s">
        <v>52</v>
      </c>
      <c r="B3" s="5" t="s">
        <v>245</v>
      </c>
      <c r="C3" s="7"/>
      <c r="D3" s="7"/>
      <c r="E3" s="7"/>
      <c r="F3" s="7"/>
      <c r="G3" s="7"/>
      <c r="H3" s="7"/>
      <c r="I3" s="7"/>
      <c r="J3" s="7"/>
      <c r="K3" s="7"/>
      <c r="L3" s="7">
        <v>2.0128307342529297</v>
      </c>
      <c r="M3" s="7"/>
      <c r="N3" s="7"/>
      <c r="O3" s="7"/>
      <c r="P3" s="7"/>
      <c r="Q3" s="7"/>
      <c r="R3" s="7"/>
      <c r="S3" s="7"/>
      <c r="T3" s="7"/>
      <c r="U3" s="7"/>
      <c r="V3" s="7"/>
      <c r="W3" s="7">
        <v>3.877737283706665</v>
      </c>
      <c r="X3" s="7"/>
      <c r="Y3" s="7"/>
      <c r="Z3" s="7"/>
      <c r="AA3" s="7"/>
      <c r="AB3" s="7"/>
      <c r="AC3" s="7"/>
      <c r="AD3" s="7"/>
      <c r="AE3" s="7"/>
    </row>
    <row r="4" spans="1:31" x14ac:dyDescent="0.2">
      <c r="A4" s="5" t="s">
        <v>4</v>
      </c>
      <c r="B4" s="5" t="s">
        <v>197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>
        <v>2.4235763549804688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">
      <c r="A5" s="5" t="s">
        <v>6</v>
      </c>
      <c r="B5" s="5" t="s">
        <v>199</v>
      </c>
      <c r="C5" s="7"/>
      <c r="D5" s="7"/>
      <c r="E5" s="7"/>
      <c r="F5" s="7"/>
      <c r="G5" s="7">
        <v>2.0531220436096191</v>
      </c>
      <c r="H5" s="7"/>
      <c r="I5" s="7"/>
      <c r="J5" s="7"/>
      <c r="K5" s="7"/>
      <c r="L5" s="7">
        <v>1.8842519521713257</v>
      </c>
      <c r="M5" s="7"/>
      <c r="N5" s="7"/>
      <c r="O5" s="7"/>
      <c r="P5" s="7"/>
      <c r="Q5" s="7"/>
      <c r="R5" s="7">
        <v>1.7019526958465576</v>
      </c>
      <c r="S5" s="7"/>
      <c r="T5" s="7"/>
      <c r="U5" s="7"/>
      <c r="V5" s="7"/>
      <c r="W5" s="7">
        <v>1.8479763269424438</v>
      </c>
      <c r="X5" s="7"/>
      <c r="Y5" s="7"/>
      <c r="Z5" s="7"/>
      <c r="AA5" s="7"/>
      <c r="AB5" s="7"/>
      <c r="AC5" s="7"/>
      <c r="AD5" s="7"/>
      <c r="AE5" s="7"/>
    </row>
    <row r="6" spans="1:31" x14ac:dyDescent="0.2">
      <c r="A6" s="5" t="s">
        <v>7</v>
      </c>
      <c r="B6" s="5" t="s">
        <v>200</v>
      </c>
      <c r="C6" s="7"/>
      <c r="D6" s="7"/>
      <c r="E6" s="7"/>
      <c r="F6" s="7"/>
      <c r="G6" s="7">
        <v>3.6772866249084473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2.0303030014038086</v>
      </c>
      <c r="X6" s="7"/>
      <c r="Y6" s="7"/>
      <c r="Z6" s="7"/>
      <c r="AA6" s="7"/>
      <c r="AB6" s="7"/>
      <c r="AC6" s="7"/>
      <c r="AD6" s="7"/>
      <c r="AE6" s="7"/>
    </row>
    <row r="7" spans="1:31" x14ac:dyDescent="0.2">
      <c r="A7" s="5" t="s">
        <v>9</v>
      </c>
      <c r="B7" s="5" t="s">
        <v>202</v>
      </c>
      <c r="C7" s="7"/>
      <c r="D7" s="7"/>
      <c r="E7" s="7"/>
      <c r="F7" s="7"/>
      <c r="G7" s="7">
        <v>2.1574301719665527</v>
      </c>
      <c r="H7" s="7"/>
      <c r="I7" s="7"/>
      <c r="J7" s="7"/>
      <c r="K7" s="7"/>
      <c r="L7" s="7"/>
      <c r="M7" s="7"/>
      <c r="N7" s="7"/>
      <c r="O7" s="7"/>
      <c r="P7" s="7"/>
      <c r="Q7" s="7"/>
      <c r="R7" s="7">
        <v>2.0315637588500977</v>
      </c>
      <c r="S7" s="7"/>
      <c r="T7" s="7"/>
      <c r="U7" s="7"/>
      <c r="V7" s="7"/>
      <c r="W7" s="7">
        <v>1.7680764198303223</v>
      </c>
      <c r="X7" s="7"/>
      <c r="Y7" s="7"/>
      <c r="Z7" s="7"/>
      <c r="AA7" s="7"/>
      <c r="AB7" s="7"/>
      <c r="AC7" s="7"/>
      <c r="AD7" s="7"/>
      <c r="AE7" s="7"/>
    </row>
    <row r="8" spans="1:31" x14ac:dyDescent="0.2">
      <c r="A8" s="5" t="s">
        <v>11</v>
      </c>
      <c r="B8" s="5" t="s">
        <v>204</v>
      </c>
      <c r="C8" s="7"/>
      <c r="D8" s="7"/>
      <c r="E8" s="7"/>
      <c r="F8" s="7"/>
      <c r="G8" s="7">
        <v>3.6182794570922852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>
        <v>1.5119760036468506</v>
      </c>
      <c r="X8" s="7"/>
      <c r="Y8" s="7"/>
      <c r="Z8" s="7"/>
      <c r="AA8" s="7"/>
      <c r="AB8" s="7"/>
      <c r="AC8" s="7"/>
      <c r="AD8" s="7"/>
      <c r="AE8" s="7"/>
    </row>
    <row r="9" spans="1:31" x14ac:dyDescent="0.2">
      <c r="A9" s="5" t="s">
        <v>16</v>
      </c>
      <c r="B9" s="5" t="s">
        <v>209</v>
      </c>
      <c r="C9" s="7"/>
      <c r="D9" s="7"/>
      <c r="E9" s="7"/>
      <c r="F9" s="7"/>
      <c r="G9" s="7">
        <v>1.0935994386672974</v>
      </c>
      <c r="H9" s="7"/>
      <c r="I9" s="7"/>
      <c r="J9" s="7"/>
      <c r="K9" s="7"/>
      <c r="L9" s="7">
        <v>1.0588629245758057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">
      <c r="A10" s="5" t="s">
        <v>21</v>
      </c>
      <c r="B10" s="5" t="s">
        <v>214</v>
      </c>
      <c r="C10" s="7"/>
      <c r="D10" s="7"/>
      <c r="E10" s="7"/>
      <c r="F10" s="7"/>
      <c r="G10" s="7">
        <v>3.4027993679046631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2.7787957191467285</v>
      </c>
      <c r="X10" s="7"/>
      <c r="Y10" s="7"/>
      <c r="Z10" s="7"/>
      <c r="AA10" s="7"/>
      <c r="AB10" s="7"/>
      <c r="AC10" s="7"/>
      <c r="AD10" s="7"/>
      <c r="AE10" s="7"/>
    </row>
    <row r="11" spans="1:31" x14ac:dyDescent="0.2">
      <c r="A11" s="5" t="s">
        <v>20</v>
      </c>
      <c r="B11" s="5" t="s">
        <v>213</v>
      </c>
      <c r="C11" s="7"/>
      <c r="D11" s="7"/>
      <c r="E11" s="7"/>
      <c r="F11" s="7"/>
      <c r="G11" s="7">
        <v>1.8673341274261475</v>
      </c>
      <c r="H11" s="7"/>
      <c r="I11" s="7"/>
      <c r="J11" s="7"/>
      <c r="K11" s="7"/>
      <c r="L11" s="7">
        <v>1.7560567855834961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">
      <c r="A12" s="5" t="s">
        <v>25</v>
      </c>
      <c r="B12" s="5" t="s">
        <v>218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>
        <v>3.6464238166809082</v>
      </c>
      <c r="S12" s="7"/>
      <c r="T12" s="7"/>
      <c r="U12" s="7"/>
      <c r="V12" s="7"/>
      <c r="W12" s="7">
        <v>2.5594263076782227</v>
      </c>
      <c r="X12" s="7"/>
      <c r="Y12" s="7"/>
      <c r="Z12" s="7"/>
      <c r="AA12" s="7"/>
      <c r="AB12" s="7"/>
      <c r="AC12" s="7"/>
      <c r="AD12" s="7"/>
      <c r="AE12" s="7"/>
    </row>
    <row r="13" spans="1:31" x14ac:dyDescent="0.2">
      <c r="A13" s="5" t="s">
        <v>17</v>
      </c>
      <c r="B13" s="5" t="s">
        <v>210</v>
      </c>
      <c r="C13" s="7"/>
      <c r="D13" s="7"/>
      <c r="E13" s="7"/>
      <c r="F13" s="7"/>
      <c r="G13" s="7">
        <v>2.0885467529296875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2.3981480598449707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">
      <c r="A14" s="5" t="s">
        <v>15</v>
      </c>
      <c r="B14" s="5" t="s">
        <v>208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>
        <v>2.5230216979980469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">
      <c r="A15" s="5" t="s">
        <v>31</v>
      </c>
      <c r="B15" s="5" t="s">
        <v>224</v>
      </c>
      <c r="C15" s="7"/>
      <c r="D15" s="7"/>
      <c r="E15" s="7"/>
      <c r="F15" s="7"/>
      <c r="G15" s="7"/>
      <c r="H15" s="7"/>
      <c r="I15" s="7"/>
      <c r="J15" s="7"/>
      <c r="K15" s="7"/>
      <c r="L15" s="7">
        <v>2.0161206722259521</v>
      </c>
      <c r="M15" s="7"/>
      <c r="N15" s="7"/>
      <c r="O15" s="7"/>
      <c r="P15" s="7"/>
      <c r="Q15" s="7"/>
      <c r="R15" s="7">
        <v>1.8134328126907349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">
      <c r="A16" s="5" t="s">
        <v>33</v>
      </c>
      <c r="B16" s="5" t="s">
        <v>226</v>
      </c>
      <c r="C16" s="7"/>
      <c r="D16" s="7"/>
      <c r="E16" s="7"/>
      <c r="F16" s="7"/>
      <c r="G16" s="7">
        <v>2.1664965152740479</v>
      </c>
      <c r="H16" s="7"/>
      <c r="I16" s="7"/>
      <c r="J16" s="7"/>
      <c r="K16" s="7"/>
      <c r="L16" s="7">
        <v>2.169217586517334</v>
      </c>
      <c r="M16" s="7"/>
      <c r="N16" s="7"/>
      <c r="O16" s="7"/>
      <c r="P16" s="7"/>
      <c r="Q16" s="7"/>
      <c r="R16" s="7">
        <v>1.955486536026001</v>
      </c>
      <c r="S16" s="7"/>
      <c r="T16" s="7"/>
      <c r="U16" s="7"/>
      <c r="V16" s="7"/>
      <c r="W16" s="7">
        <v>1.6994872093200684</v>
      </c>
      <c r="X16" s="7"/>
      <c r="Y16" s="7"/>
      <c r="Z16" s="7"/>
      <c r="AA16" s="7"/>
      <c r="AB16" s="7"/>
      <c r="AC16" s="7"/>
      <c r="AD16" s="7"/>
      <c r="AE16" s="7"/>
    </row>
    <row r="17" spans="1:31" x14ac:dyDescent="0.2">
      <c r="A17" s="5" t="s">
        <v>34</v>
      </c>
      <c r="B17" s="5" t="s">
        <v>227</v>
      </c>
      <c r="C17" s="7"/>
      <c r="D17" s="7"/>
      <c r="E17" s="7"/>
      <c r="F17" s="7"/>
      <c r="G17" s="7">
        <v>1.5262802839279175</v>
      </c>
      <c r="H17" s="7"/>
      <c r="I17" s="7"/>
      <c r="J17" s="7"/>
      <c r="K17" s="7"/>
      <c r="L17" s="7">
        <v>1.5715736150741577</v>
      </c>
      <c r="M17" s="7"/>
      <c r="N17" s="7"/>
      <c r="O17" s="7"/>
      <c r="P17" s="7"/>
      <c r="Q17" s="7"/>
      <c r="R17" s="7">
        <v>1.9470959901809692</v>
      </c>
      <c r="S17" s="7"/>
      <c r="T17" s="7"/>
      <c r="U17" s="7"/>
      <c r="V17" s="7"/>
      <c r="W17" s="7">
        <v>2.2274677753448486</v>
      </c>
      <c r="X17" s="7"/>
      <c r="Y17" s="7"/>
      <c r="Z17" s="7"/>
      <c r="AA17" s="7"/>
      <c r="AB17" s="7"/>
      <c r="AC17" s="7"/>
      <c r="AD17" s="7"/>
      <c r="AE17" s="7"/>
    </row>
    <row r="18" spans="1:31" x14ac:dyDescent="0.2">
      <c r="A18" s="5" t="s">
        <v>39</v>
      </c>
      <c r="B18" s="5" t="s">
        <v>232</v>
      </c>
      <c r="C18" s="7"/>
      <c r="D18" s="7"/>
      <c r="E18" s="7"/>
      <c r="F18" s="7"/>
      <c r="G18" s="7">
        <v>1.9207459688186646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1.5632489919662476</v>
      </c>
      <c r="S18" s="7"/>
      <c r="T18" s="7"/>
      <c r="U18" s="7"/>
      <c r="V18" s="7"/>
      <c r="W18" s="7">
        <v>1.6465517282485962</v>
      </c>
      <c r="X18" s="7"/>
      <c r="Y18" s="7"/>
      <c r="Z18" s="7"/>
      <c r="AA18" s="7"/>
      <c r="AB18" s="7"/>
      <c r="AC18" s="7"/>
      <c r="AD18" s="7"/>
      <c r="AE18" s="7"/>
    </row>
    <row r="19" spans="1:31" x14ac:dyDescent="0.2">
      <c r="A19" s="5" t="s">
        <v>76</v>
      </c>
      <c r="B19" s="5" t="s">
        <v>269</v>
      </c>
      <c r="C19" s="7"/>
      <c r="D19" s="7"/>
      <c r="E19" s="7"/>
      <c r="F19" s="7"/>
      <c r="G19" s="7">
        <v>3.6700854301452637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">
      <c r="A20" s="5" t="s">
        <v>45</v>
      </c>
      <c r="B20" s="5" t="s">
        <v>238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1.9483747482299805</v>
      </c>
      <c r="S20" s="7"/>
      <c r="T20" s="7"/>
      <c r="U20" s="7"/>
      <c r="V20" s="7"/>
      <c r="W20" s="7">
        <v>1.6179435253143311</v>
      </c>
      <c r="X20" s="7"/>
      <c r="Y20" s="7"/>
      <c r="Z20" s="7"/>
      <c r="AA20" s="7"/>
      <c r="AB20" s="7"/>
      <c r="AC20" s="7"/>
      <c r="AD20" s="7"/>
      <c r="AE20" s="7"/>
    </row>
    <row r="21" spans="1:31" x14ac:dyDescent="0.2">
      <c r="A21" s="5" t="s">
        <v>46</v>
      </c>
      <c r="B21" s="5" t="s">
        <v>239</v>
      </c>
      <c r="C21" s="7"/>
      <c r="D21" s="7"/>
      <c r="E21" s="7"/>
      <c r="F21" s="7"/>
      <c r="G21" s="7">
        <v>2.9800543785095215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">
      <c r="A22" s="5" t="s">
        <v>51</v>
      </c>
      <c r="B22" s="5" t="s">
        <v>244</v>
      </c>
      <c r="C22" s="7"/>
      <c r="D22" s="7"/>
      <c r="E22" s="7"/>
      <c r="F22" s="7"/>
      <c r="G22" s="7">
        <v>1.9507389068603516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">
      <c r="A23" s="5" t="s">
        <v>53</v>
      </c>
      <c r="B23" s="5" t="s">
        <v>246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>
        <v>1.9051580429077148</v>
      </c>
      <c r="X23" s="7"/>
      <c r="Y23" s="7"/>
      <c r="Z23" s="7"/>
      <c r="AA23" s="7"/>
      <c r="AB23" s="7"/>
      <c r="AC23" s="7"/>
      <c r="AD23" s="7"/>
      <c r="AE23" s="7"/>
    </row>
    <row r="24" spans="1:31" x14ac:dyDescent="0.2">
      <c r="A24" s="5" t="s">
        <v>54</v>
      </c>
      <c r="B24" s="5" t="s">
        <v>247</v>
      </c>
      <c r="C24" s="7"/>
      <c r="D24" s="7"/>
      <c r="E24" s="7"/>
      <c r="F24" s="7"/>
      <c r="G24" s="7"/>
      <c r="H24" s="7"/>
      <c r="I24" s="7"/>
      <c r="J24" s="7"/>
      <c r="K24" s="7"/>
      <c r="L24" s="7">
        <v>1.5759302377700806</v>
      </c>
      <c r="M24" s="7"/>
      <c r="N24" s="7"/>
      <c r="O24" s="7"/>
      <c r="P24" s="7"/>
      <c r="Q24" s="7"/>
      <c r="R24" s="7">
        <v>1.7227332592010498</v>
      </c>
      <c r="S24" s="7"/>
      <c r="T24" s="7"/>
      <c r="U24" s="7"/>
      <c r="V24" s="7"/>
      <c r="W24" s="7">
        <v>1.9323703050613403</v>
      </c>
      <c r="X24" s="7"/>
      <c r="Y24" s="7"/>
      <c r="Z24" s="7"/>
      <c r="AA24" s="7"/>
      <c r="AB24" s="7"/>
      <c r="AC24" s="7"/>
      <c r="AD24" s="7"/>
      <c r="AE24" s="7"/>
    </row>
    <row r="25" spans="1:31" x14ac:dyDescent="0.2">
      <c r="A25" s="5" t="s">
        <v>155</v>
      </c>
      <c r="B25" s="5" t="s">
        <v>349</v>
      </c>
      <c r="C25" s="7"/>
      <c r="D25" s="7"/>
      <c r="E25" s="7"/>
      <c r="F25" s="7"/>
      <c r="G25" s="7">
        <v>1.9114754199981689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">
      <c r="A26" s="5" t="s">
        <v>57</v>
      </c>
      <c r="B26" s="5" t="s">
        <v>250</v>
      </c>
      <c r="C26" s="7"/>
      <c r="D26" s="7"/>
      <c r="E26" s="7"/>
      <c r="F26" s="7"/>
      <c r="G26" s="7">
        <v>3.373225212097168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>
        <v>2.2606666088104248</v>
      </c>
      <c r="X26" s="7"/>
      <c r="Y26" s="7"/>
      <c r="Z26" s="7"/>
      <c r="AA26" s="7"/>
      <c r="AB26" s="7"/>
      <c r="AC26" s="7"/>
      <c r="AD26" s="7"/>
      <c r="AE26" s="7"/>
    </row>
    <row r="27" spans="1:31" x14ac:dyDescent="0.2">
      <c r="A27" s="5" t="s">
        <v>58</v>
      </c>
      <c r="B27" s="5" t="s">
        <v>251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1.4611259698867798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">
      <c r="A28" s="5" t="s">
        <v>59</v>
      </c>
      <c r="B28" s="5" t="s">
        <v>252</v>
      </c>
      <c r="C28" s="7"/>
      <c r="D28" s="7"/>
      <c r="E28" s="7"/>
      <c r="F28" s="7"/>
      <c r="G28" s="7">
        <v>2.5673470497131348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>
        <v>2.1422924995422363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">
      <c r="A29" s="5" t="s">
        <v>61</v>
      </c>
      <c r="B29" s="5" t="s">
        <v>254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>
        <v>2.8238239288330078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">
      <c r="A30" s="5" t="s">
        <v>65</v>
      </c>
      <c r="B30" s="5" t="s">
        <v>258</v>
      </c>
      <c r="C30" s="7"/>
      <c r="D30" s="7"/>
      <c r="E30" s="7"/>
      <c r="F30" s="7"/>
      <c r="G30" s="7">
        <v>2.7372922897338867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>
        <v>1.6846785545349121</v>
      </c>
      <c r="S30" s="7"/>
      <c r="T30" s="7"/>
      <c r="U30" s="7"/>
      <c r="V30" s="7"/>
      <c r="W30" s="7">
        <v>1.4457428455352783</v>
      </c>
      <c r="X30" s="7"/>
      <c r="Y30" s="7"/>
      <c r="Z30" s="7"/>
      <c r="AA30" s="7"/>
      <c r="AB30" s="7"/>
      <c r="AC30" s="7"/>
      <c r="AD30" s="7"/>
      <c r="AE30" s="7"/>
    </row>
    <row r="31" spans="1:31" x14ac:dyDescent="0.2">
      <c r="A31" s="5" t="s">
        <v>47</v>
      </c>
      <c r="B31" s="5" t="s">
        <v>240</v>
      </c>
      <c r="C31" s="7"/>
      <c r="D31" s="7"/>
      <c r="E31" s="7"/>
      <c r="F31" s="7"/>
      <c r="G31" s="7">
        <v>2.9860210418701172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>
        <v>2.1387796401977539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">
      <c r="A32" s="5" t="s">
        <v>66</v>
      </c>
      <c r="B32" s="5" t="s">
        <v>259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>
        <v>1</v>
      </c>
      <c r="S32" s="7"/>
      <c r="T32" s="7"/>
      <c r="U32" s="7"/>
      <c r="V32" s="7"/>
      <c r="W32" s="7">
        <v>1.6501288414001465</v>
      </c>
      <c r="X32" s="7"/>
      <c r="Y32" s="7"/>
      <c r="Z32" s="7"/>
      <c r="AA32" s="7"/>
      <c r="AB32" s="7"/>
      <c r="AC32" s="7"/>
      <c r="AD32" s="7"/>
      <c r="AE32" s="7"/>
    </row>
    <row r="33" spans="1:31" x14ac:dyDescent="0.2">
      <c r="A33" s="5" t="s">
        <v>73</v>
      </c>
      <c r="B33" s="5" t="s">
        <v>266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>
        <v>2.5075075626373291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">
      <c r="A34" s="5" t="s">
        <v>78</v>
      </c>
      <c r="B34" s="5" t="s">
        <v>271</v>
      </c>
      <c r="C34" s="7"/>
      <c r="D34" s="7"/>
      <c r="E34" s="7"/>
      <c r="F34" s="7"/>
      <c r="G34" s="7">
        <v>2.4019138813018799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>
        <v>2.0169491767883301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">
      <c r="A35" s="5" t="s">
        <v>80</v>
      </c>
      <c r="B35" s="5" t="s">
        <v>273</v>
      </c>
      <c r="C35" s="7"/>
      <c r="D35" s="7"/>
      <c r="E35" s="7"/>
      <c r="F35" s="7"/>
      <c r="G35" s="7">
        <v>1.6270325183868408</v>
      </c>
      <c r="H35" s="7"/>
      <c r="I35" s="7"/>
      <c r="J35" s="7"/>
      <c r="K35" s="7"/>
      <c r="L35" s="7">
        <v>2.1407327651977539</v>
      </c>
      <c r="M35" s="7"/>
      <c r="N35" s="7"/>
      <c r="O35" s="7"/>
      <c r="P35" s="7"/>
      <c r="Q35" s="7"/>
      <c r="R35" s="7">
        <v>3.0292189121246338</v>
      </c>
      <c r="S35" s="7"/>
      <c r="T35" s="7"/>
      <c r="U35" s="7"/>
      <c r="V35" s="7"/>
      <c r="W35" s="7">
        <v>4.0997424125671387</v>
      </c>
      <c r="X35" s="7"/>
      <c r="Y35" s="7"/>
      <c r="Z35" s="7"/>
      <c r="AA35" s="7"/>
      <c r="AB35" s="7"/>
      <c r="AC35" s="7"/>
      <c r="AD35" s="7"/>
      <c r="AE35" s="7"/>
    </row>
    <row r="36" spans="1:31" x14ac:dyDescent="0.2">
      <c r="A36" s="5" t="s">
        <v>79</v>
      </c>
      <c r="B36" s="5" t="s">
        <v>272</v>
      </c>
      <c r="C36" s="7"/>
      <c r="D36" s="7"/>
      <c r="E36" s="7"/>
      <c r="F36" s="7"/>
      <c r="G36" s="7"/>
      <c r="H36" s="7"/>
      <c r="I36" s="7"/>
      <c r="J36" s="7"/>
      <c r="K36" s="7"/>
      <c r="L36" s="7">
        <v>1.5395395755767822</v>
      </c>
      <c r="M36" s="7"/>
      <c r="N36" s="7"/>
      <c r="O36" s="7"/>
      <c r="P36" s="7"/>
      <c r="Q36" s="7"/>
      <c r="R36" s="7">
        <v>1.5733805894851685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">
      <c r="A37" s="5" t="s">
        <v>82</v>
      </c>
      <c r="B37" s="5" t="s">
        <v>275</v>
      </c>
      <c r="C37" s="7"/>
      <c r="D37" s="7"/>
      <c r="E37" s="7"/>
      <c r="F37" s="7"/>
      <c r="G37" s="7"/>
      <c r="H37" s="7"/>
      <c r="I37" s="7"/>
      <c r="J37" s="7"/>
      <c r="K37" s="7"/>
      <c r="L37" s="7">
        <v>1.4680244922637939</v>
      </c>
      <c r="M37" s="7"/>
      <c r="N37" s="7"/>
      <c r="O37" s="7"/>
      <c r="P37" s="7"/>
      <c r="Q37" s="7"/>
      <c r="R37" s="7">
        <v>2.0283339023590088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">
      <c r="A38" s="5" t="s">
        <v>83</v>
      </c>
      <c r="B38" s="5" t="s">
        <v>276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v>2.8845822811126709</v>
      </c>
      <c r="X38" s="7"/>
      <c r="Y38" s="7"/>
      <c r="Z38" s="7"/>
      <c r="AA38" s="7"/>
      <c r="AB38" s="7"/>
      <c r="AC38" s="7"/>
      <c r="AD38" s="7"/>
      <c r="AE38" s="7"/>
    </row>
    <row r="39" spans="1:31" x14ac:dyDescent="0.2">
      <c r="A39" s="5" t="s">
        <v>86</v>
      </c>
      <c r="B39" s="5" t="s">
        <v>279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>
        <v>2.1756486892700195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">
      <c r="A40" s="5" t="s">
        <v>89</v>
      </c>
      <c r="B40" s="5" t="s">
        <v>282</v>
      </c>
      <c r="C40" s="7"/>
      <c r="D40" s="7"/>
      <c r="E40" s="7"/>
      <c r="F40" s="7"/>
      <c r="G40" s="7">
        <v>1.5091787576675415</v>
      </c>
      <c r="H40" s="7"/>
      <c r="I40" s="7"/>
      <c r="J40" s="7"/>
      <c r="K40" s="7"/>
      <c r="L40" s="7">
        <v>1.4634146690368652</v>
      </c>
      <c r="M40" s="7"/>
      <c r="N40" s="7"/>
      <c r="O40" s="7"/>
      <c r="P40" s="7"/>
      <c r="Q40" s="7"/>
      <c r="R40" s="7">
        <v>1.455814003944397</v>
      </c>
      <c r="S40" s="7"/>
      <c r="T40" s="7"/>
      <c r="U40" s="7"/>
      <c r="V40" s="7"/>
      <c r="W40" s="7">
        <v>1.3114893436431885</v>
      </c>
      <c r="X40" s="7"/>
      <c r="Y40" s="7"/>
      <c r="Z40" s="7"/>
      <c r="AA40" s="7"/>
      <c r="AB40" s="7"/>
      <c r="AC40" s="7"/>
      <c r="AD40" s="7"/>
      <c r="AE40" s="7"/>
    </row>
    <row r="41" spans="1:31" x14ac:dyDescent="0.2">
      <c r="A41" s="5" t="s">
        <v>88</v>
      </c>
      <c r="B41" s="5" t="s">
        <v>281</v>
      </c>
      <c r="C41" s="7"/>
      <c r="D41" s="7"/>
      <c r="E41" s="7"/>
      <c r="F41" s="7"/>
      <c r="G41" s="7"/>
      <c r="H41" s="7"/>
      <c r="I41" s="7"/>
      <c r="J41" s="7"/>
      <c r="K41" s="7"/>
      <c r="L41" s="7">
        <v>1.5137157440185547</v>
      </c>
      <c r="M41" s="7"/>
      <c r="N41" s="7"/>
      <c r="O41" s="7"/>
      <c r="P41" s="7"/>
      <c r="Q41" s="7"/>
      <c r="R41" s="7">
        <v>1.7578858137130737</v>
      </c>
      <c r="S41" s="7"/>
      <c r="T41" s="7"/>
      <c r="U41" s="7"/>
      <c r="V41" s="7"/>
      <c r="W41" s="7">
        <v>1.6499999761581421</v>
      </c>
      <c r="X41" s="7"/>
      <c r="Y41" s="7"/>
      <c r="Z41" s="7"/>
      <c r="AA41" s="7"/>
      <c r="AB41" s="7"/>
      <c r="AC41" s="7"/>
      <c r="AD41" s="7"/>
      <c r="AE41" s="7"/>
    </row>
    <row r="42" spans="1:31" x14ac:dyDescent="0.2">
      <c r="A42" s="5" t="s">
        <v>90</v>
      </c>
      <c r="B42" s="5" t="s">
        <v>283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v>2.5933332443237305</v>
      </c>
      <c r="X42" s="7"/>
      <c r="Y42" s="7"/>
      <c r="Z42" s="7"/>
      <c r="AA42" s="7"/>
      <c r="AB42" s="7"/>
      <c r="AC42" s="7"/>
      <c r="AD42" s="7"/>
      <c r="AE42" s="7"/>
    </row>
    <row r="43" spans="1:31" x14ac:dyDescent="0.2">
      <c r="A43" s="5" t="s">
        <v>96</v>
      </c>
      <c r="B43" s="5" t="s">
        <v>289</v>
      </c>
      <c r="C43" s="7"/>
      <c r="D43" s="7"/>
      <c r="E43" s="7"/>
      <c r="F43" s="7"/>
      <c r="G43" s="7">
        <v>1.7871485948562622</v>
      </c>
      <c r="H43" s="7"/>
      <c r="I43" s="7"/>
      <c r="J43" s="7"/>
      <c r="K43" s="7"/>
      <c r="L43" s="7">
        <v>1.591326117515564</v>
      </c>
      <c r="M43" s="7"/>
      <c r="N43" s="7"/>
      <c r="O43" s="7"/>
      <c r="P43" s="7"/>
      <c r="Q43" s="7"/>
      <c r="R43" s="7">
        <v>1.6636060476303101</v>
      </c>
      <c r="S43" s="7"/>
      <c r="T43" s="7"/>
      <c r="U43" s="7"/>
      <c r="V43" s="7"/>
      <c r="W43" s="7">
        <v>1.7508361339569092</v>
      </c>
      <c r="X43" s="7"/>
      <c r="Y43" s="7"/>
      <c r="Z43" s="7"/>
      <c r="AA43" s="7"/>
      <c r="AB43" s="7"/>
      <c r="AC43" s="7"/>
      <c r="AD43" s="7"/>
      <c r="AE43" s="7"/>
    </row>
    <row r="44" spans="1:31" x14ac:dyDescent="0.2">
      <c r="A44" s="5" t="s">
        <v>97</v>
      </c>
      <c r="B44" s="5" t="s">
        <v>290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>
        <v>2.8948695659637451</v>
      </c>
      <c r="X44" s="7"/>
      <c r="Y44" s="7"/>
      <c r="Z44" s="7"/>
      <c r="AA44" s="7"/>
      <c r="AB44" s="7"/>
      <c r="AC44" s="7"/>
      <c r="AD44" s="7"/>
      <c r="AE44" s="7"/>
    </row>
    <row r="45" spans="1:31" x14ac:dyDescent="0.2">
      <c r="A45" s="5" t="s">
        <v>92</v>
      </c>
      <c r="B45" s="5" t="s">
        <v>285</v>
      </c>
      <c r="C45" s="7"/>
      <c r="D45" s="7"/>
      <c r="E45" s="7"/>
      <c r="F45" s="7"/>
      <c r="G45" s="7"/>
      <c r="H45" s="7"/>
      <c r="I45" s="7"/>
      <c r="J45" s="7"/>
      <c r="K45" s="7"/>
      <c r="L45" s="7">
        <v>2.7251687049865723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>
        <v>2.5237777233123779</v>
      </c>
      <c r="X45" s="7"/>
      <c r="Y45" s="7"/>
      <c r="Z45" s="7"/>
      <c r="AA45" s="7"/>
      <c r="AB45" s="7"/>
      <c r="AC45" s="7"/>
      <c r="AD45" s="7"/>
      <c r="AE45" s="7"/>
    </row>
    <row r="46" spans="1:31" x14ac:dyDescent="0.2">
      <c r="A46" s="5" t="s">
        <v>107</v>
      </c>
      <c r="B46" s="5" t="s">
        <v>300</v>
      </c>
      <c r="C46" s="7"/>
      <c r="D46" s="7"/>
      <c r="E46" s="7"/>
      <c r="F46" s="7"/>
      <c r="G46" s="7">
        <v>3.5758092403411865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">
      <c r="A47" s="5" t="s">
        <v>99</v>
      </c>
      <c r="B47" s="5" t="s">
        <v>292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>
        <v>3.1783332824707031</v>
      </c>
      <c r="X47" s="7"/>
      <c r="Y47" s="7"/>
      <c r="Z47" s="7"/>
      <c r="AA47" s="7"/>
      <c r="AB47" s="7"/>
      <c r="AC47" s="7"/>
      <c r="AD47" s="7"/>
      <c r="AE47" s="7"/>
    </row>
    <row r="48" spans="1:31" x14ac:dyDescent="0.2">
      <c r="A48" s="5" t="s">
        <v>101</v>
      </c>
      <c r="B48" s="5" t="s">
        <v>294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>
        <v>1.6360989809036255</v>
      </c>
      <c r="X48" s="7"/>
      <c r="Y48" s="7"/>
      <c r="Z48" s="7"/>
      <c r="AA48" s="7"/>
      <c r="AB48" s="7"/>
      <c r="AC48" s="7"/>
      <c r="AD48" s="7"/>
      <c r="AE48" s="7"/>
    </row>
    <row r="49" spans="1:31" x14ac:dyDescent="0.2">
      <c r="A49" s="5" t="s">
        <v>105</v>
      </c>
      <c r="B49" s="5" t="s">
        <v>298</v>
      </c>
      <c r="C49" s="7"/>
      <c r="D49" s="7"/>
      <c r="E49" s="7"/>
      <c r="F49" s="7"/>
      <c r="G49" s="7">
        <v>3.1341588497161865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2">
      <c r="A50" s="5" t="s">
        <v>123</v>
      </c>
      <c r="B50" s="5" t="s">
        <v>317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>
        <v>3.5325000286102295</v>
      </c>
      <c r="S50" s="7"/>
      <c r="T50" s="7"/>
      <c r="U50" s="7"/>
      <c r="V50" s="7"/>
      <c r="W50" s="7">
        <v>2.6169230937957764</v>
      </c>
      <c r="X50" s="7"/>
      <c r="Y50" s="7"/>
      <c r="Z50" s="7"/>
      <c r="AA50" s="7"/>
      <c r="AB50" s="7"/>
      <c r="AC50" s="7"/>
      <c r="AD50" s="7"/>
      <c r="AE50" s="7"/>
    </row>
    <row r="51" spans="1:31" x14ac:dyDescent="0.2">
      <c r="A51" s="5" t="s">
        <v>114</v>
      </c>
      <c r="B51" s="5" t="s">
        <v>308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>
        <v>3.3185079097747803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2">
      <c r="A52" s="5" t="s">
        <v>112</v>
      </c>
      <c r="B52" s="5" t="s">
        <v>305</v>
      </c>
      <c r="C52" s="7"/>
      <c r="D52" s="7"/>
      <c r="E52" s="7"/>
      <c r="F52" s="7"/>
      <c r="G52" s="7">
        <v>3.0818381309509277</v>
      </c>
      <c r="H52" s="7"/>
      <c r="I52" s="7"/>
      <c r="J52" s="7"/>
      <c r="K52" s="7"/>
      <c r="L52" s="7">
        <v>2.3068492412567139</v>
      </c>
      <c r="M52" s="7"/>
      <c r="N52" s="7"/>
      <c r="O52" s="7"/>
      <c r="P52" s="7"/>
      <c r="Q52" s="7"/>
      <c r="R52" s="7">
        <v>2.6245846748352051</v>
      </c>
      <c r="S52" s="7"/>
      <c r="T52" s="7"/>
      <c r="U52" s="7"/>
      <c r="V52" s="7"/>
      <c r="W52" s="7">
        <v>2.155388355255127</v>
      </c>
      <c r="X52" s="7"/>
      <c r="Y52" s="7"/>
      <c r="Z52" s="7"/>
      <c r="AA52" s="7"/>
      <c r="AB52" s="7"/>
      <c r="AC52" s="7"/>
      <c r="AD52" s="7"/>
      <c r="AE52" s="7"/>
    </row>
    <row r="53" spans="1:31" x14ac:dyDescent="0.2">
      <c r="A53" s="5" t="s">
        <v>109</v>
      </c>
      <c r="B53" s="5" t="s">
        <v>302</v>
      </c>
      <c r="C53" s="7"/>
      <c r="D53" s="7"/>
      <c r="E53" s="7"/>
      <c r="F53" s="7"/>
      <c r="G53" s="7">
        <v>3.8196203708648682</v>
      </c>
      <c r="H53" s="7"/>
      <c r="I53" s="7"/>
      <c r="J53" s="7"/>
      <c r="K53" s="7"/>
      <c r="L53" s="7">
        <v>4.1847476959228516</v>
      </c>
      <c r="M53" s="7"/>
      <c r="N53" s="7"/>
      <c r="O53" s="7"/>
      <c r="P53" s="7"/>
      <c r="Q53" s="7"/>
      <c r="R53" s="7">
        <v>3.5503876209259033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2">
      <c r="A54" s="5" t="s">
        <v>117</v>
      </c>
      <c r="B54" s="5" t="s">
        <v>311</v>
      </c>
      <c r="C54" s="7"/>
      <c r="D54" s="7"/>
      <c r="E54" s="7"/>
      <c r="F54" s="7"/>
      <c r="G54" s="7">
        <v>2.8356163501739502</v>
      </c>
      <c r="H54" s="7"/>
      <c r="I54" s="7"/>
      <c r="J54" s="7"/>
      <c r="K54" s="7"/>
      <c r="L54" s="7">
        <v>2.5507967472076416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2">
      <c r="A55" s="5" t="s">
        <v>108</v>
      </c>
      <c r="B55" s="5" t="s">
        <v>301</v>
      </c>
      <c r="C55" s="7"/>
      <c r="D55" s="7"/>
      <c r="E55" s="7"/>
      <c r="F55" s="7"/>
      <c r="G55" s="7"/>
      <c r="H55" s="7"/>
      <c r="I55" s="7"/>
      <c r="J55" s="7"/>
      <c r="K55" s="7"/>
      <c r="L55" s="7">
        <v>1.2326332330703735</v>
      </c>
      <c r="M55" s="7"/>
      <c r="N55" s="7"/>
      <c r="O55" s="7"/>
      <c r="P55" s="7"/>
      <c r="Q55" s="7"/>
      <c r="R55" s="7">
        <v>1.778529167175293</v>
      </c>
      <c r="S55" s="7"/>
      <c r="T55" s="7"/>
      <c r="U55" s="7"/>
      <c r="V55" s="7"/>
      <c r="W55" s="7">
        <v>1.5118708610534668</v>
      </c>
      <c r="X55" s="7"/>
      <c r="Y55" s="7"/>
      <c r="Z55" s="7"/>
      <c r="AA55" s="7"/>
      <c r="AB55" s="7"/>
      <c r="AC55" s="7"/>
      <c r="AD55" s="7"/>
      <c r="AE55" s="7"/>
    </row>
    <row r="56" spans="1:31" x14ac:dyDescent="0.2">
      <c r="A56" s="5" t="s">
        <v>129</v>
      </c>
      <c r="B56" s="5" t="s">
        <v>323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>
        <v>2.2628018856048584</v>
      </c>
      <c r="S56" s="7"/>
      <c r="T56" s="7"/>
      <c r="U56" s="7"/>
      <c r="V56" s="7"/>
      <c r="W56" s="7">
        <v>1.9036275148391724</v>
      </c>
      <c r="X56" s="7"/>
      <c r="Y56" s="7"/>
      <c r="Z56" s="7"/>
      <c r="AA56" s="7"/>
      <c r="AB56" s="7"/>
      <c r="AC56" s="7"/>
      <c r="AD56" s="7"/>
      <c r="AE56" s="7"/>
    </row>
    <row r="57" spans="1:31" x14ac:dyDescent="0.2">
      <c r="A57" s="5" t="s">
        <v>132</v>
      </c>
      <c r="B57" s="5" t="s">
        <v>326</v>
      </c>
      <c r="C57" s="7"/>
      <c r="D57" s="7"/>
      <c r="E57" s="7"/>
      <c r="F57" s="7"/>
      <c r="G57" s="7">
        <v>2.3108224868774414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>
        <v>2.1546163558959961</v>
      </c>
      <c r="S57" s="7"/>
      <c r="T57" s="7"/>
      <c r="U57" s="7"/>
      <c r="V57" s="7"/>
      <c r="W57" s="7">
        <v>1.878078818321228</v>
      </c>
      <c r="X57" s="7"/>
      <c r="Y57" s="7"/>
      <c r="Z57" s="7"/>
      <c r="AA57" s="7"/>
      <c r="AB57" s="7"/>
      <c r="AC57" s="7"/>
      <c r="AD57" s="7"/>
      <c r="AE57" s="7"/>
    </row>
    <row r="58" spans="1:31" x14ac:dyDescent="0.2">
      <c r="A58" s="5" t="s">
        <v>127</v>
      </c>
      <c r="B58" s="5" t="s">
        <v>321</v>
      </c>
      <c r="C58" s="7"/>
      <c r="D58" s="7"/>
      <c r="E58" s="7"/>
      <c r="F58" s="7"/>
      <c r="G58" s="7">
        <v>1.885814905166626</v>
      </c>
      <c r="H58" s="7"/>
      <c r="I58" s="7"/>
      <c r="J58" s="7"/>
      <c r="K58" s="7"/>
      <c r="L58" s="7">
        <v>2.0301680564880371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>
        <v>2.2444570064544678</v>
      </c>
      <c r="X58" s="7"/>
      <c r="Y58" s="7"/>
      <c r="Z58" s="7"/>
      <c r="AA58" s="7"/>
      <c r="AB58" s="7"/>
      <c r="AC58" s="7"/>
      <c r="AD58" s="7"/>
      <c r="AE58" s="7"/>
    </row>
    <row r="59" spans="1:31" x14ac:dyDescent="0.2">
      <c r="A59" s="5" t="s">
        <v>408</v>
      </c>
      <c r="B59" s="5" t="s">
        <v>307</v>
      </c>
      <c r="C59" s="7"/>
      <c r="D59" s="7"/>
      <c r="E59" s="7"/>
      <c r="F59" s="7"/>
      <c r="G59" s="7">
        <v>2.3542115688323975</v>
      </c>
      <c r="H59" s="7"/>
      <c r="I59" s="7"/>
      <c r="J59" s="7"/>
      <c r="K59" s="7"/>
      <c r="L59" s="7">
        <v>2.2976653575897217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2">
      <c r="A60" s="5" t="s">
        <v>130</v>
      </c>
      <c r="B60" s="5" t="s">
        <v>324</v>
      </c>
      <c r="C60" s="7"/>
      <c r="D60" s="7"/>
      <c r="E60" s="7"/>
      <c r="F60" s="7"/>
      <c r="G60" s="7">
        <v>2.713392972946167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>
        <v>2.2822024822235107</v>
      </c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2">
      <c r="A61" s="5" t="s">
        <v>134</v>
      </c>
      <c r="B61" s="5" t="s">
        <v>328</v>
      </c>
      <c r="C61" s="7"/>
      <c r="D61" s="7"/>
      <c r="E61" s="7"/>
      <c r="F61" s="7"/>
      <c r="G61" s="7"/>
      <c r="H61" s="7"/>
      <c r="I61" s="7"/>
      <c r="J61" s="7"/>
      <c r="K61" s="7"/>
      <c r="L61" s="7">
        <v>1.191752552986145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>
        <v>1.846666693687439</v>
      </c>
      <c r="X61" s="7"/>
      <c r="Y61" s="7"/>
      <c r="Z61" s="7"/>
      <c r="AA61" s="7"/>
      <c r="AB61" s="7"/>
      <c r="AC61" s="7"/>
      <c r="AD61" s="7"/>
      <c r="AE61" s="7"/>
    </row>
    <row r="62" spans="1:31" x14ac:dyDescent="0.2">
      <c r="A62" s="5" t="s">
        <v>136</v>
      </c>
      <c r="B62" s="5" t="s">
        <v>330</v>
      </c>
      <c r="C62" s="7"/>
      <c r="D62" s="7"/>
      <c r="E62" s="7"/>
      <c r="F62" s="7"/>
      <c r="G62" s="7">
        <v>2.1496953964233398</v>
      </c>
      <c r="H62" s="7"/>
      <c r="I62" s="7"/>
      <c r="J62" s="7"/>
      <c r="K62" s="7"/>
      <c r="L62" s="7">
        <v>2.1126952171325684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>
        <v>2.004302978515625</v>
      </c>
      <c r="X62" s="7"/>
      <c r="Y62" s="7"/>
      <c r="Z62" s="7"/>
      <c r="AA62" s="7"/>
      <c r="AB62" s="7"/>
      <c r="AC62" s="7"/>
      <c r="AD62" s="7"/>
      <c r="AE62" s="7"/>
    </row>
    <row r="63" spans="1:31" x14ac:dyDescent="0.2">
      <c r="A63" s="5" t="s">
        <v>137</v>
      </c>
      <c r="B63" s="5" t="s">
        <v>331</v>
      </c>
      <c r="C63" s="7"/>
      <c r="D63" s="7"/>
      <c r="E63" s="7"/>
      <c r="F63" s="7"/>
      <c r="G63" s="7">
        <v>3.0033473968505859</v>
      </c>
      <c r="H63" s="7"/>
      <c r="I63" s="7"/>
      <c r="J63" s="7"/>
      <c r="K63" s="7"/>
      <c r="L63" s="7">
        <v>3.1596283912658691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>
        <v>3.7959866523742676</v>
      </c>
      <c r="X63" s="7"/>
      <c r="Y63" s="7"/>
      <c r="Z63" s="7"/>
      <c r="AA63" s="7"/>
      <c r="AB63" s="7"/>
      <c r="AC63" s="7"/>
      <c r="AD63" s="7"/>
      <c r="AE63" s="7"/>
    </row>
    <row r="64" spans="1:31" x14ac:dyDescent="0.2">
      <c r="A64" s="5" t="s">
        <v>139</v>
      </c>
      <c r="B64" s="5" t="s">
        <v>333</v>
      </c>
      <c r="C64" s="7"/>
      <c r="D64" s="7"/>
      <c r="E64" s="7"/>
      <c r="F64" s="7"/>
      <c r="G64" s="7">
        <v>2.4855136871337891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>
        <v>2.4548318386077881</v>
      </c>
      <c r="S64" s="7"/>
      <c r="T64" s="7"/>
      <c r="U64" s="7"/>
      <c r="V64" s="7"/>
      <c r="W64" s="7">
        <v>2.350161075592041</v>
      </c>
      <c r="X64" s="7"/>
      <c r="Y64" s="7"/>
      <c r="Z64" s="7"/>
      <c r="AA64" s="7"/>
      <c r="AB64" s="7"/>
      <c r="AC64" s="7"/>
      <c r="AD64" s="7"/>
      <c r="AE64" s="7"/>
    </row>
    <row r="65" spans="1:31" x14ac:dyDescent="0.2">
      <c r="A65" s="5" t="s">
        <v>140</v>
      </c>
      <c r="B65" s="5" t="s">
        <v>334</v>
      </c>
      <c r="C65" s="7"/>
      <c r="D65" s="7"/>
      <c r="E65" s="7"/>
      <c r="F65" s="7"/>
      <c r="G65" s="7">
        <v>2.058671236038208</v>
      </c>
      <c r="H65" s="7"/>
      <c r="I65" s="7"/>
      <c r="J65" s="7"/>
      <c r="K65" s="7"/>
      <c r="L65" s="7">
        <v>2.0141642093658447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2">
      <c r="A66" s="5" t="s">
        <v>146</v>
      </c>
      <c r="B66" s="5" t="s">
        <v>340</v>
      </c>
      <c r="C66" s="7"/>
      <c r="D66" s="7"/>
      <c r="E66" s="7"/>
      <c r="F66" s="7"/>
      <c r="G66" s="7">
        <v>2.2647058963775635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>
        <v>2.3429255485534668</v>
      </c>
      <c r="S66" s="7"/>
      <c r="T66" s="7"/>
      <c r="U66" s="7"/>
      <c r="V66" s="7"/>
      <c r="W66" s="7">
        <v>2.0129604339599609</v>
      </c>
      <c r="X66" s="7"/>
      <c r="Y66" s="7"/>
      <c r="Z66" s="7"/>
      <c r="AA66" s="7"/>
      <c r="AB66" s="7"/>
      <c r="AC66" s="7"/>
      <c r="AD66" s="7"/>
      <c r="AE66" s="7"/>
    </row>
    <row r="67" spans="1:31" x14ac:dyDescent="0.2">
      <c r="A67" s="5" t="s">
        <v>147</v>
      </c>
      <c r="B67" s="5" t="s">
        <v>341</v>
      </c>
      <c r="C67" s="7"/>
      <c r="D67" s="7"/>
      <c r="E67" s="7"/>
      <c r="F67" s="7"/>
      <c r="G67" s="7">
        <v>3.2483973503112793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>
        <v>3.0446429252624512</v>
      </c>
      <c r="S67" s="7"/>
      <c r="T67" s="7"/>
      <c r="U67" s="7"/>
      <c r="V67" s="7"/>
      <c r="W67" s="7">
        <v>3.0109198093414307</v>
      </c>
      <c r="X67" s="7"/>
      <c r="Y67" s="7"/>
      <c r="Z67" s="7"/>
      <c r="AA67" s="7"/>
      <c r="AB67" s="7"/>
      <c r="AC67" s="7"/>
      <c r="AD67" s="7"/>
      <c r="AE67" s="7"/>
    </row>
    <row r="68" spans="1:31" x14ac:dyDescent="0.2">
      <c r="A68" s="5" t="s">
        <v>148</v>
      </c>
      <c r="B68" s="5" t="s">
        <v>342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>
        <v>2.2481653690338135</v>
      </c>
      <c r="S68" s="7"/>
      <c r="T68" s="7"/>
      <c r="U68" s="7"/>
      <c r="V68" s="7"/>
      <c r="W68" s="7">
        <v>2.081859827041626</v>
      </c>
      <c r="X68" s="7"/>
      <c r="Y68" s="7"/>
      <c r="Z68" s="7"/>
      <c r="AA68" s="7"/>
      <c r="AB68" s="7"/>
      <c r="AC68" s="7"/>
      <c r="AD68" s="7"/>
      <c r="AE68" s="7"/>
    </row>
    <row r="69" spans="1:31" x14ac:dyDescent="0.2">
      <c r="A69" s="5" t="s">
        <v>156</v>
      </c>
      <c r="B69" s="5" t="s">
        <v>350</v>
      </c>
      <c r="C69" s="7"/>
      <c r="D69" s="7"/>
      <c r="E69" s="7"/>
      <c r="F69" s="7"/>
      <c r="G69" s="7">
        <v>2.5543220043182373</v>
      </c>
      <c r="H69" s="7"/>
      <c r="I69" s="7"/>
      <c r="J69" s="7"/>
      <c r="K69" s="7"/>
      <c r="L69" s="7">
        <v>2.0934019088745117</v>
      </c>
      <c r="M69" s="7"/>
      <c r="N69" s="7"/>
      <c r="O69" s="7"/>
      <c r="P69" s="7"/>
      <c r="Q69" s="7"/>
      <c r="R69" s="7">
        <v>4.742194652557373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x14ac:dyDescent="0.2">
      <c r="A70" s="5" t="s">
        <v>152</v>
      </c>
      <c r="B70" s="5" t="s">
        <v>346</v>
      </c>
      <c r="C70" s="7"/>
      <c r="D70" s="7"/>
      <c r="E70" s="7"/>
      <c r="F70" s="7"/>
      <c r="G70" s="7"/>
      <c r="H70" s="7"/>
      <c r="I70" s="7"/>
      <c r="J70" s="7"/>
      <c r="K70" s="7"/>
      <c r="L70" s="7">
        <v>2.0444591045379639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v>2.5454545021057129</v>
      </c>
      <c r="X70" s="7"/>
      <c r="Y70" s="7"/>
      <c r="Z70" s="7"/>
      <c r="AA70" s="7"/>
      <c r="AB70" s="7"/>
      <c r="AC70" s="7"/>
      <c r="AD70" s="7"/>
      <c r="AE70" s="7"/>
    </row>
    <row r="71" spans="1:31" x14ac:dyDescent="0.2">
      <c r="A71" s="5" t="s">
        <v>160</v>
      </c>
      <c r="B71" s="5" t="s">
        <v>354</v>
      </c>
      <c r="C71" s="7"/>
      <c r="D71" s="7"/>
      <c r="E71" s="7"/>
      <c r="F71" s="7"/>
      <c r="G71" s="7">
        <v>3.2597765922546387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x14ac:dyDescent="0.2">
      <c r="A72" s="5" t="s">
        <v>161</v>
      </c>
      <c r="B72" s="5" t="s">
        <v>355</v>
      </c>
      <c r="C72" s="7"/>
      <c r="D72" s="7"/>
      <c r="E72" s="7"/>
      <c r="F72" s="7"/>
      <c r="G72" s="7">
        <v>2.8217132091522217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>
        <v>2.3701102733612061</v>
      </c>
      <c r="S72" s="7"/>
      <c r="T72" s="7"/>
      <c r="U72" s="7"/>
      <c r="V72" s="7"/>
      <c r="W72" s="7">
        <v>1.7589792013168335</v>
      </c>
      <c r="X72" s="7"/>
      <c r="Y72" s="7"/>
      <c r="Z72" s="7"/>
      <c r="AA72" s="7"/>
      <c r="AB72" s="7"/>
      <c r="AC72" s="7"/>
      <c r="AD72" s="7"/>
      <c r="AE72" s="7"/>
    </row>
    <row r="73" spans="1:31" x14ac:dyDescent="0.2">
      <c r="A73" s="5" t="s">
        <v>190</v>
      </c>
      <c r="B73" s="5" t="s">
        <v>384</v>
      </c>
      <c r="C73" s="7"/>
      <c r="D73" s="7"/>
      <c r="E73" s="7"/>
      <c r="F73" s="7"/>
      <c r="G73" s="7">
        <v>2.1340351104736328</v>
      </c>
      <c r="H73" s="7"/>
      <c r="I73" s="7"/>
      <c r="J73" s="7"/>
      <c r="K73" s="7"/>
      <c r="L73" s="7">
        <v>2.2292234897613525</v>
      </c>
      <c r="M73" s="7"/>
      <c r="N73" s="7"/>
      <c r="O73" s="7"/>
      <c r="P73" s="7"/>
      <c r="Q73" s="7"/>
      <c r="R73" s="7">
        <v>2.5223062038421631</v>
      </c>
      <c r="S73" s="7"/>
      <c r="T73" s="7"/>
      <c r="U73" s="7"/>
      <c r="V73" s="7"/>
      <c r="W73" s="7">
        <v>4.1187124252319336</v>
      </c>
      <c r="X73" s="7"/>
      <c r="Y73" s="7"/>
      <c r="Z73" s="7"/>
      <c r="AA73" s="7"/>
      <c r="AB73" s="7"/>
      <c r="AC73" s="7"/>
      <c r="AD73" s="7"/>
      <c r="AE73" s="7"/>
    </row>
    <row r="74" spans="1:31" x14ac:dyDescent="0.2">
      <c r="A74" s="5" t="s">
        <v>56</v>
      </c>
      <c r="B74" s="5" t="s">
        <v>249</v>
      </c>
      <c r="C74" s="7"/>
      <c r="D74" s="7"/>
      <c r="E74" s="7"/>
      <c r="F74" s="7"/>
      <c r="G74" s="7">
        <v>1.9177966117858887</v>
      </c>
      <c r="H74" s="7"/>
      <c r="I74" s="7"/>
      <c r="J74" s="7"/>
      <c r="K74" s="7"/>
      <c r="L74" s="7">
        <v>2.1555929183959961</v>
      </c>
      <c r="M74" s="7"/>
      <c r="N74" s="7"/>
      <c r="O74" s="7"/>
      <c r="P74" s="7"/>
      <c r="Q74" s="7"/>
      <c r="R74" s="7">
        <v>2.0626587867736816</v>
      </c>
      <c r="S74" s="7"/>
      <c r="T74" s="7"/>
      <c r="U74" s="7"/>
      <c r="V74" s="7"/>
      <c r="W74" s="7">
        <v>1.7361701726913452</v>
      </c>
      <c r="X74" s="7"/>
      <c r="Y74" s="7"/>
      <c r="Z74" s="7"/>
      <c r="AA74" s="7"/>
      <c r="AB74" s="7"/>
      <c r="AC74" s="7"/>
      <c r="AD74" s="7"/>
      <c r="AE74" s="7"/>
    </row>
    <row r="75" spans="1:31" x14ac:dyDescent="0.2">
      <c r="A75" s="5" t="s">
        <v>143</v>
      </c>
      <c r="B75" s="5" t="s">
        <v>337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>
        <v>2.9442191123962402</v>
      </c>
      <c r="X75" s="7"/>
      <c r="Y75" s="7"/>
      <c r="Z75" s="7"/>
      <c r="AA75" s="7"/>
      <c r="AB75" s="7"/>
      <c r="AC75" s="7"/>
      <c r="AD75" s="7"/>
      <c r="AE75" s="7"/>
    </row>
    <row r="76" spans="1:31" x14ac:dyDescent="0.2">
      <c r="A76" s="5" t="s">
        <v>162</v>
      </c>
      <c r="B76" s="5" t="s">
        <v>356</v>
      </c>
      <c r="C76" s="7"/>
      <c r="D76" s="7"/>
      <c r="E76" s="7"/>
      <c r="F76" s="7"/>
      <c r="G76" s="7">
        <v>2.581418514251709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>
        <v>2.2941768169403076</v>
      </c>
      <c r="S76" s="7"/>
      <c r="T76" s="7"/>
      <c r="U76" s="7"/>
      <c r="V76" s="7"/>
      <c r="W76" s="7">
        <v>2.0982067584991455</v>
      </c>
      <c r="X76" s="7"/>
      <c r="Y76" s="7"/>
      <c r="Z76" s="7"/>
      <c r="AA76" s="7"/>
      <c r="AB76" s="7"/>
      <c r="AC76" s="7"/>
      <c r="AD76" s="7"/>
      <c r="AE76" s="7"/>
    </row>
    <row r="77" spans="1:31" x14ac:dyDescent="0.2">
      <c r="A77" s="5" t="s">
        <v>32</v>
      </c>
      <c r="B77" s="5" t="s">
        <v>225</v>
      </c>
      <c r="C77" s="7"/>
      <c r="D77" s="7"/>
      <c r="E77" s="7"/>
      <c r="F77" s="7"/>
      <c r="G77" s="7">
        <v>2.6462185382843018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>
        <v>2.0816490650177002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x14ac:dyDescent="0.2">
      <c r="A78" s="5" t="s">
        <v>177</v>
      </c>
      <c r="B78" s="5" t="s">
        <v>371</v>
      </c>
      <c r="C78" s="7"/>
      <c r="D78" s="7"/>
      <c r="E78" s="7"/>
      <c r="F78" s="7"/>
      <c r="G78" s="7"/>
      <c r="H78" s="7"/>
      <c r="I78" s="7"/>
      <c r="J78" s="7"/>
      <c r="K78" s="7"/>
      <c r="L78" s="7">
        <v>1.7263249158859253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x14ac:dyDescent="0.2">
      <c r="A79" s="5" t="s">
        <v>169</v>
      </c>
      <c r="B79" s="5" t="s">
        <v>363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>
        <v>2.7563683986663818</v>
      </c>
      <c r="S79" s="7"/>
      <c r="T79" s="7"/>
      <c r="U79" s="7"/>
      <c r="V79" s="7"/>
      <c r="W79" s="7">
        <v>1.6565910577774048</v>
      </c>
      <c r="X79" s="7"/>
      <c r="Y79" s="7"/>
      <c r="Z79" s="7"/>
      <c r="AA79" s="7"/>
      <c r="AB79" s="7"/>
      <c r="AC79" s="7"/>
      <c r="AD79" s="7"/>
      <c r="AE79" s="7"/>
    </row>
    <row r="80" spans="1:31" x14ac:dyDescent="0.2">
      <c r="A80" s="5" t="s">
        <v>173</v>
      </c>
      <c r="B80" s="5" t="s">
        <v>367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>
        <v>2.2144289016723633</v>
      </c>
      <c r="S80" s="7"/>
      <c r="T80" s="7"/>
      <c r="U80" s="7"/>
      <c r="V80" s="7"/>
      <c r="W80" s="7">
        <v>1.4314720630645752</v>
      </c>
      <c r="X80" s="7"/>
      <c r="Y80" s="7"/>
      <c r="Z80" s="7"/>
      <c r="AA80" s="7"/>
      <c r="AB80" s="7"/>
      <c r="AC80" s="7"/>
      <c r="AD80" s="7"/>
      <c r="AE80" s="7"/>
    </row>
    <row r="81" spans="1:31" x14ac:dyDescent="0.2">
      <c r="A81" s="5" t="s">
        <v>174</v>
      </c>
      <c r="B81" s="5" t="s">
        <v>368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2.3136200904846191</v>
      </c>
      <c r="X81" s="7"/>
      <c r="Y81" s="7"/>
      <c r="Z81" s="7"/>
      <c r="AA81" s="7"/>
      <c r="AB81" s="7"/>
      <c r="AC81" s="7"/>
      <c r="AD81" s="7"/>
      <c r="AE81" s="7"/>
    </row>
    <row r="82" spans="1:31" x14ac:dyDescent="0.2">
      <c r="A82" s="5" t="s">
        <v>175</v>
      </c>
      <c r="B82" s="5" t="s">
        <v>369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>
        <v>1.3385533094406128</v>
      </c>
      <c r="S82" s="7"/>
      <c r="T82" s="7"/>
      <c r="U82" s="7"/>
      <c r="V82" s="7"/>
      <c r="W82" s="7">
        <v>1.2667082548141479</v>
      </c>
      <c r="X82" s="7"/>
      <c r="Y82" s="7"/>
      <c r="Z82" s="7"/>
      <c r="AA82" s="7"/>
      <c r="AB82" s="7"/>
      <c r="AC82" s="7"/>
      <c r="AD82" s="7"/>
      <c r="AE82" s="7"/>
    </row>
    <row r="83" spans="1:31" x14ac:dyDescent="0.2">
      <c r="A83" s="5" t="s">
        <v>178</v>
      </c>
      <c r="B83" s="5" t="s">
        <v>372</v>
      </c>
      <c r="C83" s="7"/>
      <c r="D83" s="7"/>
      <c r="E83" s="7"/>
      <c r="F83" s="7"/>
      <c r="G83" s="7"/>
      <c r="H83" s="7"/>
      <c r="I83" s="7"/>
      <c r="J83" s="7"/>
      <c r="K83" s="7"/>
      <c r="L83" s="7">
        <v>3.5781562328338623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x14ac:dyDescent="0.2">
      <c r="A84" s="5" t="s">
        <v>179</v>
      </c>
      <c r="B84" s="5" t="s">
        <v>373</v>
      </c>
      <c r="C84" s="7"/>
      <c r="D84" s="7"/>
      <c r="E84" s="7"/>
      <c r="F84" s="7"/>
      <c r="G84" s="7">
        <v>3.4511609077453613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>
        <v>3.2787234783172607</v>
      </c>
      <c r="S84" s="7"/>
      <c r="T84" s="7"/>
      <c r="U84" s="7"/>
      <c r="V84" s="7"/>
      <c r="W84" s="7">
        <v>2.559999942779541</v>
      </c>
      <c r="X84" s="7"/>
      <c r="Y84" s="7"/>
      <c r="Z84" s="7"/>
      <c r="AA84" s="7"/>
      <c r="AB84" s="7"/>
      <c r="AC84" s="7"/>
      <c r="AD84" s="7"/>
      <c r="AE84" s="7"/>
    </row>
    <row r="85" spans="1:31" x14ac:dyDescent="0.2">
      <c r="A85" s="5" t="s">
        <v>64</v>
      </c>
      <c r="B85" s="5" t="s">
        <v>257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>
        <v>2.2905137538909912</v>
      </c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x14ac:dyDescent="0.2">
      <c r="A86" s="5" t="s">
        <v>181</v>
      </c>
      <c r="B86" s="5" t="s">
        <v>375</v>
      </c>
      <c r="C86" s="7"/>
      <c r="D86" s="7"/>
      <c r="E86" s="7"/>
      <c r="F86" s="7"/>
      <c r="G86" s="7">
        <v>1.684175968170166</v>
      </c>
      <c r="H86" s="7"/>
      <c r="I86" s="7"/>
      <c r="J86" s="7"/>
      <c r="K86" s="7"/>
      <c r="L86" s="7">
        <v>2.2228715419769287</v>
      </c>
      <c r="M86" s="7"/>
      <c r="N86" s="7"/>
      <c r="O86" s="7"/>
      <c r="P86" s="7"/>
      <c r="Q86" s="7"/>
      <c r="R86" s="7">
        <v>1.9554622173309326</v>
      </c>
      <c r="S86" s="7"/>
      <c r="T86" s="7"/>
      <c r="U86" s="7"/>
      <c r="V86" s="7"/>
      <c r="W86" s="7">
        <v>1.8333333730697632</v>
      </c>
      <c r="X86" s="7"/>
      <c r="Y86" s="7"/>
      <c r="Z86" s="7"/>
      <c r="AA86" s="7"/>
      <c r="AB86" s="7"/>
      <c r="AC86" s="7"/>
      <c r="AD86" s="7"/>
      <c r="AE86" s="7"/>
    </row>
    <row r="87" spans="1:31" x14ac:dyDescent="0.2">
      <c r="A87" s="5" t="s">
        <v>180</v>
      </c>
      <c r="B87" s="5" t="s">
        <v>374</v>
      </c>
      <c r="C87" s="7"/>
      <c r="D87" s="7"/>
      <c r="E87" s="7"/>
      <c r="F87" s="7"/>
      <c r="G87" s="7">
        <v>1.7607362270355225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>
        <v>1.9817813634872437</v>
      </c>
      <c r="S87" s="7"/>
      <c r="T87" s="7"/>
      <c r="U87" s="7"/>
      <c r="V87" s="7"/>
      <c r="W87" s="7">
        <v>1.5751765966415405</v>
      </c>
      <c r="X87" s="7"/>
      <c r="Y87" s="7"/>
      <c r="Z87" s="7"/>
      <c r="AA87" s="7"/>
      <c r="AB87" s="7"/>
      <c r="AC87" s="7"/>
      <c r="AD87" s="7"/>
      <c r="AE87" s="7"/>
    </row>
    <row r="88" spans="1:31" x14ac:dyDescent="0.2">
      <c r="A88" s="5" t="s">
        <v>182</v>
      </c>
      <c r="B88" s="5" t="s">
        <v>376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>
        <v>2.1688919067382813</v>
      </c>
      <c r="X88" s="7"/>
      <c r="Y88" s="7"/>
      <c r="Z88" s="7"/>
      <c r="AA88" s="7"/>
      <c r="AB88" s="7"/>
      <c r="AC88" s="7"/>
      <c r="AD88" s="7"/>
      <c r="AE88" s="7"/>
    </row>
    <row r="89" spans="1:31" x14ac:dyDescent="0.2">
      <c r="A89" s="5" t="s">
        <v>184</v>
      </c>
      <c r="B89" s="5" t="s">
        <v>378</v>
      </c>
      <c r="C89" s="7"/>
      <c r="D89" s="7"/>
      <c r="E89" s="7"/>
      <c r="F89" s="7"/>
      <c r="G89" s="7">
        <v>1.980541467666626</v>
      </c>
      <c r="H89" s="7"/>
      <c r="I89" s="7"/>
      <c r="J89" s="7"/>
      <c r="K89" s="7"/>
      <c r="L89" s="7">
        <v>1.8190954923629761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x14ac:dyDescent="0.2">
      <c r="A90" s="5" t="s">
        <v>185</v>
      </c>
      <c r="B90" s="5" t="s">
        <v>379</v>
      </c>
      <c r="C90" s="7"/>
      <c r="D90" s="7"/>
      <c r="E90" s="7"/>
      <c r="F90" s="7"/>
      <c r="G90" s="7"/>
      <c r="H90" s="7"/>
      <c r="I90" s="7"/>
      <c r="J90" s="7"/>
      <c r="K90" s="7"/>
      <c r="L90" s="7">
        <v>1.3205257654190063</v>
      </c>
      <c r="M90" s="7"/>
      <c r="N90" s="7"/>
      <c r="O90" s="7"/>
      <c r="P90" s="7"/>
      <c r="Q90" s="7"/>
      <c r="R90" s="7">
        <v>1.6593707799911499</v>
      </c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x14ac:dyDescent="0.2">
      <c r="A91" s="5" t="s">
        <v>189</v>
      </c>
      <c r="B91" s="5" t="s">
        <v>383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>
        <v>2.2107100486755371</v>
      </c>
      <c r="X91" s="7"/>
      <c r="Y91" s="7"/>
      <c r="Z91" s="7"/>
      <c r="AA91" s="7"/>
      <c r="AB91" s="7"/>
      <c r="AC91" s="7"/>
      <c r="AD91" s="7"/>
      <c r="AE91" s="7"/>
    </row>
    <row r="92" spans="1:31" x14ac:dyDescent="0.2">
      <c r="A92" s="5" t="s">
        <v>191</v>
      </c>
      <c r="B92" s="5" t="s">
        <v>385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>
        <v>3.663623571395874</v>
      </c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x14ac:dyDescent="0.2">
      <c r="A93" s="5" t="s">
        <v>192</v>
      </c>
      <c r="B93" s="5" t="s">
        <v>386</v>
      </c>
      <c r="C93" s="7"/>
      <c r="D93" s="7"/>
      <c r="E93" s="7"/>
      <c r="F93" s="7"/>
      <c r="G93" s="7"/>
      <c r="H93" s="7"/>
      <c r="I93" s="7"/>
      <c r="J93" s="7"/>
      <c r="K93" s="7"/>
      <c r="L93" s="7">
        <v>1.5637104511260986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>
        <v>2.4000000953674316</v>
      </c>
      <c r="X93" s="7"/>
      <c r="Y93" s="7"/>
      <c r="Z93" s="7"/>
      <c r="AA93" s="7"/>
      <c r="AB93" s="7"/>
      <c r="AC93" s="7"/>
      <c r="AD93" s="7"/>
      <c r="AE93" s="7"/>
    </row>
  </sheetData>
  <pageMargins left="0.75" right="0.75" top="1" bottom="1" header="0.5" footer="0.5"/>
  <pageSetup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 me</vt:lpstr>
      <vt:lpstr>2005-2015 avg</vt:lpstr>
      <vt:lpstr>2003</vt:lpstr>
      <vt:lpstr>DGE_p</vt:lpstr>
      <vt:lpstr>replication</vt:lpstr>
      <vt:lpstr>MIMIC_p</vt:lpstr>
      <vt:lpstr>Sheet1</vt:lpstr>
      <vt:lpstr>SEMP_p</vt:lpstr>
      <vt:lpstr>Pension_p</vt:lpstr>
      <vt:lpstr>Infemp_p</vt:lpstr>
      <vt:lpstr>Infsize_p</vt:lpstr>
      <vt:lpstr>WBentp1</vt:lpstr>
      <vt:lpstr>WBentp2</vt:lpstr>
      <vt:lpstr>WBentp3</vt:lpstr>
      <vt:lpstr>WBentp4</vt:lpstr>
      <vt:lpstr>WVS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Hrisyana Stefanova Doytchinova</dc:creator>
  <cp:lastModifiedBy>Corbellini, Nicola</cp:lastModifiedBy>
  <dcterms:created xsi:type="dcterms:W3CDTF">2021-05-14T14:53:05Z</dcterms:created>
  <dcterms:modified xsi:type="dcterms:W3CDTF">2024-12-22T01:17:07Z</dcterms:modified>
</cp:coreProperties>
</file>